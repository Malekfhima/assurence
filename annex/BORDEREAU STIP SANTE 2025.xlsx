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c Neziha M\Desktop\Bordereau STIP\"/>
    </mc:Choice>
  </mc:AlternateContent>
  <bookViews>
    <workbookView xWindow="0" yWindow="0" windowWidth="24000" windowHeight="9735" firstSheet="12" activeTab="25"/>
  </bookViews>
  <sheets>
    <sheet name="complément 2024" sheetId="1" r:id="rId1"/>
    <sheet name="BD1" sheetId="2" r:id="rId2"/>
    <sheet name="BD2" sheetId="3" r:id="rId3"/>
    <sheet name="complément 2" sheetId="4" r:id="rId4"/>
    <sheet name="BD3" sheetId="5" r:id="rId5"/>
    <sheet name="BD4" sheetId="6" r:id="rId6"/>
    <sheet name="BD5" sheetId="7" r:id="rId7"/>
    <sheet name="BD6" sheetId="8" r:id="rId8"/>
    <sheet name="BD7" sheetId="9" r:id="rId9"/>
    <sheet name="BD8" sheetId="10" r:id="rId10"/>
    <sheet name="BD9" sheetId="11" r:id="rId11"/>
    <sheet name="BD10" sheetId="12" r:id="rId12"/>
    <sheet name="BD11" sheetId="13" r:id="rId13"/>
    <sheet name="BD12" sheetId="14" r:id="rId14"/>
    <sheet name="BD13" sheetId="15" r:id="rId15"/>
    <sheet name="BD14" sheetId="16" r:id="rId16"/>
    <sheet name="BD15" sheetId="17" r:id="rId17"/>
    <sheet name="BD16" sheetId="18" r:id="rId18"/>
    <sheet name="BD17" sheetId="19" r:id="rId19"/>
    <sheet name="BD18" sheetId="20" r:id="rId20"/>
    <sheet name="BD 19" sheetId="21" r:id="rId21"/>
    <sheet name="BD20" sheetId="22" r:id="rId22"/>
    <sheet name="BD21" sheetId="23" r:id="rId23"/>
    <sheet name="BD22" sheetId="24" r:id="rId24"/>
    <sheet name="BD23" sheetId="25" r:id="rId25"/>
    <sheet name="BD24" sheetId="26" r:id="rId26"/>
  </sheets>
  <externalReferences>
    <externalReference r:id="rId27"/>
    <externalReference r:id="rId28"/>
    <externalReference r:id="rId29"/>
  </externalReferences>
  <definedNames>
    <definedName name="_xlnm._FilterDatabase" localSheetId="20" hidden="1">'BD 19'!$A$9:$G$9</definedName>
    <definedName name="_xlnm._FilterDatabase" localSheetId="1" hidden="1">'BD1'!$A$9:$G$9</definedName>
    <definedName name="_xlnm._FilterDatabase" localSheetId="11" hidden="1">'BD10'!$A$9:$G$9</definedName>
    <definedName name="_xlnm._FilterDatabase" localSheetId="12" hidden="1">'BD11'!$A$9:$G$9</definedName>
    <definedName name="_xlnm._FilterDatabase" localSheetId="13" hidden="1">'BD12'!$A$9:$G$9</definedName>
    <definedName name="_xlnm._FilterDatabase" localSheetId="14" hidden="1">'BD13'!$A$9:$G$9</definedName>
    <definedName name="_xlnm._FilterDatabase" localSheetId="15" hidden="1">'BD14'!$A$9:$G$9</definedName>
    <definedName name="_xlnm._FilterDatabase" localSheetId="16" hidden="1">'BD15'!$A$9:$G$9</definedName>
    <definedName name="_xlnm._FilterDatabase" localSheetId="17" hidden="1">'BD16'!$A$9:$G$9</definedName>
    <definedName name="_xlnm._FilterDatabase" localSheetId="18" hidden="1">'BD17'!$A$9:$G$9</definedName>
    <definedName name="_xlnm._FilterDatabase" localSheetId="19" hidden="1">'BD18'!$A$9:$G$9</definedName>
    <definedName name="_xlnm._FilterDatabase" localSheetId="2" hidden="1">'BD2'!$A$9:$G$9</definedName>
    <definedName name="_xlnm._FilterDatabase" localSheetId="21" hidden="1">'BD20'!$A$9:$G$9</definedName>
    <definedName name="_xlnm._FilterDatabase" localSheetId="22" hidden="1">'BD21'!$A$9:$G$9</definedName>
    <definedName name="_xlnm._FilterDatabase" localSheetId="23" hidden="1">'BD22'!$A$9:$G$9</definedName>
    <definedName name="_xlnm._FilterDatabase" localSheetId="24" hidden="1">'BD23'!$A$9:$G$9</definedName>
    <definedName name="_xlnm._FilterDatabase" localSheetId="25" hidden="1">'BD24'!$A$9:$G$9</definedName>
    <definedName name="_xlnm._FilterDatabase" localSheetId="4" hidden="1">'BD3'!$A$9:$G$9</definedName>
    <definedName name="_xlnm._FilterDatabase" localSheetId="5" hidden="1">'BD4'!$A$9:$G$9</definedName>
    <definedName name="_xlnm._FilterDatabase" localSheetId="6" hidden="1">'BD5'!$A$9:$G$9</definedName>
    <definedName name="_xlnm._FilterDatabase" localSheetId="7" hidden="1">'BD6'!$A$9:$G$9</definedName>
    <definedName name="_xlnm._FilterDatabase" localSheetId="8" hidden="1">'BD7'!$A$9:$G$9</definedName>
    <definedName name="_xlnm._FilterDatabase" localSheetId="9" hidden="1">'BD8'!$A$9:$G$9</definedName>
    <definedName name="_xlnm._FilterDatabase" localSheetId="10" hidden="1">'BD9'!$A$9:$G$9</definedName>
    <definedName name="_xlnm._FilterDatabase" localSheetId="3" hidden="1">'complément 2'!$A$9:$G$9</definedName>
    <definedName name="_xlnm._FilterDatabase" localSheetId="0" hidden="1">'complément 2024'!$A$9:$G$9</definedName>
    <definedName name="ADRESSE">[1]LISTE!#REF!</definedName>
    <definedName name="b">[2]LISTE!$B$1:$B$808</definedName>
    <definedName name="NN">[3]LISTE!$A$1:$A$2446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2" i="26" l="1"/>
  <c r="C63" i="26"/>
  <c r="C183" i="26"/>
  <c r="C184" i="26"/>
  <c r="C84" i="26"/>
  <c r="C85" i="26"/>
  <c r="C86" i="26"/>
  <c r="C87" i="26"/>
  <c r="C32" i="26"/>
  <c r="C33" i="26"/>
  <c r="C10" i="26"/>
  <c r="C11" i="26"/>
  <c r="C157" i="26"/>
  <c r="C158" i="26"/>
  <c r="C177" i="26"/>
  <c r="C178" i="26"/>
  <c r="C60" i="26"/>
  <c r="C61" i="26"/>
  <c r="C224" i="26"/>
  <c r="C225" i="26"/>
  <c r="C226" i="26"/>
  <c r="C260" i="26"/>
  <c r="C261" i="26"/>
  <c r="C49" i="26"/>
  <c r="C19" i="26"/>
  <c r="C217" i="26"/>
  <c r="C218" i="26"/>
  <c r="C114" i="26"/>
  <c r="C115" i="26"/>
  <c r="C243" i="26"/>
  <c r="C244" i="26"/>
  <c r="C192" i="26"/>
  <c r="C193" i="26"/>
  <c r="C252" i="26"/>
  <c r="C253" i="26"/>
  <c r="C171" i="26"/>
  <c r="C172" i="26"/>
  <c r="C219" i="26"/>
  <c r="C220" i="26"/>
  <c r="C227" i="26"/>
  <c r="C228" i="26"/>
  <c r="C187" i="26" l="1"/>
  <c r="C188" i="26"/>
  <c r="C189" i="26"/>
  <c r="C34" i="26"/>
  <c r="C143" i="26"/>
  <c r="C144" i="26"/>
  <c r="C71" i="26"/>
  <c r="C204" i="26"/>
  <c r="C205" i="26"/>
  <c r="C206" i="26"/>
  <c r="C207" i="26"/>
  <c r="C208" i="26"/>
  <c r="C175" i="26" l="1"/>
  <c r="C176" i="26"/>
  <c r="C111" i="26"/>
  <c r="C112" i="26"/>
  <c r="C163" i="26"/>
  <c r="C164" i="26"/>
  <c r="C165" i="26"/>
  <c r="C166" i="26"/>
  <c r="C123" i="26"/>
  <c r="C124" i="26"/>
  <c r="C23" i="26"/>
  <c r="C91" i="26"/>
  <c r="C92" i="26"/>
  <c r="C93" i="26"/>
  <c r="C94" i="26"/>
  <c r="C254" i="26"/>
  <c r="C255" i="26"/>
  <c r="C24" i="26"/>
  <c r="C44" i="26"/>
  <c r="C45" i="26"/>
  <c r="C141" i="26"/>
  <c r="C142" i="26"/>
  <c r="C56" i="26"/>
  <c r="C57" i="26"/>
  <c r="C251" i="26"/>
  <c r="C105" i="26"/>
  <c r="C106" i="26"/>
  <c r="C107" i="26"/>
  <c r="C108" i="26"/>
  <c r="C116" i="26"/>
  <c r="C117" i="26"/>
  <c r="C118" i="26"/>
  <c r="C119" i="26"/>
  <c r="C120" i="26"/>
  <c r="C50" i="26"/>
  <c r="C51" i="26"/>
  <c r="C52" i="26"/>
  <c r="C53" i="26"/>
  <c r="C173" i="26"/>
  <c r="C174" i="26"/>
  <c r="C16" i="26"/>
  <c r="C17" i="26"/>
  <c r="C18" i="26"/>
  <c r="C256" i="26"/>
  <c r="C257" i="26"/>
  <c r="C258" i="26"/>
  <c r="C259" i="26"/>
  <c r="C233" i="26"/>
  <c r="C69" i="26"/>
  <c r="C70" i="26"/>
  <c r="C126" i="26"/>
  <c r="C127" i="26"/>
  <c r="C128" i="26"/>
  <c r="C129" i="26"/>
  <c r="C97" i="26"/>
  <c r="C98" i="26"/>
  <c r="C72" i="26" l="1"/>
  <c r="C73" i="26"/>
  <c r="G338" i="26" l="1"/>
  <c r="C237" i="26"/>
  <c r="C236" i="26"/>
  <c r="C263" i="26"/>
  <c r="C262" i="26"/>
  <c r="C147" i="26"/>
  <c r="C146" i="26"/>
  <c r="C145" i="26"/>
  <c r="C104" i="26"/>
  <c r="C103" i="26"/>
  <c r="C102" i="26"/>
  <c r="C140" i="26"/>
  <c r="C139" i="26"/>
  <c r="C191" i="26"/>
  <c r="C190" i="26"/>
  <c r="C170" i="26"/>
  <c r="C169" i="26"/>
  <c r="C168" i="26"/>
  <c r="C235" i="26"/>
  <c r="C234" i="26"/>
  <c r="C27" i="26"/>
  <c r="C26" i="26"/>
  <c r="C25" i="26"/>
  <c r="C223" i="26"/>
  <c r="C222" i="26"/>
  <c r="C221" i="26"/>
  <c r="C79" i="26"/>
  <c r="C78" i="26"/>
  <c r="C200" i="26"/>
  <c r="C199" i="26"/>
  <c r="C214" i="26"/>
  <c r="C213" i="26"/>
  <c r="C88" i="26"/>
  <c r="C55" i="26"/>
  <c r="C54" i="26"/>
  <c r="C22" i="26"/>
  <c r="C21" i="26"/>
  <c r="C167" i="26"/>
  <c r="C186" i="26"/>
  <c r="C185" i="26"/>
  <c r="C122" i="26"/>
  <c r="C121" i="26"/>
  <c r="C31" i="26"/>
  <c r="C30" i="26"/>
  <c r="C29" i="26"/>
  <c r="C28" i="26"/>
  <c r="C162" i="26"/>
  <c r="C36" i="26"/>
  <c r="C35" i="26"/>
  <c r="C242" i="26"/>
  <c r="C241" i="26"/>
  <c r="C240" i="26"/>
  <c r="C81" i="26"/>
  <c r="C80" i="26"/>
  <c r="C15" i="26"/>
  <c r="C14" i="26"/>
  <c r="C13" i="26"/>
  <c r="C12" i="26"/>
  <c r="C20" i="26"/>
  <c r="C132" i="26"/>
  <c r="C131" i="26"/>
  <c r="C130" i="26"/>
  <c r="C83" i="26"/>
  <c r="C82" i="26"/>
  <c r="C212" i="26"/>
  <c r="C211" i="26"/>
  <c r="C138" i="26"/>
  <c r="C137" i="26"/>
  <c r="C136" i="26"/>
  <c r="C135" i="26"/>
  <c r="C134" i="26"/>
  <c r="C133" i="26"/>
  <c r="C239" i="26"/>
  <c r="C238" i="26"/>
  <c r="C110" i="26"/>
  <c r="C109" i="26"/>
  <c r="C155" i="26"/>
  <c r="C154" i="26"/>
  <c r="C153" i="26"/>
  <c r="C152" i="26"/>
  <c r="C151" i="26"/>
  <c r="C150" i="26"/>
  <c r="C149" i="26"/>
  <c r="C148" i="26"/>
  <c r="C77" i="26"/>
  <c r="C76" i="26"/>
  <c r="C75" i="26"/>
  <c r="C74" i="26"/>
  <c r="C96" i="26"/>
  <c r="C95" i="26"/>
  <c r="C182" i="26"/>
  <c r="C181" i="26"/>
  <c r="C180" i="26"/>
  <c r="C179" i="26"/>
  <c r="C250" i="26"/>
  <c r="C249" i="26"/>
  <c r="C248" i="26"/>
  <c r="C247" i="26"/>
  <c r="C246" i="26"/>
  <c r="C245" i="26"/>
  <c r="C195" i="26"/>
  <c r="C194" i="26"/>
  <c r="C210" i="26"/>
  <c r="C209" i="26"/>
  <c r="C43" i="26"/>
  <c r="C42" i="26"/>
  <c r="C41" i="26"/>
  <c r="C40" i="26"/>
  <c r="C39" i="26"/>
  <c r="C38" i="26"/>
  <c r="C37" i="26"/>
  <c r="C156" i="26"/>
  <c r="C48" i="26"/>
  <c r="C47" i="26"/>
  <c r="C46" i="26"/>
  <c r="C66" i="26"/>
  <c r="C65" i="26"/>
  <c r="C64" i="26"/>
  <c r="C90" i="26"/>
  <c r="C89" i="26"/>
  <c r="C59" i="26"/>
  <c r="C58" i="26"/>
  <c r="C216" i="26"/>
  <c r="C215" i="26"/>
  <c r="C101" i="26"/>
  <c r="C100" i="26"/>
  <c r="C99" i="26"/>
  <c r="C161" i="26"/>
  <c r="C160" i="26"/>
  <c r="C159" i="26"/>
  <c r="C125" i="26"/>
  <c r="C203" i="26"/>
  <c r="C202" i="26"/>
  <c r="C201" i="26"/>
  <c r="C198" i="26"/>
  <c r="C197" i="26"/>
  <c r="C196" i="26"/>
  <c r="C68" i="26"/>
  <c r="C67" i="26"/>
  <c r="C33" i="25" l="1"/>
  <c r="C34" i="25"/>
  <c r="C132" i="25"/>
  <c r="C133" i="25"/>
  <c r="C134" i="25"/>
  <c r="C135" i="25"/>
  <c r="C90" i="25"/>
  <c r="C91" i="25"/>
  <c r="C103" i="25"/>
  <c r="C13" i="25" l="1"/>
  <c r="C14" i="25"/>
  <c r="C96" i="25"/>
  <c r="C97" i="25"/>
  <c r="C98" i="25"/>
  <c r="C10" i="25"/>
  <c r="C11" i="25"/>
  <c r="C12" i="25"/>
  <c r="C193" i="25" l="1"/>
  <c r="C35" i="25"/>
  <c r="C36" i="25"/>
  <c r="C59" i="25"/>
  <c r="C60" i="25"/>
  <c r="C61" i="25"/>
  <c r="C62" i="25"/>
  <c r="C63" i="25"/>
  <c r="C64" i="25"/>
  <c r="C57" i="25"/>
  <c r="C58" i="25"/>
  <c r="C31" i="25"/>
  <c r="C32" i="25"/>
  <c r="C180" i="25"/>
  <c r="C181" i="25"/>
  <c r="C182" i="25"/>
  <c r="C183" i="25"/>
  <c r="C179" i="25"/>
  <c r="C41" i="25"/>
  <c r="C42" i="25"/>
  <c r="C105" i="25"/>
  <c r="C106" i="25"/>
  <c r="C177" i="25"/>
  <c r="C178" i="25"/>
  <c r="C184" i="25"/>
  <c r="C185" i="25"/>
  <c r="C186" i="25"/>
  <c r="C45" i="25"/>
  <c r="C46" i="25"/>
  <c r="C189" i="25"/>
  <c r="C190" i="25"/>
  <c r="C65" i="25"/>
  <c r="C50" i="25"/>
  <c r="C51" i="25"/>
  <c r="C52" i="25"/>
  <c r="C15" i="25"/>
  <c r="C16" i="25"/>
  <c r="C17" i="25"/>
  <c r="C18" i="25"/>
  <c r="C19" i="25"/>
  <c r="C20" i="25"/>
  <c r="G272" i="25" l="1"/>
  <c r="C192" i="25"/>
  <c r="C123" i="25"/>
  <c r="C122" i="25"/>
  <c r="C121" i="25"/>
  <c r="C120" i="25"/>
  <c r="C119" i="25"/>
  <c r="C118" i="25"/>
  <c r="C56" i="25"/>
  <c r="C55" i="25"/>
  <c r="C30" i="25"/>
  <c r="C29" i="25"/>
  <c r="C28" i="25"/>
  <c r="C27" i="25"/>
  <c r="C26" i="25"/>
  <c r="C25" i="25"/>
  <c r="C163" i="25"/>
  <c r="C162" i="25"/>
  <c r="C114" i="25"/>
  <c r="C113" i="25"/>
  <c r="C112" i="25"/>
  <c r="C174" i="25"/>
  <c r="C173" i="25"/>
  <c r="C172" i="25"/>
  <c r="C81" i="25"/>
  <c r="C80" i="25"/>
  <c r="C79" i="25"/>
  <c r="C78" i="25"/>
  <c r="C151" i="25"/>
  <c r="C150" i="25"/>
  <c r="C149" i="25"/>
  <c r="C148" i="25"/>
  <c r="C147" i="25"/>
  <c r="C146" i="25"/>
  <c r="C145" i="25"/>
  <c r="C144" i="25"/>
  <c r="C77" i="25"/>
  <c r="C76" i="25"/>
  <c r="C75" i="25"/>
  <c r="C74" i="25"/>
  <c r="C176" i="25"/>
  <c r="C175" i="25"/>
  <c r="C102" i="25"/>
  <c r="C101" i="25"/>
  <c r="C100" i="25"/>
  <c r="C167" i="25"/>
  <c r="C166" i="25"/>
  <c r="C161" i="25"/>
  <c r="C160" i="25"/>
  <c r="C109" i="25"/>
  <c r="C108" i="25"/>
  <c r="C107" i="25"/>
  <c r="C49" i="25"/>
  <c r="C48" i="25"/>
  <c r="C47" i="25"/>
  <c r="C191" i="25"/>
  <c r="C87" i="25"/>
  <c r="C89" i="25"/>
  <c r="C88" i="25"/>
  <c r="C93" i="25"/>
  <c r="C92" i="25"/>
  <c r="C69" i="25"/>
  <c r="C68" i="25"/>
  <c r="C22" i="25"/>
  <c r="C21" i="25"/>
  <c r="C117" i="25"/>
  <c r="C116" i="25"/>
  <c r="C86" i="25"/>
  <c r="C85" i="25"/>
  <c r="C84" i="25"/>
  <c r="C171" i="25"/>
  <c r="C170" i="25"/>
  <c r="C169" i="25"/>
  <c r="C168" i="25"/>
  <c r="C127" i="25"/>
  <c r="C126" i="25"/>
  <c r="C125" i="25"/>
  <c r="C124" i="25"/>
  <c r="C104" i="25"/>
  <c r="C195" i="25"/>
  <c r="C194" i="25"/>
  <c r="C111" i="25"/>
  <c r="C110" i="25"/>
  <c r="C99" i="25"/>
  <c r="C95" i="25"/>
  <c r="C94" i="25"/>
  <c r="C154" i="25"/>
  <c r="C153" i="25"/>
  <c r="C152" i="25"/>
  <c r="C38" i="25"/>
  <c r="C37" i="25"/>
  <c r="C24" i="25"/>
  <c r="C23" i="25"/>
  <c r="C115" i="25"/>
  <c r="C157" i="25"/>
  <c r="C156" i="25"/>
  <c r="C155" i="25"/>
  <c r="C73" i="25"/>
  <c r="C72" i="25"/>
  <c r="C54" i="25"/>
  <c r="C53" i="25"/>
  <c r="C71" i="25"/>
  <c r="C70" i="25"/>
  <c r="C143" i="25"/>
  <c r="C142" i="25"/>
  <c r="C141" i="25"/>
  <c r="C140" i="25"/>
  <c r="C139" i="25"/>
  <c r="C138" i="25"/>
  <c r="C137" i="25"/>
  <c r="C136" i="25"/>
  <c r="C40" i="25"/>
  <c r="C39" i="25"/>
  <c r="C165" i="25"/>
  <c r="C164" i="25"/>
  <c r="C44" i="25"/>
  <c r="C43" i="25"/>
  <c r="C67" i="25"/>
  <c r="C66" i="25"/>
  <c r="C159" i="25"/>
  <c r="C158" i="25"/>
  <c r="C188" i="25"/>
  <c r="C187" i="25"/>
  <c r="C131" i="25"/>
  <c r="C130" i="25"/>
  <c r="C129" i="25"/>
  <c r="C128" i="25"/>
  <c r="C44" i="24" l="1"/>
  <c r="C112" i="24"/>
  <c r="C113" i="24"/>
  <c r="C114" i="24"/>
  <c r="C84" i="24" l="1"/>
  <c r="C85" i="24"/>
  <c r="C171" i="24" l="1"/>
  <c r="C26" i="24"/>
  <c r="G239" i="24" l="1"/>
  <c r="C43" i="24"/>
  <c r="C50" i="24"/>
  <c r="C49" i="24"/>
  <c r="C12" i="24"/>
  <c r="C11" i="24"/>
  <c r="C10" i="24"/>
  <c r="C39" i="24"/>
  <c r="C38" i="24"/>
  <c r="C37" i="24"/>
  <c r="C36" i="24"/>
  <c r="C35" i="24"/>
  <c r="C34" i="24"/>
  <c r="C33" i="24"/>
  <c r="C71" i="24"/>
  <c r="C70" i="24"/>
  <c r="C69" i="24"/>
  <c r="C68" i="24"/>
  <c r="C120" i="24"/>
  <c r="C119" i="24"/>
  <c r="C88" i="24"/>
  <c r="C156" i="24"/>
  <c r="C155" i="24"/>
  <c r="C87" i="24"/>
  <c r="C86" i="24"/>
  <c r="C81" i="24"/>
  <c r="C80" i="24"/>
  <c r="C79" i="24"/>
  <c r="C78" i="24"/>
  <c r="C118" i="24"/>
  <c r="C117" i="24"/>
  <c r="C111" i="24"/>
  <c r="C110" i="24"/>
  <c r="C32" i="24"/>
  <c r="C31" i="24"/>
  <c r="C30" i="24"/>
  <c r="C67" i="24"/>
  <c r="C66" i="24"/>
  <c r="C65" i="24"/>
  <c r="C64" i="24"/>
  <c r="C48" i="24"/>
  <c r="C136" i="24"/>
  <c r="C135" i="24"/>
  <c r="C134" i="24"/>
  <c r="C162" i="24"/>
  <c r="C161" i="24"/>
  <c r="C160" i="24"/>
  <c r="C159" i="24"/>
  <c r="C158" i="24"/>
  <c r="C157" i="24"/>
  <c r="C165" i="24"/>
  <c r="C164" i="24"/>
  <c r="C62" i="24"/>
  <c r="C61" i="24"/>
  <c r="C60" i="24"/>
  <c r="C59" i="24"/>
  <c r="C57" i="24"/>
  <c r="C56" i="24"/>
  <c r="C163" i="24"/>
  <c r="C42" i="24"/>
  <c r="C41" i="24"/>
  <c r="C176" i="24"/>
  <c r="C175" i="24"/>
  <c r="C105" i="24"/>
  <c r="C104" i="24"/>
  <c r="C103" i="24"/>
  <c r="C19" i="24"/>
  <c r="C18" i="24"/>
  <c r="C17" i="24"/>
  <c r="C122" i="24"/>
  <c r="C121" i="24"/>
  <c r="C16" i="24"/>
  <c r="C15" i="24"/>
  <c r="C14" i="24"/>
  <c r="C138" i="24"/>
  <c r="C137" i="24"/>
  <c r="C116" i="24"/>
  <c r="C115" i="24"/>
  <c r="C63" i="24"/>
  <c r="C96" i="24"/>
  <c r="C95" i="24"/>
  <c r="C167" i="24"/>
  <c r="C40" i="24"/>
  <c r="C125" i="24"/>
  <c r="C124" i="24"/>
  <c r="C148" i="24"/>
  <c r="C147" i="24"/>
  <c r="C94" i="24"/>
  <c r="C93" i="24"/>
  <c r="C92" i="24"/>
  <c r="C55" i="24"/>
  <c r="C54" i="24"/>
  <c r="C53" i="24"/>
  <c r="C52" i="24"/>
  <c r="C51" i="24"/>
  <c r="C83" i="24"/>
  <c r="C82" i="24"/>
  <c r="C29" i="24"/>
  <c r="C28" i="24"/>
  <c r="C27" i="24"/>
  <c r="C77" i="24"/>
  <c r="C76" i="24"/>
  <c r="C75" i="24"/>
  <c r="C24" i="24"/>
  <c r="C23" i="24"/>
  <c r="C166" i="24"/>
  <c r="C74" i="24"/>
  <c r="C73" i="24"/>
  <c r="C72" i="24"/>
  <c r="C22" i="24"/>
  <c r="C21" i="24"/>
  <c r="C20" i="24"/>
  <c r="C133" i="24"/>
  <c r="C132" i="24"/>
  <c r="C131" i="24"/>
  <c r="C130" i="24"/>
  <c r="C129" i="24"/>
  <c r="C128" i="24"/>
  <c r="C127" i="24"/>
  <c r="C126" i="24"/>
  <c r="C170" i="24"/>
  <c r="C169" i="24"/>
  <c r="C168" i="24"/>
  <c r="C174" i="24"/>
  <c r="C173" i="24"/>
  <c r="C172" i="24"/>
  <c r="C102" i="24"/>
  <c r="C101" i="24"/>
  <c r="C100" i="24"/>
  <c r="C99" i="24"/>
  <c r="C146" i="24"/>
  <c r="C145" i="24"/>
  <c r="C144" i="24"/>
  <c r="C109" i="24"/>
  <c r="C108" i="24"/>
  <c r="C107" i="24"/>
  <c r="C106" i="24"/>
  <c r="C25" i="24"/>
  <c r="C98" i="24"/>
  <c r="C97" i="24"/>
  <c r="C123" i="24"/>
  <c r="C91" i="24"/>
  <c r="C90" i="24"/>
  <c r="C89" i="24"/>
  <c r="C47" i="24"/>
  <c r="C46" i="24"/>
  <c r="C45" i="24"/>
  <c r="C143" i="24"/>
  <c r="C142" i="24"/>
  <c r="C141" i="24"/>
  <c r="C140" i="24"/>
  <c r="C139" i="24"/>
  <c r="C13" i="24"/>
  <c r="C58" i="24"/>
  <c r="C214" i="23" l="1"/>
  <c r="C215" i="23"/>
  <c r="C216" i="23"/>
  <c r="C152" i="23"/>
  <c r="C153" i="23"/>
  <c r="C62" i="23"/>
  <c r="C63" i="23"/>
  <c r="C64" i="23"/>
  <c r="C206" i="23"/>
  <c r="C207" i="23"/>
  <c r="C208" i="23"/>
  <c r="C209" i="23"/>
  <c r="C87" i="23"/>
  <c r="C88" i="23"/>
  <c r="C89" i="23"/>
  <c r="C90" i="23"/>
  <c r="C185" i="23"/>
  <c r="C186" i="23"/>
  <c r="C187" i="23"/>
  <c r="C137" i="23"/>
  <c r="C138" i="23"/>
  <c r="C139" i="23"/>
  <c r="C140" i="23"/>
  <c r="C10" i="23"/>
  <c r="C11" i="23"/>
  <c r="C170" i="23"/>
  <c r="C171" i="23"/>
  <c r="C172" i="23"/>
  <c r="C173" i="23"/>
  <c r="C85" i="23" l="1"/>
  <c r="C86" i="23"/>
  <c r="C165" i="23"/>
  <c r="C166" i="23"/>
  <c r="C167" i="23"/>
  <c r="C204" i="23"/>
  <c r="C205" i="23"/>
  <c r="C127" i="23"/>
  <c r="C40" i="23"/>
  <c r="C41" i="23"/>
  <c r="C42" i="23"/>
  <c r="C174" i="23"/>
  <c r="C175" i="23"/>
  <c r="C176" i="23"/>
  <c r="C177" i="23"/>
  <c r="C178" i="23"/>
  <c r="C179" i="23"/>
  <c r="C180" i="23"/>
  <c r="C181" i="23"/>
  <c r="C227" i="23"/>
  <c r="C228" i="23"/>
  <c r="C26" i="23"/>
  <c r="C27" i="23"/>
  <c r="C28" i="23"/>
  <c r="C29" i="23"/>
  <c r="C30" i="23"/>
  <c r="C93" i="23"/>
  <c r="C94" i="23"/>
  <c r="C147" i="23"/>
  <c r="C148" i="23"/>
  <c r="C149" i="23"/>
  <c r="C71" i="23"/>
  <c r="C72" i="23"/>
  <c r="C103" i="23"/>
  <c r="C104" i="23"/>
  <c r="C105" i="23"/>
  <c r="C106" i="23"/>
  <c r="G308" i="23" l="1"/>
  <c r="C117" i="23"/>
  <c r="C116" i="23"/>
  <c r="C115" i="23"/>
  <c r="C114" i="23"/>
  <c r="C113" i="23"/>
  <c r="C161" i="23"/>
  <c r="C160" i="23"/>
  <c r="C120" i="23"/>
  <c r="C119" i="23"/>
  <c r="C223" i="23"/>
  <c r="C222" i="23"/>
  <c r="C221" i="23"/>
  <c r="C25" i="23"/>
  <c r="C24" i="23"/>
  <c r="C23" i="23"/>
  <c r="C22" i="23"/>
  <c r="C21" i="23"/>
  <c r="C20" i="23"/>
  <c r="C19" i="23"/>
  <c r="C197" i="23"/>
  <c r="C196" i="23"/>
  <c r="C98" i="23"/>
  <c r="C97" i="23"/>
  <c r="C96" i="23"/>
  <c r="C95" i="23"/>
  <c r="C18" i="23"/>
  <c r="C17" i="23"/>
  <c r="C203" i="23"/>
  <c r="C202" i="23"/>
  <c r="C136" i="23"/>
  <c r="C135" i="23"/>
  <c r="C134" i="23"/>
  <c r="C82" i="23"/>
  <c r="C81" i="23"/>
  <c r="C80" i="23"/>
  <c r="C79" i="23"/>
  <c r="C78" i="23"/>
  <c r="C77" i="23"/>
  <c r="C76" i="23"/>
  <c r="C126" i="23"/>
  <c r="C125" i="23"/>
  <c r="C124" i="23"/>
  <c r="C145" i="23"/>
  <c r="C144" i="23"/>
  <c r="C143" i="23"/>
  <c r="C142" i="23"/>
  <c r="C141" i="23"/>
  <c r="C220" i="23"/>
  <c r="C219" i="23"/>
  <c r="C218" i="23"/>
  <c r="C217" i="23"/>
  <c r="C151" i="23"/>
  <c r="C150" i="23"/>
  <c r="C211" i="23"/>
  <c r="C210" i="23"/>
  <c r="C131" i="23"/>
  <c r="C130" i="23"/>
  <c r="C16" i="23"/>
  <c r="C15" i="23"/>
  <c r="C213" i="23"/>
  <c r="C212" i="23"/>
  <c r="C157" i="23"/>
  <c r="C156" i="23"/>
  <c r="C184" i="23"/>
  <c r="C183" i="23"/>
  <c r="C182" i="23"/>
  <c r="C234" i="23"/>
  <c r="C233" i="23"/>
  <c r="C232" i="23"/>
  <c r="C39" i="23"/>
  <c r="C38" i="23"/>
  <c r="C37" i="23"/>
  <c r="C36" i="23"/>
  <c r="C35" i="23"/>
  <c r="C102" i="23"/>
  <c r="C101" i="23"/>
  <c r="C123" i="23"/>
  <c r="C122" i="23"/>
  <c r="C121" i="23"/>
  <c r="C49" i="23"/>
  <c r="C190" i="23"/>
  <c r="C189" i="23"/>
  <c r="C188" i="23"/>
  <c r="C92" i="23"/>
  <c r="C91" i="23"/>
  <c r="C195" i="23"/>
  <c r="C129" i="23"/>
  <c r="C128" i="23"/>
  <c r="C32" i="23"/>
  <c r="C31" i="23"/>
  <c r="C192" i="23"/>
  <c r="C191" i="23"/>
  <c r="C69" i="23"/>
  <c r="C68" i="23"/>
  <c r="C67" i="23"/>
  <c r="C112" i="23"/>
  <c r="C111" i="23"/>
  <c r="C66" i="23"/>
  <c r="C65" i="23"/>
  <c r="C48" i="23"/>
  <c r="C47" i="23"/>
  <c r="C46" i="23"/>
  <c r="C45" i="23"/>
  <c r="C44" i="23"/>
  <c r="C43" i="23"/>
  <c r="C155" i="23"/>
  <c r="C154" i="23"/>
  <c r="C201" i="23"/>
  <c r="C194" i="23"/>
  <c r="C193" i="23"/>
  <c r="C226" i="23"/>
  <c r="C225" i="23"/>
  <c r="C224" i="23"/>
  <c r="C146" i="23"/>
  <c r="C159" i="23"/>
  <c r="C158" i="23"/>
  <c r="C100" i="23"/>
  <c r="C99" i="23"/>
  <c r="C75" i="23"/>
  <c r="C74" i="23"/>
  <c r="C73" i="23"/>
  <c r="C84" i="23"/>
  <c r="C83" i="23"/>
  <c r="C34" i="23"/>
  <c r="C33" i="23"/>
  <c r="C14" i="23"/>
  <c r="C13" i="23"/>
  <c r="C12" i="23"/>
  <c r="C169" i="23"/>
  <c r="C168" i="23"/>
  <c r="C70" i="23"/>
  <c r="C133" i="23"/>
  <c r="C132" i="23"/>
  <c r="C118" i="23"/>
  <c r="C57" i="23"/>
  <c r="C56" i="23"/>
  <c r="C55" i="23"/>
  <c r="C54" i="23"/>
  <c r="C53" i="23"/>
  <c r="C52" i="23"/>
  <c r="C51" i="23"/>
  <c r="C50" i="23"/>
  <c r="C231" i="23"/>
  <c r="C230" i="23"/>
  <c r="C229" i="23"/>
  <c r="C200" i="23"/>
  <c r="C199" i="23"/>
  <c r="C198" i="23"/>
  <c r="C110" i="23"/>
  <c r="C109" i="23"/>
  <c r="C154" i="22" l="1"/>
  <c r="C155" i="22"/>
  <c r="C47" i="22"/>
  <c r="C48" i="22"/>
  <c r="C49" i="22"/>
  <c r="C41" i="22"/>
  <c r="C42" i="22"/>
  <c r="C18" i="22"/>
  <c r="C70" i="22"/>
  <c r="C71" i="22"/>
  <c r="C72" i="22"/>
  <c r="C73" i="22"/>
  <c r="C143" i="22"/>
  <c r="C144" i="22"/>
  <c r="C67" i="22"/>
  <c r="C68" i="22"/>
  <c r="C69" i="22"/>
  <c r="C128" i="22"/>
  <c r="C50" i="22"/>
  <c r="C51" i="22"/>
  <c r="C218" i="22"/>
  <c r="C219" i="22"/>
  <c r="C34" i="22"/>
  <c r="C157" i="22"/>
  <c r="C158" i="22"/>
  <c r="C145" i="22"/>
  <c r="C146" i="22"/>
  <c r="C75" i="22"/>
  <c r="C76" i="22"/>
  <c r="C77" i="22"/>
  <c r="C181" i="22"/>
  <c r="C182" i="22"/>
  <c r="C183" i="22"/>
  <c r="C74" i="22" l="1"/>
  <c r="C184" i="22" l="1"/>
  <c r="C185" i="22"/>
  <c r="C59" i="22" l="1"/>
  <c r="C212" i="22"/>
  <c r="C125" i="22"/>
  <c r="C111" i="22"/>
  <c r="C112" i="22"/>
  <c r="G270" i="22"/>
  <c r="C14" i="22"/>
  <c r="C13" i="22"/>
  <c r="C94" i="22"/>
  <c r="C93" i="22"/>
  <c r="C92" i="22"/>
  <c r="C91" i="22"/>
  <c r="C127" i="22"/>
  <c r="C134" i="22"/>
  <c r="C133" i="22"/>
  <c r="C132" i="22"/>
  <c r="C131" i="22"/>
  <c r="C201" i="22"/>
  <c r="C200" i="22"/>
  <c r="C208" i="22"/>
  <c r="C207" i="22"/>
  <c r="C203" i="22"/>
  <c r="C202" i="22"/>
  <c r="C180" i="22"/>
  <c r="C179" i="22"/>
  <c r="C83" i="22"/>
  <c r="C82" i="22"/>
  <c r="C120" i="22"/>
  <c r="C119" i="22"/>
  <c r="C118" i="22"/>
  <c r="C117" i="22"/>
  <c r="C116" i="22"/>
  <c r="C115" i="22"/>
  <c r="C114" i="22"/>
  <c r="C113" i="22"/>
  <c r="C88" i="22"/>
  <c r="C87" i="22"/>
  <c r="C61" i="22"/>
  <c r="C60" i="22"/>
  <c r="C27" i="22"/>
  <c r="C26" i="22"/>
  <c r="C176" i="22"/>
  <c r="C175" i="22"/>
  <c r="C23" i="22"/>
  <c r="C22" i="22"/>
  <c r="C21" i="22"/>
  <c r="C153" i="22"/>
  <c r="C152" i="22"/>
  <c r="C166" i="22"/>
  <c r="C165" i="22"/>
  <c r="C164" i="22"/>
  <c r="C163" i="22"/>
  <c r="C162" i="22"/>
  <c r="C161" i="22"/>
  <c r="C197" i="22"/>
  <c r="C196" i="22"/>
  <c r="C195" i="22"/>
  <c r="C136" i="22"/>
  <c r="C135" i="22"/>
  <c r="C105" i="22"/>
  <c r="C104" i="22"/>
  <c r="C103" i="22"/>
  <c r="C102" i="22"/>
  <c r="C101" i="22"/>
  <c r="C206" i="22"/>
  <c r="C205" i="22"/>
  <c r="C204" i="22"/>
  <c r="C122" i="22"/>
  <c r="C121" i="22"/>
  <c r="C156" i="22"/>
  <c r="C98" i="22"/>
  <c r="C97" i="22"/>
  <c r="C12" i="22"/>
  <c r="C11" i="22"/>
  <c r="C10" i="22"/>
  <c r="C170" i="22"/>
  <c r="C169" i="22"/>
  <c r="C168" i="22"/>
  <c r="C167" i="22"/>
  <c r="C64" i="22"/>
  <c r="C86" i="22"/>
  <c r="C85" i="22"/>
  <c r="C84" i="22"/>
  <c r="C20" i="22"/>
  <c r="C19" i="22"/>
  <c r="C138" i="22"/>
  <c r="C137" i="22"/>
  <c r="C199" i="22"/>
  <c r="C198" i="22"/>
  <c r="C174" i="22"/>
  <c r="C173" i="22"/>
  <c r="C39" i="22"/>
  <c r="C38" i="22"/>
  <c r="C37" i="22"/>
  <c r="C107" i="22"/>
  <c r="C106" i="22"/>
  <c r="C149" i="22"/>
  <c r="C148" i="22"/>
  <c r="C147" i="22"/>
  <c r="C140" i="22"/>
  <c r="C139" i="22"/>
  <c r="C81" i="22"/>
  <c r="C80" i="22"/>
  <c r="C79" i="22"/>
  <c r="C78" i="22"/>
  <c r="C40" i="22"/>
  <c r="C58" i="22"/>
  <c r="C126" i="22"/>
  <c r="C211" i="22"/>
  <c r="C33" i="22"/>
  <c r="C32" i="22"/>
  <c r="C187" i="22"/>
  <c r="C186" i="22"/>
  <c r="C36" i="22"/>
  <c r="C35" i="22"/>
  <c r="C215" i="22"/>
  <c r="C214" i="22"/>
  <c r="C213" i="22"/>
  <c r="C55" i="22"/>
  <c r="C54" i="22"/>
  <c r="C53" i="22"/>
  <c r="C52" i="22"/>
  <c r="C151" i="22"/>
  <c r="C150" i="22"/>
  <c r="C25" i="22"/>
  <c r="C24" i="22"/>
  <c r="C191" i="22"/>
  <c r="C190" i="22"/>
  <c r="C29" i="22"/>
  <c r="C28" i="22"/>
  <c r="C17" i="22"/>
  <c r="C16" i="22"/>
  <c r="C15" i="22"/>
  <c r="C46" i="22"/>
  <c r="C45" i="22"/>
  <c r="C44" i="22"/>
  <c r="C43" i="22"/>
  <c r="C160" i="22"/>
  <c r="C159" i="22"/>
  <c r="C110" i="22"/>
  <c r="C109" i="22"/>
  <c r="C108" i="22"/>
  <c r="C90" i="22"/>
  <c r="C89" i="22"/>
  <c r="C142" i="22"/>
  <c r="C141" i="22"/>
  <c r="C172" i="22"/>
  <c r="C171" i="22"/>
  <c r="C66" i="22"/>
  <c r="C65" i="22"/>
  <c r="C100" i="22"/>
  <c r="C99" i="22"/>
  <c r="C217" i="22"/>
  <c r="C216" i="22"/>
  <c r="C210" i="22"/>
  <c r="C209" i="22"/>
  <c r="C63" i="22"/>
  <c r="C62" i="22"/>
  <c r="C189" i="22"/>
  <c r="C188" i="22"/>
  <c r="C57" i="22"/>
  <c r="C56" i="22"/>
  <c r="C124" i="22"/>
  <c r="C123" i="22"/>
  <c r="C31" i="22"/>
  <c r="C30" i="22"/>
  <c r="C130" i="22"/>
  <c r="C129" i="22"/>
  <c r="C178" i="22"/>
  <c r="C177" i="22"/>
  <c r="C96" i="22"/>
  <c r="C95" i="22"/>
  <c r="C194" i="22"/>
  <c r="C193" i="22"/>
  <c r="C192" i="22"/>
  <c r="C183" i="21" l="1"/>
  <c r="C184" i="21"/>
  <c r="C185" i="21"/>
  <c r="C186" i="21"/>
  <c r="C187" i="21"/>
  <c r="C188" i="21"/>
  <c r="C69" i="21" l="1"/>
  <c r="C70" i="21"/>
  <c r="C71" i="21"/>
  <c r="C178" i="21"/>
  <c r="C10" i="21"/>
  <c r="C11" i="21"/>
  <c r="C163" i="21"/>
  <c r="C164" i="21"/>
  <c r="C88" i="21"/>
  <c r="C89" i="21"/>
  <c r="C104" i="21"/>
  <c r="C105" i="21"/>
  <c r="C106" i="21"/>
  <c r="C107" i="21"/>
  <c r="C108" i="21"/>
  <c r="C109" i="21"/>
  <c r="C179" i="21"/>
  <c r="C180" i="21"/>
  <c r="C102" i="21"/>
  <c r="C103" i="21"/>
  <c r="C12" i="21"/>
  <c r="C13" i="21"/>
  <c r="C222" i="21"/>
  <c r="C223" i="21"/>
  <c r="C202" i="21"/>
  <c r="C79" i="21"/>
  <c r="C80" i="21"/>
  <c r="C81" i="21"/>
  <c r="C82" i="21"/>
  <c r="C83" i="21"/>
  <c r="C208" i="21"/>
  <c r="C209" i="21"/>
  <c r="C210" i="21"/>
  <c r="C211" i="21"/>
  <c r="C90" i="21"/>
  <c r="C91" i="21"/>
  <c r="C92" i="21"/>
  <c r="C154" i="21"/>
  <c r="C155" i="21"/>
  <c r="C42" i="21"/>
  <c r="C43" i="21"/>
  <c r="C44" i="21"/>
  <c r="C151" i="21"/>
  <c r="C116" i="21"/>
  <c r="G296" i="21"/>
  <c r="C112" i="21"/>
  <c r="C111" i="21"/>
  <c r="C113" i="21"/>
  <c r="C23" i="21"/>
  <c r="C22" i="21"/>
  <c r="C21" i="21"/>
  <c r="C25" i="21"/>
  <c r="C24" i="21"/>
  <c r="C173" i="21"/>
  <c r="C235" i="21"/>
  <c r="C234" i="21"/>
  <c r="C41" i="21"/>
  <c r="C40" i="21"/>
  <c r="C39" i="21"/>
  <c r="C38" i="21"/>
  <c r="C37" i="21"/>
  <c r="C36" i="21"/>
  <c r="C35" i="21"/>
  <c r="C34" i="21"/>
  <c r="C33" i="21"/>
  <c r="C32" i="21"/>
  <c r="C110" i="21"/>
  <c r="C225" i="21"/>
  <c r="C224" i="21"/>
  <c r="C60" i="21"/>
  <c r="C59" i="21"/>
  <c r="C58" i="21"/>
  <c r="C16" i="21"/>
  <c r="C15" i="21"/>
  <c r="C14" i="21"/>
  <c r="C139" i="21"/>
  <c r="C138" i="21"/>
  <c r="C149" i="21"/>
  <c r="C148" i="21"/>
  <c r="C147" i="21"/>
  <c r="C45" i="21"/>
  <c r="C27" i="21"/>
  <c r="C26" i="21"/>
  <c r="C127" i="21"/>
  <c r="C126" i="21"/>
  <c r="C73" i="21"/>
  <c r="C72" i="21"/>
  <c r="C146" i="21"/>
  <c r="C145" i="21"/>
  <c r="C76" i="21"/>
  <c r="C75" i="21"/>
  <c r="C74" i="21"/>
  <c r="C131" i="21"/>
  <c r="C130" i="21"/>
  <c r="C129" i="21"/>
  <c r="C128" i="21"/>
  <c r="C66" i="21"/>
  <c r="C65" i="21"/>
  <c r="C221" i="21"/>
  <c r="C220" i="21"/>
  <c r="C219" i="21"/>
  <c r="C218" i="21"/>
  <c r="C217" i="21"/>
  <c r="C64" i="21"/>
  <c r="C63" i="21"/>
  <c r="C62" i="21"/>
  <c r="C61" i="21"/>
  <c r="C49" i="21"/>
  <c r="C48" i="21"/>
  <c r="C161" i="21"/>
  <c r="C160" i="21"/>
  <c r="C153" i="21"/>
  <c r="C152" i="21"/>
  <c r="C87" i="21"/>
  <c r="C86" i="21"/>
  <c r="C68" i="21"/>
  <c r="C67" i="21"/>
  <c r="C123" i="21"/>
  <c r="C122" i="21"/>
  <c r="C121" i="21"/>
  <c r="C120" i="21"/>
  <c r="C100" i="21"/>
  <c r="C99" i="21"/>
  <c r="C207" i="21"/>
  <c r="C206" i="21"/>
  <c r="C177" i="21"/>
  <c r="C176" i="21"/>
  <c r="C85" i="21"/>
  <c r="C84" i="21"/>
  <c r="C233" i="21"/>
  <c r="C232" i="21"/>
  <c r="C231" i="21"/>
  <c r="C230" i="21"/>
  <c r="C229" i="21"/>
  <c r="C228" i="21"/>
  <c r="C31" i="21"/>
  <c r="C30" i="21"/>
  <c r="C29" i="21"/>
  <c r="C28" i="21"/>
  <c r="C216" i="21"/>
  <c r="C215" i="21"/>
  <c r="C214" i="21"/>
  <c r="C162" i="21"/>
  <c r="C172" i="21"/>
  <c r="C171" i="21"/>
  <c r="C170" i="21"/>
  <c r="C169" i="21"/>
  <c r="C168" i="21"/>
  <c r="C167" i="21"/>
  <c r="C189" i="21"/>
  <c r="C54" i="21"/>
  <c r="C53" i="21"/>
  <c r="C52" i="21"/>
  <c r="C182" i="21"/>
  <c r="C181" i="21"/>
  <c r="C115" i="21"/>
  <c r="C114" i="21"/>
  <c r="C20" i="21"/>
  <c r="C19" i="21"/>
  <c r="C117" i="21"/>
  <c r="C150" i="21"/>
  <c r="C140" i="21"/>
  <c r="C119" i="21"/>
  <c r="C118" i="21"/>
  <c r="C195" i="21"/>
  <c r="C194" i="21"/>
  <c r="C159" i="21"/>
  <c r="C158" i="21"/>
  <c r="C144" i="21"/>
  <c r="C143" i="21"/>
  <c r="C78" i="21"/>
  <c r="C77" i="21"/>
  <c r="C137" i="21"/>
  <c r="C136" i="21"/>
  <c r="C135" i="21"/>
  <c r="C134" i="21"/>
  <c r="C133" i="21"/>
  <c r="C132" i="21"/>
  <c r="C47" i="21"/>
  <c r="C46" i="21"/>
  <c r="C205" i="21"/>
  <c r="C204" i="21"/>
  <c r="C125" i="21"/>
  <c r="C124" i="21"/>
  <c r="C157" i="21"/>
  <c r="C156" i="21"/>
  <c r="C203" i="21"/>
  <c r="C142" i="21"/>
  <c r="C141" i="21"/>
  <c r="C96" i="21"/>
  <c r="C95" i="21"/>
  <c r="C213" i="21"/>
  <c r="C212" i="21"/>
  <c r="C57" i="21"/>
  <c r="C56" i="21"/>
  <c r="C55" i="21"/>
  <c r="C201" i="21"/>
  <c r="C200" i="21"/>
  <c r="C199" i="21"/>
  <c r="C193" i="21"/>
  <c r="C192" i="21"/>
  <c r="C94" i="21"/>
  <c r="C93" i="21"/>
  <c r="C166" i="21"/>
  <c r="C165" i="21"/>
  <c r="C175" i="21"/>
  <c r="C174" i="21"/>
  <c r="C18" i="21"/>
  <c r="C17" i="21"/>
  <c r="C227" i="21"/>
  <c r="C226" i="21"/>
  <c r="C24" i="20"/>
  <c r="C25" i="20"/>
  <c r="C84" i="20"/>
  <c r="C85" i="20"/>
  <c r="C86" i="20"/>
  <c r="C161" i="20"/>
  <c r="C162" i="20"/>
  <c r="C163" i="20"/>
  <c r="C211" i="20"/>
  <c r="C212" i="20"/>
  <c r="C213" i="20"/>
  <c r="C214" i="20"/>
  <c r="C229" i="20"/>
  <c r="C230" i="20"/>
  <c r="C127" i="20"/>
  <c r="C128" i="20"/>
  <c r="C129" i="20"/>
  <c r="C141" i="20"/>
  <c r="C142" i="20"/>
  <c r="C143" i="20"/>
  <c r="C150" i="20"/>
  <c r="C144" i="20"/>
  <c r="C200" i="20"/>
  <c r="C201" i="20"/>
  <c r="C215" i="20"/>
  <c r="C216" i="20"/>
  <c r="C139" i="20" l="1"/>
  <c r="C140" i="20"/>
  <c r="C104" i="20"/>
  <c r="C105" i="20"/>
  <c r="C28" i="20"/>
  <c r="C29" i="20"/>
  <c r="C30" i="20"/>
  <c r="C31" i="20"/>
  <c r="C125" i="20"/>
  <c r="C126" i="20"/>
  <c r="C187" i="20"/>
  <c r="C188" i="20"/>
  <c r="C189" i="20"/>
  <c r="C117" i="20"/>
  <c r="C118" i="20"/>
  <c r="C119" i="20"/>
  <c r="C120" i="20"/>
  <c r="C121" i="20"/>
  <c r="C176" i="20"/>
  <c r="C177" i="20"/>
  <c r="C106" i="20"/>
  <c r="C107" i="20"/>
  <c r="C108" i="20"/>
  <c r="C109" i="20"/>
  <c r="C110" i="20"/>
  <c r="C111" i="20"/>
  <c r="C112" i="20"/>
  <c r="C61" i="20"/>
  <c r="C62" i="20"/>
  <c r="C63" i="20"/>
  <c r="C59" i="20"/>
  <c r="C60" i="20"/>
  <c r="C217" i="20"/>
  <c r="C218" i="20"/>
  <c r="C219" i="20"/>
  <c r="C32" i="20"/>
  <c r="C33" i="20"/>
  <c r="C34" i="20"/>
  <c r="C53" i="20"/>
  <c r="C54" i="20"/>
  <c r="C55" i="20"/>
  <c r="C56" i="20"/>
  <c r="C130" i="20"/>
  <c r="C131" i="20"/>
  <c r="C38" i="20" l="1"/>
  <c r="C39" i="20"/>
  <c r="C190" i="20"/>
  <c r="C71" i="20"/>
  <c r="C72" i="20"/>
  <c r="C73" i="20"/>
  <c r="C80" i="20"/>
  <c r="C81" i="20"/>
  <c r="C185" i="20"/>
  <c r="C186" i="20"/>
  <c r="C231" i="20"/>
  <c r="C232" i="20"/>
  <c r="C100" i="20"/>
  <c r="C101" i="20"/>
  <c r="C208" i="20"/>
  <c r="C209" i="20"/>
  <c r="C210" i="20"/>
  <c r="C69" i="20"/>
  <c r="C70" i="20"/>
  <c r="C76" i="20"/>
  <c r="C77" i="20"/>
  <c r="C57" i="20"/>
  <c r="C58" i="20"/>
  <c r="C27" i="20" l="1"/>
  <c r="G295" i="20"/>
  <c r="C94" i="20"/>
  <c r="C93" i="20"/>
  <c r="C90" i="20"/>
  <c r="C89" i="20"/>
  <c r="C20" i="20"/>
  <c r="C19" i="20"/>
  <c r="C116" i="20"/>
  <c r="C115" i="20"/>
  <c r="C114" i="20"/>
  <c r="C113" i="20"/>
  <c r="C195" i="20"/>
  <c r="C194" i="20"/>
  <c r="C193" i="20"/>
  <c r="C192" i="20"/>
  <c r="C191" i="20"/>
  <c r="C179" i="20"/>
  <c r="C178" i="20"/>
  <c r="C103" i="20"/>
  <c r="C102" i="20"/>
  <c r="C52" i="20"/>
  <c r="C51" i="20"/>
  <c r="C68" i="20"/>
  <c r="C67" i="20"/>
  <c r="C66" i="20"/>
  <c r="C149" i="20"/>
  <c r="C148" i="20"/>
  <c r="C147" i="20"/>
  <c r="C146" i="20"/>
  <c r="C47" i="20"/>
  <c r="C46" i="20"/>
  <c r="C175" i="20"/>
  <c r="C174" i="20"/>
  <c r="C173" i="20"/>
  <c r="C13" i="20"/>
  <c r="C12" i="20"/>
  <c r="C99" i="20"/>
  <c r="C98" i="20"/>
  <c r="C97" i="20"/>
  <c r="C96" i="20"/>
  <c r="C95" i="20"/>
  <c r="C37" i="20"/>
  <c r="C36" i="20"/>
  <c r="C35" i="20"/>
  <c r="C75" i="20"/>
  <c r="C74" i="20"/>
  <c r="C172" i="20"/>
  <c r="C171" i="20"/>
  <c r="C170" i="20"/>
  <c r="C23" i="20"/>
  <c r="C22" i="20"/>
  <c r="C21" i="20"/>
  <c r="C50" i="20"/>
  <c r="C49" i="20"/>
  <c r="C48" i="20"/>
  <c r="C45" i="20"/>
  <c r="C79" i="20"/>
  <c r="C78" i="20"/>
  <c r="C18" i="20"/>
  <c r="C17" i="20"/>
  <c r="C16" i="20"/>
  <c r="C207" i="20"/>
  <c r="C206" i="20"/>
  <c r="C44" i="20"/>
  <c r="C43" i="20"/>
  <c r="C199" i="20"/>
  <c r="C198" i="20"/>
  <c r="C197" i="20"/>
  <c r="C196" i="20"/>
  <c r="C160" i="20"/>
  <c r="C159" i="20"/>
  <c r="C169" i="20"/>
  <c r="C168" i="20"/>
  <c r="C124" i="20"/>
  <c r="C123" i="20"/>
  <c r="C122" i="20"/>
  <c r="C184" i="20"/>
  <c r="C183" i="20"/>
  <c r="C42" i="20"/>
  <c r="C41" i="20"/>
  <c r="C40" i="20"/>
  <c r="C145" i="20"/>
  <c r="C15" i="20"/>
  <c r="C14" i="20"/>
  <c r="C167" i="20"/>
  <c r="C166" i="20"/>
  <c r="C165" i="20"/>
  <c r="C225" i="20"/>
  <c r="C224" i="20"/>
  <c r="C223" i="20"/>
  <c r="C138" i="20"/>
  <c r="C137" i="20"/>
  <c r="C136" i="20"/>
  <c r="C135" i="20"/>
  <c r="C134" i="20"/>
  <c r="C133" i="20"/>
  <c r="C132" i="20"/>
  <c r="C11" i="20"/>
  <c r="C10" i="20"/>
  <c r="C26" i="20"/>
  <c r="C228" i="20"/>
  <c r="C227" i="20"/>
  <c r="C226" i="20"/>
  <c r="C88" i="20"/>
  <c r="C87" i="20"/>
  <c r="C158" i="20"/>
  <c r="C157" i="20"/>
  <c r="C156" i="20"/>
  <c r="C155" i="20"/>
  <c r="C154" i="20"/>
  <c r="C153" i="20"/>
  <c r="C152" i="20"/>
  <c r="C151" i="20"/>
  <c r="C164" i="20"/>
  <c r="C92" i="20"/>
  <c r="C91" i="20"/>
  <c r="C65" i="20"/>
  <c r="C64" i="20"/>
  <c r="C222" i="20"/>
  <c r="C221" i="20"/>
  <c r="C220" i="20"/>
  <c r="C182" i="20"/>
  <c r="C181" i="20"/>
  <c r="C180" i="20"/>
  <c r="C130" i="19" l="1"/>
  <c r="C131" i="19"/>
  <c r="C87" i="19"/>
  <c r="C88" i="19"/>
  <c r="C85" i="19"/>
  <c r="C86" i="19"/>
  <c r="C22" i="19"/>
  <c r="C23" i="19"/>
  <c r="C24" i="19"/>
  <c r="C51" i="19"/>
  <c r="C52" i="19"/>
  <c r="C59" i="19"/>
  <c r="C60" i="19"/>
  <c r="C61" i="19"/>
  <c r="C62" i="19"/>
  <c r="C63" i="19"/>
  <c r="C108" i="19"/>
  <c r="C109" i="19"/>
  <c r="C73" i="19"/>
  <c r="C74" i="19"/>
  <c r="C75" i="19"/>
  <c r="C76" i="19"/>
  <c r="C144" i="19"/>
  <c r="C145" i="19"/>
  <c r="C118" i="19"/>
  <c r="C119" i="19"/>
  <c r="C120" i="19"/>
  <c r="C121" i="19"/>
  <c r="C55" i="19"/>
  <c r="C56" i="19"/>
  <c r="C115" i="19"/>
  <c r="C12" i="19" l="1"/>
  <c r="C13" i="19"/>
  <c r="C14" i="19"/>
  <c r="C15" i="19"/>
  <c r="C16" i="19"/>
  <c r="C17" i="19"/>
  <c r="C18" i="19"/>
  <c r="C19" i="19"/>
  <c r="C165" i="19"/>
  <c r="C166" i="19"/>
  <c r="C167" i="19"/>
  <c r="C168" i="19"/>
  <c r="C169" i="19"/>
  <c r="C170" i="19"/>
  <c r="C93" i="19"/>
  <c r="C94" i="19"/>
  <c r="C158" i="19"/>
  <c r="C159" i="19"/>
  <c r="C161" i="19"/>
  <c r="C162" i="19"/>
  <c r="C171" i="19"/>
  <c r="C172" i="19"/>
  <c r="C160" i="19"/>
  <c r="C148" i="19"/>
  <c r="C149" i="19"/>
  <c r="C116" i="19"/>
  <c r="C117" i="19"/>
  <c r="C66" i="19"/>
  <c r="C67" i="19"/>
  <c r="C150" i="19"/>
  <c r="C151" i="19"/>
  <c r="G218" i="19"/>
  <c r="C138" i="19"/>
  <c r="C137" i="19"/>
  <c r="C80" i="19"/>
  <c r="C79" i="19"/>
  <c r="C78" i="19"/>
  <c r="C77" i="19"/>
  <c r="C136" i="19"/>
  <c r="C135" i="19"/>
  <c r="C134" i="19"/>
  <c r="C69" i="19"/>
  <c r="C68" i="19"/>
  <c r="C27" i="19"/>
  <c r="C26" i="19"/>
  <c r="C25" i="19"/>
  <c r="C102" i="19"/>
  <c r="C101" i="19"/>
  <c r="C126" i="19"/>
  <c r="C125" i="19"/>
  <c r="C124" i="19"/>
  <c r="C123" i="19"/>
  <c r="C122" i="19"/>
  <c r="C96" i="19"/>
  <c r="C95" i="19"/>
  <c r="C164" i="19"/>
  <c r="C163" i="19"/>
  <c r="C100" i="19"/>
  <c r="C99" i="19"/>
  <c r="C98" i="19"/>
  <c r="C97" i="19"/>
  <c r="C21" i="19"/>
  <c r="C20" i="19"/>
  <c r="C44" i="19"/>
  <c r="C43" i="19"/>
  <c r="C90" i="19"/>
  <c r="C89" i="19"/>
  <c r="C143" i="19"/>
  <c r="C142" i="19"/>
  <c r="C141" i="19"/>
  <c r="C140" i="19"/>
  <c r="C32" i="19"/>
  <c r="C31" i="19"/>
  <c r="C30" i="19"/>
  <c r="C29" i="19"/>
  <c r="C28" i="19"/>
  <c r="C11" i="19"/>
  <c r="C10" i="19"/>
  <c r="C156" i="19"/>
  <c r="C155" i="19"/>
  <c r="C45" i="19"/>
  <c r="C92" i="19"/>
  <c r="C91" i="19"/>
  <c r="C128" i="19"/>
  <c r="C127" i="19"/>
  <c r="C82" i="19"/>
  <c r="C81" i="19"/>
  <c r="C176" i="19"/>
  <c r="C175" i="19"/>
  <c r="C174" i="19"/>
  <c r="C54" i="19"/>
  <c r="C53" i="19"/>
  <c r="C50" i="19"/>
  <c r="C49" i="19"/>
  <c r="C48" i="19"/>
  <c r="C47" i="19"/>
  <c r="C129" i="19"/>
  <c r="C84" i="19"/>
  <c r="C83" i="19"/>
  <c r="C139" i="19"/>
  <c r="C147" i="19"/>
  <c r="C146" i="19"/>
  <c r="C154" i="19"/>
  <c r="C153" i="19"/>
  <c r="C152" i="19"/>
  <c r="C58" i="19"/>
  <c r="C57" i="19"/>
  <c r="C65" i="19"/>
  <c r="C40" i="19"/>
  <c r="C114" i="19"/>
  <c r="C113" i="19"/>
  <c r="C112" i="19"/>
  <c r="C111" i="19"/>
  <c r="C110" i="19"/>
  <c r="C72" i="19"/>
  <c r="C71" i="19"/>
  <c r="C70" i="19"/>
  <c r="C64" i="19"/>
  <c r="C39" i="19"/>
  <c r="C38" i="19"/>
  <c r="C37" i="19"/>
  <c r="C36" i="19"/>
  <c r="C35" i="19"/>
  <c r="C34" i="19"/>
  <c r="C33" i="19"/>
  <c r="C42" i="19"/>
  <c r="C41" i="19"/>
  <c r="C133" i="19"/>
  <c r="C132" i="19"/>
  <c r="C157" i="19"/>
  <c r="C107" i="19"/>
  <c r="C106" i="19"/>
  <c r="C105" i="19"/>
  <c r="C104" i="19"/>
  <c r="C103" i="19"/>
  <c r="C104" i="18" l="1"/>
  <c r="C105" i="18"/>
  <c r="C40" i="18"/>
  <c r="C42" i="18"/>
  <c r="C72" i="18" l="1"/>
  <c r="C73" i="18"/>
  <c r="C74" i="18"/>
  <c r="C162" i="17" l="1"/>
  <c r="C163" i="17"/>
  <c r="C166" i="17"/>
  <c r="C167" i="17"/>
  <c r="C175" i="17"/>
  <c r="C176" i="17"/>
  <c r="C108" i="17"/>
  <c r="C109" i="17"/>
  <c r="C151" i="17"/>
  <c r="C152" i="17"/>
  <c r="C153" i="17"/>
  <c r="C46" i="17" l="1"/>
  <c r="C47" i="17"/>
  <c r="C193" i="17"/>
  <c r="C194" i="17"/>
  <c r="C33" i="17"/>
  <c r="C34" i="17"/>
  <c r="C35" i="17"/>
  <c r="C147" i="17"/>
  <c r="C97" i="17" l="1"/>
  <c r="C98" i="17"/>
  <c r="C99" i="17"/>
  <c r="C100" i="17"/>
  <c r="C124" i="17"/>
  <c r="C125" i="17"/>
  <c r="C126" i="17"/>
  <c r="C114" i="17"/>
  <c r="C115" i="17"/>
  <c r="C156" i="17"/>
  <c r="C157" i="17"/>
  <c r="C158" i="17"/>
  <c r="C159" i="17"/>
  <c r="C205" i="17"/>
  <c r="C173" i="17"/>
  <c r="C174" i="17"/>
  <c r="C122" i="17"/>
  <c r="C123" i="17"/>
  <c r="C15" i="17"/>
  <c r="C16" i="17"/>
  <c r="C17" i="17"/>
  <c r="C18" i="17"/>
  <c r="C105" i="17"/>
  <c r="C40" i="17"/>
  <c r="C41" i="17"/>
  <c r="C42" i="17"/>
  <c r="C43" i="17"/>
  <c r="C44" i="17"/>
  <c r="C45" i="17"/>
  <c r="C177" i="17"/>
  <c r="C178" i="17"/>
  <c r="C179" i="17"/>
  <c r="C127" i="17"/>
  <c r="C128" i="17"/>
  <c r="G186" i="18" l="1"/>
  <c r="C41" i="18"/>
  <c r="C103" i="18"/>
  <c r="C102" i="18"/>
  <c r="C29" i="18"/>
  <c r="C28" i="18"/>
  <c r="C119" i="18"/>
  <c r="C118" i="18"/>
  <c r="C91" i="18"/>
  <c r="C90" i="18"/>
  <c r="C85" i="18"/>
  <c r="C84" i="18"/>
  <c r="C117" i="18"/>
  <c r="C116" i="18"/>
  <c r="C115" i="18"/>
  <c r="C114" i="18"/>
  <c r="C113" i="18"/>
  <c r="C112" i="18"/>
  <c r="C111" i="18"/>
  <c r="C46" i="18"/>
  <c r="C45" i="18"/>
  <c r="C44" i="18"/>
  <c r="C22" i="18"/>
  <c r="C21" i="18"/>
  <c r="C20" i="18"/>
  <c r="C16" i="18"/>
  <c r="C15" i="18"/>
  <c r="C110" i="18"/>
  <c r="C109" i="18"/>
  <c r="C60" i="18"/>
  <c r="C59" i="18"/>
  <c r="C58" i="18"/>
  <c r="C57" i="18"/>
  <c r="C56" i="18"/>
  <c r="C55" i="18"/>
  <c r="C66" i="18"/>
  <c r="C65" i="18"/>
  <c r="C64" i="18"/>
  <c r="C94" i="18"/>
  <c r="C93" i="18"/>
  <c r="C92" i="18"/>
  <c r="C27" i="18"/>
  <c r="C26" i="18"/>
  <c r="C25" i="18"/>
  <c r="C81" i="18"/>
  <c r="C80" i="18"/>
  <c r="C140" i="18"/>
  <c r="C139" i="18"/>
  <c r="C138" i="18"/>
  <c r="C137" i="18"/>
  <c r="C136" i="18"/>
  <c r="C135" i="18"/>
  <c r="C134" i="18"/>
  <c r="C52" i="18"/>
  <c r="C51" i="18"/>
  <c r="C14" i="18"/>
  <c r="C13" i="18"/>
  <c r="C12" i="18"/>
  <c r="C11" i="18"/>
  <c r="C10" i="18"/>
  <c r="C89" i="18"/>
  <c r="C88" i="18"/>
  <c r="C87" i="18"/>
  <c r="C86" i="18"/>
  <c r="C50" i="18"/>
  <c r="C49" i="18"/>
  <c r="C34" i="18"/>
  <c r="C33" i="18"/>
  <c r="C77" i="18"/>
  <c r="C76" i="18"/>
  <c r="C75" i="18"/>
  <c r="C133" i="18"/>
  <c r="C132" i="18"/>
  <c r="C36" i="18"/>
  <c r="C35" i="18"/>
  <c r="C131" i="18"/>
  <c r="C130" i="18"/>
  <c r="C142" i="18"/>
  <c r="C141" i="18"/>
  <c r="C19" i="18"/>
  <c r="C18" i="18"/>
  <c r="C17" i="18"/>
  <c r="C71" i="18"/>
  <c r="C70" i="18"/>
  <c r="C62" i="18"/>
  <c r="C61" i="18"/>
  <c r="C127" i="18"/>
  <c r="C126" i="18"/>
  <c r="C32" i="18"/>
  <c r="C31" i="18"/>
  <c r="C30" i="18"/>
  <c r="C69" i="18"/>
  <c r="C68" i="18"/>
  <c r="C67" i="18"/>
  <c r="C63" i="18"/>
  <c r="C144" i="18"/>
  <c r="C143" i="18"/>
  <c r="C48" i="18"/>
  <c r="C47" i="18"/>
  <c r="C125" i="18"/>
  <c r="C124" i="18"/>
  <c r="C123" i="18"/>
  <c r="C122" i="18"/>
  <c r="C121" i="18"/>
  <c r="C120" i="18"/>
  <c r="C95" i="18"/>
  <c r="C108" i="18"/>
  <c r="C107" i="18"/>
  <c r="C101" i="18"/>
  <c r="C100" i="18"/>
  <c r="C39" i="18"/>
  <c r="C24" i="18"/>
  <c r="C23" i="18"/>
  <c r="C106" i="18"/>
  <c r="C129" i="18"/>
  <c r="C128" i="18"/>
  <c r="C99" i="18"/>
  <c r="C98" i="18"/>
  <c r="C54" i="18"/>
  <c r="C53" i="18"/>
  <c r="C83" i="18"/>
  <c r="C82" i="18"/>
  <c r="C97" i="18"/>
  <c r="C96" i="18"/>
  <c r="C38" i="18"/>
  <c r="C37" i="18"/>
  <c r="C196" i="17" l="1"/>
  <c r="C199" i="17"/>
  <c r="C77" i="17"/>
  <c r="C78" i="17"/>
  <c r="C79" i="17"/>
  <c r="C80" i="17"/>
  <c r="G252" i="17"/>
  <c r="C96" i="17"/>
  <c r="C76" i="17"/>
  <c r="C75" i="17"/>
  <c r="C74" i="17"/>
  <c r="C73" i="17"/>
  <c r="C135" i="17"/>
  <c r="C134" i="17"/>
  <c r="C133" i="17"/>
  <c r="C132" i="17"/>
  <c r="C119" i="17"/>
  <c r="C118" i="17"/>
  <c r="C117" i="17"/>
  <c r="C116" i="17"/>
  <c r="C172" i="17"/>
  <c r="C171" i="17"/>
  <c r="C90" i="17"/>
  <c r="C89" i="17"/>
  <c r="C88" i="17"/>
  <c r="C87" i="17"/>
  <c r="C86" i="17"/>
  <c r="C161" i="17"/>
  <c r="C160" i="17"/>
  <c r="C165" i="17"/>
  <c r="C164" i="17"/>
  <c r="C24" i="17"/>
  <c r="C23" i="17"/>
  <c r="C121" i="17"/>
  <c r="C120" i="17"/>
  <c r="C95" i="17"/>
  <c r="C32" i="17"/>
  <c r="C113" i="17"/>
  <c r="C112" i="17"/>
  <c r="C85" i="17"/>
  <c r="C84" i="17"/>
  <c r="C83" i="17"/>
  <c r="C82" i="17"/>
  <c r="C14" i="17"/>
  <c r="C13" i="17"/>
  <c r="C12" i="17"/>
  <c r="C190" i="17"/>
  <c r="C189" i="17"/>
  <c r="C111" i="17"/>
  <c r="C110" i="17"/>
  <c r="C202" i="17"/>
  <c r="C201" i="17"/>
  <c r="C170" i="17"/>
  <c r="C169" i="17"/>
  <c r="C168" i="17"/>
  <c r="C69" i="17"/>
  <c r="C68" i="17"/>
  <c r="C131" i="17"/>
  <c r="C130" i="17"/>
  <c r="C129" i="17"/>
  <c r="C65" i="17"/>
  <c r="C64" i="17"/>
  <c r="C29" i="17"/>
  <c r="C28" i="17"/>
  <c r="C27" i="17"/>
  <c r="C204" i="17"/>
  <c r="C203" i="17"/>
  <c r="C188" i="17"/>
  <c r="C187" i="17"/>
  <c r="C186" i="17"/>
  <c r="C31" i="17"/>
  <c r="C30" i="17"/>
  <c r="C94" i="17"/>
  <c r="C93" i="17"/>
  <c r="C200" i="17"/>
  <c r="C195" i="17"/>
  <c r="C150" i="17"/>
  <c r="C149" i="17"/>
  <c r="C148" i="17"/>
  <c r="C143" i="17"/>
  <c r="C142" i="17"/>
  <c r="C141" i="17"/>
  <c r="C182" i="17"/>
  <c r="C181" i="17"/>
  <c r="C180" i="17"/>
  <c r="C22" i="17"/>
  <c r="C21" i="17"/>
  <c r="C20" i="17"/>
  <c r="C19" i="17"/>
  <c r="C184" i="17"/>
  <c r="C183" i="17"/>
  <c r="C198" i="17"/>
  <c r="C197" i="17"/>
  <c r="C192" i="17"/>
  <c r="C191" i="17"/>
  <c r="C155" i="17"/>
  <c r="C154" i="17"/>
  <c r="C50" i="17"/>
  <c r="C49" i="17"/>
  <c r="C48" i="17"/>
  <c r="C210" i="17"/>
  <c r="C209" i="17"/>
  <c r="C208" i="17"/>
  <c r="C67" i="17"/>
  <c r="C66" i="17"/>
  <c r="C63" i="17"/>
  <c r="C62" i="17"/>
  <c r="C11" i="17"/>
  <c r="C10" i="17"/>
  <c r="C104" i="17"/>
  <c r="C103" i="17"/>
  <c r="C102" i="17"/>
  <c r="C53" i="17"/>
  <c r="C52" i="17"/>
  <c r="C101" i="17"/>
  <c r="C146" i="17"/>
  <c r="C145" i="17"/>
  <c r="C144" i="17"/>
  <c r="C81" i="17"/>
  <c r="C61" i="17"/>
  <c r="C60" i="17"/>
  <c r="C59" i="17"/>
  <c r="C58" i="17"/>
  <c r="C57" i="17"/>
  <c r="C56" i="17"/>
  <c r="C55" i="17"/>
  <c r="C54" i="17"/>
  <c r="C51" i="17"/>
  <c r="C72" i="17"/>
  <c r="C71" i="17"/>
  <c r="C70" i="17"/>
  <c r="C39" i="17"/>
  <c r="C38" i="17"/>
  <c r="C92" i="17"/>
  <c r="C91" i="17"/>
  <c r="C37" i="17"/>
  <c r="C36" i="17"/>
  <c r="C26" i="17"/>
  <c r="C25" i="17"/>
  <c r="C107" i="17"/>
  <c r="C106" i="17"/>
  <c r="C185" i="17"/>
  <c r="C159" i="16" l="1"/>
  <c r="C98" i="16"/>
  <c r="C99" i="16"/>
  <c r="C100" i="16"/>
  <c r="C68" i="16"/>
  <c r="C162" i="16"/>
  <c r="C163" i="16"/>
  <c r="C140" i="16"/>
  <c r="C141" i="16"/>
  <c r="C86" i="16"/>
  <c r="C87" i="16"/>
  <c r="C88" i="16"/>
  <c r="C13" i="16"/>
  <c r="C14" i="16"/>
  <c r="C15" i="16"/>
  <c r="C59" i="16" l="1"/>
  <c r="C60" i="16"/>
  <c r="C61" i="16"/>
  <c r="C62" i="16"/>
  <c r="C22" i="16"/>
  <c r="C27" i="16"/>
  <c r="C63" i="16"/>
  <c r="C64" i="16"/>
  <c r="C165" i="16"/>
  <c r="C101" i="16"/>
  <c r="C102" i="16"/>
  <c r="C52" i="16"/>
  <c r="C53" i="16"/>
  <c r="C123" i="16"/>
  <c r="C124" i="16"/>
  <c r="G236" i="16"/>
  <c r="C49" i="16"/>
  <c r="C48" i="16"/>
  <c r="C30" i="16"/>
  <c r="C29" i="16"/>
  <c r="C28" i="16"/>
  <c r="C12" i="16"/>
  <c r="C11" i="16"/>
  <c r="C10" i="16"/>
  <c r="C55" i="16"/>
  <c r="C54" i="16"/>
  <c r="C168" i="16"/>
  <c r="C23" i="16"/>
  <c r="C58" i="16"/>
  <c r="C57" i="16"/>
  <c r="C56" i="16"/>
  <c r="C73" i="16"/>
  <c r="C72" i="16"/>
  <c r="C71" i="16"/>
  <c r="C150" i="16"/>
  <c r="C149" i="16"/>
  <c r="C139" i="16"/>
  <c r="C138" i="16"/>
  <c r="C137" i="16"/>
  <c r="C144" i="16"/>
  <c r="C143" i="16"/>
  <c r="C34" i="16"/>
  <c r="C33" i="16"/>
  <c r="C32" i="16"/>
  <c r="C178" i="16"/>
  <c r="C177" i="16"/>
  <c r="C176" i="16"/>
  <c r="C45" i="16"/>
  <c r="C70" i="16"/>
  <c r="C69" i="16"/>
  <c r="C21" i="16"/>
  <c r="C20" i="16"/>
  <c r="C158" i="16"/>
  <c r="C157" i="16"/>
  <c r="C136" i="16"/>
  <c r="C135" i="16"/>
  <c r="C134" i="16"/>
  <c r="C171" i="16"/>
  <c r="C170" i="16"/>
  <c r="C169" i="16"/>
  <c r="C122" i="16"/>
  <c r="C121" i="16"/>
  <c r="C85" i="16"/>
  <c r="C84" i="16"/>
  <c r="C83" i="16"/>
  <c r="C82" i="16"/>
  <c r="C51" i="16"/>
  <c r="C50" i="16"/>
  <c r="C133" i="16"/>
  <c r="C132" i="16"/>
  <c r="C31" i="16"/>
  <c r="C44" i="16"/>
  <c r="C43" i="16"/>
  <c r="C167" i="16"/>
  <c r="C166" i="16"/>
  <c r="C181" i="16"/>
  <c r="C152" i="16"/>
  <c r="C151" i="16"/>
  <c r="C112" i="16"/>
  <c r="C111" i="16"/>
  <c r="C90" i="16"/>
  <c r="C89" i="16"/>
  <c r="C175" i="16"/>
  <c r="C174" i="16"/>
  <c r="C47" i="16"/>
  <c r="C46" i="16"/>
  <c r="C173" i="16"/>
  <c r="C172" i="16"/>
  <c r="C36" i="16"/>
  <c r="C35" i="16"/>
  <c r="C154" i="16"/>
  <c r="C153" i="16"/>
  <c r="C66" i="16"/>
  <c r="C65" i="16"/>
  <c r="C26" i="16"/>
  <c r="C25" i="16"/>
  <c r="C24" i="16"/>
  <c r="C129" i="16"/>
  <c r="C128" i="16"/>
  <c r="C108" i="16"/>
  <c r="C107" i="16"/>
  <c r="C106" i="16"/>
  <c r="C105" i="16"/>
  <c r="C104" i="16"/>
  <c r="C103" i="16"/>
  <c r="C42" i="16"/>
  <c r="C41" i="16"/>
  <c r="C156" i="16"/>
  <c r="C155" i="16"/>
  <c r="C142" i="16"/>
  <c r="C164" i="16"/>
  <c r="C118" i="16"/>
  <c r="C117" i="16"/>
  <c r="C120" i="16"/>
  <c r="C119" i="16"/>
  <c r="C97" i="16"/>
  <c r="C96" i="16"/>
  <c r="C95" i="16"/>
  <c r="C81" i="16"/>
  <c r="C80" i="16"/>
  <c r="C79" i="16"/>
  <c r="C78" i="16"/>
  <c r="C77" i="16"/>
  <c r="C76" i="16"/>
  <c r="C75" i="16"/>
  <c r="C74" i="16"/>
  <c r="C110" i="16"/>
  <c r="C109" i="16"/>
  <c r="C127" i="16"/>
  <c r="C114" i="16"/>
  <c r="C113" i="16"/>
  <c r="C148" i="16"/>
  <c r="C147" i="16"/>
  <c r="C146" i="16"/>
  <c r="C145" i="16"/>
  <c r="C19" i="16"/>
  <c r="C18" i="16"/>
  <c r="C94" i="16"/>
  <c r="C93" i="16"/>
  <c r="C17" i="16"/>
  <c r="C16" i="16"/>
  <c r="C131" i="16"/>
  <c r="C130" i="16"/>
  <c r="C161" i="16"/>
  <c r="C160" i="16"/>
  <c r="C67" i="16"/>
  <c r="C126" i="16"/>
  <c r="C125" i="16"/>
  <c r="C116" i="16"/>
  <c r="C115" i="16"/>
  <c r="C180" i="16"/>
  <c r="C179" i="16"/>
  <c r="C99" i="15"/>
  <c r="C100" i="15"/>
  <c r="C142" i="15"/>
  <c r="C143" i="15"/>
  <c r="C16" i="15"/>
  <c r="C17" i="15"/>
  <c r="C46" i="15"/>
  <c r="C176" i="15"/>
  <c r="C177" i="15"/>
  <c r="C178" i="15"/>
  <c r="C179" i="15"/>
  <c r="C180" i="15"/>
  <c r="C47" i="15"/>
  <c r="C160" i="15"/>
  <c r="C161" i="15"/>
  <c r="C162" i="15"/>
  <c r="C163" i="15"/>
  <c r="C164" i="15"/>
  <c r="C165" i="15"/>
  <c r="C166" i="15"/>
  <c r="C167" i="15"/>
  <c r="C168" i="15"/>
  <c r="C169" i="15"/>
  <c r="C58" i="15" l="1"/>
  <c r="C59" i="15"/>
  <c r="C60" i="15"/>
  <c r="C20" i="15"/>
  <c r="C21" i="15"/>
  <c r="C149" i="15"/>
  <c r="C150" i="15"/>
  <c r="C151" i="15"/>
  <c r="C152" i="15"/>
  <c r="C153" i="15"/>
  <c r="C154" i="15"/>
  <c r="C110" i="15"/>
  <c r="C111" i="15"/>
  <c r="C112" i="15"/>
  <c r="C113" i="15"/>
  <c r="C114" i="15"/>
  <c r="C115" i="15"/>
  <c r="C173" i="15"/>
  <c r="C174" i="15"/>
  <c r="C158" i="15"/>
  <c r="C159" i="15"/>
  <c r="C63" i="15"/>
  <c r="C64" i="15"/>
  <c r="C65" i="15"/>
  <c r="C66" i="15"/>
  <c r="C67" i="15"/>
  <c r="C68" i="15"/>
  <c r="C200" i="15"/>
  <c r="C201" i="15"/>
  <c r="C202" i="15"/>
  <c r="C203" i="15"/>
  <c r="C204" i="15"/>
  <c r="C205" i="15"/>
  <c r="C50" i="15"/>
  <c r="C51" i="15"/>
  <c r="C52" i="15"/>
  <c r="C132" i="15"/>
  <c r="C133" i="15"/>
  <c r="C48" i="15"/>
  <c r="C49" i="15"/>
  <c r="C134" i="15" l="1"/>
  <c r="C135" i="15"/>
  <c r="C35" i="15"/>
  <c r="C36" i="15"/>
  <c r="C40" i="15" l="1"/>
  <c r="C18" i="15"/>
  <c r="G242" i="15"/>
  <c r="C187" i="15"/>
  <c r="C186" i="15"/>
  <c r="C157" i="15"/>
  <c r="C156" i="15"/>
  <c r="C155" i="15"/>
  <c r="C82" i="15"/>
  <c r="C81" i="15"/>
  <c r="C80" i="15"/>
  <c r="C148" i="15"/>
  <c r="C147" i="15"/>
  <c r="C146" i="15"/>
  <c r="C131" i="15"/>
  <c r="C130" i="15"/>
  <c r="C105" i="15"/>
  <c r="C104" i="15"/>
  <c r="C103" i="15"/>
  <c r="C102" i="15"/>
  <c r="C101" i="15"/>
  <c r="C23" i="15"/>
  <c r="C22" i="15"/>
  <c r="C90" i="15"/>
  <c r="C34" i="15"/>
  <c r="C33" i="15"/>
  <c r="C32" i="15"/>
  <c r="C31" i="15"/>
  <c r="C79" i="15"/>
  <c r="C78" i="15"/>
  <c r="C77" i="15"/>
  <c r="C76" i="15"/>
  <c r="C75" i="15"/>
  <c r="C141" i="15"/>
  <c r="C140" i="15"/>
  <c r="C70" i="15"/>
  <c r="C69" i="15"/>
  <c r="C138" i="15"/>
  <c r="C137" i="15"/>
  <c r="C136" i="15"/>
  <c r="C124" i="15"/>
  <c r="C123" i="15"/>
  <c r="C122" i="15"/>
  <c r="C121" i="15"/>
  <c r="C109" i="15"/>
  <c r="C108" i="15"/>
  <c r="C27" i="15"/>
  <c r="C26" i="15"/>
  <c r="C120" i="15"/>
  <c r="C175" i="15"/>
  <c r="C107" i="15"/>
  <c r="C106" i="15"/>
  <c r="C85" i="15"/>
  <c r="C84" i="15"/>
  <c r="C83" i="15"/>
  <c r="C199" i="15"/>
  <c r="C198" i="15"/>
  <c r="C197" i="15"/>
  <c r="C196" i="15"/>
  <c r="C195" i="15"/>
  <c r="C194" i="15"/>
  <c r="C193" i="15"/>
  <c r="C192" i="15"/>
  <c r="C191" i="15"/>
  <c r="C39" i="15"/>
  <c r="C38" i="15"/>
  <c r="C37" i="15"/>
  <c r="C172" i="15"/>
  <c r="C171" i="15"/>
  <c r="C170" i="15"/>
  <c r="C207" i="15"/>
  <c r="C206" i="15"/>
  <c r="C25" i="15"/>
  <c r="C24" i="15"/>
  <c r="C87" i="15"/>
  <c r="C86" i="15"/>
  <c r="C129" i="15"/>
  <c r="C128" i="15"/>
  <c r="C127" i="15"/>
  <c r="C126" i="15"/>
  <c r="C45" i="15"/>
  <c r="C44" i="15"/>
  <c r="C30" i="15"/>
  <c r="C29" i="15"/>
  <c r="C28" i="15"/>
  <c r="C41" i="15"/>
  <c r="C15" i="15"/>
  <c r="C14" i="15"/>
  <c r="C93" i="15"/>
  <c r="C92" i="15"/>
  <c r="C91" i="15"/>
  <c r="C190" i="15"/>
  <c r="C189" i="15"/>
  <c r="C188" i="15"/>
  <c r="C89" i="15"/>
  <c r="C88" i="15"/>
  <c r="C95" i="15"/>
  <c r="C94" i="15"/>
  <c r="C125" i="15"/>
  <c r="C62" i="15"/>
  <c r="C61" i="15"/>
  <c r="C119" i="15"/>
  <c r="C118" i="15"/>
  <c r="C117" i="15"/>
  <c r="C116" i="15"/>
  <c r="C57" i="15"/>
  <c r="C56" i="15"/>
  <c r="C55" i="15"/>
  <c r="C145" i="15"/>
  <c r="C144" i="15"/>
  <c r="C43" i="15"/>
  <c r="C42" i="15"/>
  <c r="C54" i="15"/>
  <c r="C53" i="15"/>
  <c r="C19" i="15"/>
  <c r="C29" i="14" l="1"/>
  <c r="C30" i="14"/>
  <c r="C157" i="14"/>
  <c r="C158" i="14"/>
  <c r="C68" i="14"/>
  <c r="C69" i="14"/>
  <c r="C86" i="14"/>
  <c r="C87" i="14"/>
  <c r="C140" i="14"/>
  <c r="C141" i="14"/>
  <c r="C142" i="14"/>
  <c r="C159" i="14"/>
  <c r="C160" i="14"/>
  <c r="C161" i="14"/>
  <c r="C155" i="14"/>
  <c r="C156" i="14"/>
  <c r="C43" i="14"/>
  <c r="C44" i="14"/>
  <c r="C27" i="14"/>
  <c r="C64" i="14"/>
  <c r="C65" i="14"/>
  <c r="C119" i="14" l="1"/>
  <c r="C48" i="14" l="1"/>
  <c r="C49" i="14"/>
  <c r="C50" i="14"/>
  <c r="C101" i="14" l="1"/>
  <c r="G220" i="14"/>
  <c r="C28" i="14"/>
  <c r="C114" i="14"/>
  <c r="C113" i="14"/>
  <c r="C112" i="14"/>
  <c r="C111" i="14"/>
  <c r="C35" i="14"/>
  <c r="C34" i="14"/>
  <c r="C20" i="14"/>
  <c r="C19" i="14"/>
  <c r="C18" i="14"/>
  <c r="C74" i="14"/>
  <c r="C73" i="14"/>
  <c r="C72" i="14"/>
  <c r="C83" i="14"/>
  <c r="C76" i="14"/>
  <c r="C75" i="14"/>
  <c r="C98" i="14"/>
  <c r="C168" i="14"/>
  <c r="C167" i="14"/>
  <c r="C166" i="14"/>
  <c r="C25" i="14"/>
  <c r="C24" i="14"/>
  <c r="C152" i="14"/>
  <c r="C151" i="14"/>
  <c r="C106" i="14"/>
  <c r="C105" i="14"/>
  <c r="C104" i="14"/>
  <c r="C47" i="14"/>
  <c r="C46" i="14"/>
  <c r="C45" i="14"/>
  <c r="C165" i="14"/>
  <c r="C164" i="14"/>
  <c r="C135" i="14"/>
  <c r="C134" i="14"/>
  <c r="C40" i="14"/>
  <c r="C39" i="14"/>
  <c r="C23" i="14"/>
  <c r="C22" i="14"/>
  <c r="C137" i="14"/>
  <c r="C136" i="14"/>
  <c r="C130" i="14"/>
  <c r="C129" i="14"/>
  <c r="C128" i="14"/>
  <c r="C127" i="14"/>
  <c r="C17" i="14"/>
  <c r="C16" i="14"/>
  <c r="C62" i="14"/>
  <c r="C61" i="14"/>
  <c r="C60" i="14"/>
  <c r="C110" i="14"/>
  <c r="C109" i="14"/>
  <c r="C133" i="14"/>
  <c r="C132" i="14"/>
  <c r="C131" i="14"/>
  <c r="C33" i="14"/>
  <c r="C32" i="14"/>
  <c r="C31" i="14"/>
  <c r="C85" i="14"/>
  <c r="C84" i="14"/>
  <c r="C21" i="14"/>
  <c r="C124" i="14"/>
  <c r="C123" i="14"/>
  <c r="C122" i="14"/>
  <c r="C121" i="14"/>
  <c r="C120" i="14"/>
  <c r="C15" i="14"/>
  <c r="C14" i="14"/>
  <c r="C13" i="14"/>
  <c r="C80" i="14"/>
  <c r="C79" i="14"/>
  <c r="C78" i="14"/>
  <c r="C77" i="14"/>
  <c r="C108" i="14"/>
  <c r="C107" i="14"/>
  <c r="C118" i="14"/>
  <c r="C117" i="14"/>
  <c r="C67" i="14"/>
  <c r="C66" i="14"/>
  <c r="C139" i="14"/>
  <c r="C138" i="14"/>
  <c r="C150" i="14"/>
  <c r="C149" i="14"/>
  <c r="C97" i="14"/>
  <c r="C96" i="14"/>
  <c r="C95" i="14"/>
  <c r="C94" i="14"/>
  <c r="C93" i="14"/>
  <c r="C92" i="14"/>
  <c r="C91" i="14"/>
  <c r="C90" i="14"/>
  <c r="C89" i="14"/>
  <c r="C88" i="14"/>
  <c r="C148" i="14"/>
  <c r="C147" i="14"/>
  <c r="C163" i="14"/>
  <c r="C162" i="14"/>
  <c r="C100" i="14"/>
  <c r="C99" i="14"/>
  <c r="C56" i="14"/>
  <c r="C55" i="14"/>
  <c r="C54" i="14"/>
  <c r="C53" i="14"/>
  <c r="C52" i="14"/>
  <c r="C51" i="14"/>
  <c r="C38" i="14"/>
  <c r="C37" i="14"/>
  <c r="C36" i="14"/>
  <c r="C154" i="14"/>
  <c r="C153" i="14"/>
  <c r="C42" i="14"/>
  <c r="C41" i="14"/>
  <c r="C71" i="14"/>
  <c r="C70" i="14"/>
  <c r="C63" i="14"/>
  <c r="C126" i="14"/>
  <c r="C125" i="14"/>
  <c r="C116" i="14"/>
  <c r="C115" i="14"/>
  <c r="C82" i="14"/>
  <c r="C81" i="14"/>
  <c r="C103" i="14"/>
  <c r="C102" i="14"/>
  <c r="C135" i="13" l="1"/>
  <c r="C136" i="13"/>
  <c r="C167" i="13"/>
  <c r="C154" i="13"/>
  <c r="C155" i="13"/>
  <c r="C156" i="13"/>
  <c r="C159" i="13"/>
  <c r="C160" i="13"/>
  <c r="C19" i="13"/>
  <c r="C20" i="13"/>
  <c r="C164" i="13"/>
  <c r="C165" i="13"/>
  <c r="C166" i="13"/>
  <c r="C137" i="13"/>
  <c r="C138" i="13"/>
  <c r="C44" i="13"/>
  <c r="C45" i="13"/>
  <c r="C113" i="13"/>
  <c r="C114" i="13"/>
  <c r="C18" i="13" l="1"/>
  <c r="C21" i="13" l="1"/>
  <c r="C22" i="13"/>
  <c r="G211" i="13" l="1"/>
  <c r="C73" i="13"/>
  <c r="C72" i="13"/>
  <c r="C71" i="13"/>
  <c r="C70" i="13"/>
  <c r="C69" i="13"/>
  <c r="C68" i="13"/>
  <c r="C144" i="13"/>
  <c r="C143" i="13"/>
  <c r="C142" i="13"/>
  <c r="C141" i="13"/>
  <c r="C67" i="13"/>
  <c r="C66" i="13"/>
  <c r="C65" i="13"/>
  <c r="C64" i="13"/>
  <c r="C55" i="13"/>
  <c r="C54" i="13"/>
  <c r="C53" i="13"/>
  <c r="C52" i="13"/>
  <c r="C91" i="13"/>
  <c r="C90" i="13"/>
  <c r="C36" i="13"/>
  <c r="C35" i="13"/>
  <c r="C101" i="13"/>
  <c r="C100" i="13"/>
  <c r="C112" i="13"/>
  <c r="C111" i="13"/>
  <c r="C47" i="13"/>
  <c r="C46" i="13"/>
  <c r="C27" i="13"/>
  <c r="C26" i="13"/>
  <c r="C25" i="13"/>
  <c r="C24" i="13"/>
  <c r="C23" i="13"/>
  <c r="C16" i="13"/>
  <c r="C15" i="13"/>
  <c r="C14" i="13"/>
  <c r="C43" i="13"/>
  <c r="C42" i="13"/>
  <c r="C134" i="13"/>
  <c r="C133" i="13"/>
  <c r="C132" i="13"/>
  <c r="C131" i="13"/>
  <c r="C130" i="13"/>
  <c r="C129" i="13"/>
  <c r="C110" i="13"/>
  <c r="C109" i="13"/>
  <c r="C108" i="13"/>
  <c r="C128" i="13"/>
  <c r="C127" i="13"/>
  <c r="C126" i="13"/>
  <c r="C58" i="13"/>
  <c r="C57" i="13"/>
  <c r="C56" i="13"/>
  <c r="C86" i="13"/>
  <c r="C85" i="13"/>
  <c r="C84" i="13"/>
  <c r="C83" i="13"/>
  <c r="C13" i="13"/>
  <c r="C12" i="13"/>
  <c r="C147" i="13"/>
  <c r="C146" i="13"/>
  <c r="C145" i="13"/>
  <c r="C40" i="13"/>
  <c r="C39" i="13"/>
  <c r="C153" i="13"/>
  <c r="C11" i="13"/>
  <c r="C10" i="13"/>
  <c r="C152" i="13"/>
  <c r="C151" i="13"/>
  <c r="C150" i="13"/>
  <c r="C158" i="13"/>
  <c r="C157" i="13"/>
  <c r="C169" i="13"/>
  <c r="C168" i="13"/>
  <c r="C175" i="13"/>
  <c r="C174" i="13"/>
  <c r="C173" i="13"/>
  <c r="C172" i="13"/>
  <c r="C171" i="13"/>
  <c r="C170" i="13"/>
  <c r="C163" i="13"/>
  <c r="C162" i="13"/>
  <c r="C161" i="13"/>
  <c r="C93" i="13"/>
  <c r="C92" i="13"/>
  <c r="C17" i="13"/>
  <c r="C63" i="13"/>
  <c r="C62" i="13"/>
  <c r="C61" i="13"/>
  <c r="C60" i="13"/>
  <c r="C119" i="13"/>
  <c r="C118" i="13"/>
  <c r="C117" i="13"/>
  <c r="C116" i="13"/>
  <c r="C59" i="13"/>
  <c r="C140" i="13"/>
  <c r="C139" i="13"/>
  <c r="C80" i="13"/>
  <c r="C79" i="13"/>
  <c r="C121" i="13"/>
  <c r="C120" i="13"/>
  <c r="C97" i="13"/>
  <c r="C96" i="13"/>
  <c r="C95" i="13"/>
  <c r="C94" i="13"/>
  <c r="C30" i="13"/>
  <c r="C29" i="13"/>
  <c r="C28" i="13"/>
  <c r="C89" i="13"/>
  <c r="C88" i="13"/>
  <c r="C87" i="13"/>
  <c r="C38" i="13"/>
  <c r="C37" i="13"/>
  <c r="C49" i="13"/>
  <c r="C48" i="13"/>
  <c r="C177" i="13"/>
  <c r="C176" i="13"/>
  <c r="C107" i="13"/>
  <c r="C106" i="13"/>
  <c r="C105" i="13"/>
  <c r="C104" i="13"/>
  <c r="C125" i="13"/>
  <c r="C124" i="13"/>
  <c r="C82" i="13"/>
  <c r="C81" i="13"/>
  <c r="C103" i="13"/>
  <c r="C102" i="13"/>
  <c r="C78" i="13"/>
  <c r="C77" i="13"/>
  <c r="C76" i="13"/>
  <c r="C75" i="13"/>
  <c r="C74" i="13"/>
  <c r="C34" i="13"/>
  <c r="C33" i="13"/>
  <c r="C32" i="13"/>
  <c r="C31" i="13"/>
  <c r="C123" i="13"/>
  <c r="C122" i="13"/>
  <c r="C99" i="13"/>
  <c r="C98" i="13"/>
  <c r="C115" i="13"/>
  <c r="C149" i="13"/>
  <c r="C148" i="13"/>
  <c r="C51" i="13"/>
  <c r="C50" i="13"/>
  <c r="C178" i="12" l="1"/>
  <c r="C62" i="12"/>
  <c r="C63" i="12"/>
  <c r="C72" i="12"/>
  <c r="C73" i="12"/>
  <c r="C132" i="12"/>
  <c r="C133" i="12"/>
  <c r="C134" i="12"/>
  <c r="C89" i="12"/>
  <c r="C90" i="12"/>
  <c r="C150" i="12"/>
  <c r="C151" i="12"/>
  <c r="C152" i="12"/>
  <c r="C153" i="12"/>
  <c r="C154" i="12"/>
  <c r="C121" i="12"/>
  <c r="C122" i="12"/>
  <c r="C74" i="12" l="1"/>
  <c r="C75" i="12"/>
  <c r="G237" i="12" l="1"/>
  <c r="C177" i="12"/>
  <c r="C176" i="12"/>
  <c r="C129" i="12"/>
  <c r="C128" i="12"/>
  <c r="C136" i="12"/>
  <c r="C135" i="12"/>
  <c r="C38" i="12"/>
  <c r="C37" i="12"/>
  <c r="C110" i="12"/>
  <c r="C109" i="12"/>
  <c r="C108" i="12"/>
  <c r="C107" i="12"/>
  <c r="C69" i="12"/>
  <c r="C68" i="12"/>
  <c r="C67" i="12"/>
  <c r="C171" i="12"/>
  <c r="C170" i="12"/>
  <c r="C169" i="12"/>
  <c r="C18" i="12"/>
  <c r="C17" i="12"/>
  <c r="C16" i="12"/>
  <c r="C15" i="12"/>
  <c r="C42" i="12"/>
  <c r="C41" i="12"/>
  <c r="C40" i="12"/>
  <c r="C39" i="12"/>
  <c r="C117" i="12"/>
  <c r="C116" i="12"/>
  <c r="C115" i="12"/>
  <c r="C86" i="12"/>
  <c r="C85" i="12"/>
  <c r="C88" i="12"/>
  <c r="C87" i="12"/>
  <c r="C114" i="12"/>
  <c r="C113" i="12"/>
  <c r="C164" i="12"/>
  <c r="C163" i="12"/>
  <c r="C104" i="12"/>
  <c r="C103" i="12"/>
  <c r="C162" i="12"/>
  <c r="C161" i="12"/>
  <c r="C160" i="12"/>
  <c r="C159" i="12"/>
  <c r="C145" i="12"/>
  <c r="C144" i="12"/>
  <c r="C143" i="12"/>
  <c r="C59" i="12"/>
  <c r="C58" i="12"/>
  <c r="C57" i="12"/>
  <c r="C56" i="12"/>
  <c r="C80" i="12"/>
  <c r="C79" i="12"/>
  <c r="C93" i="12"/>
  <c r="C92" i="12"/>
  <c r="C106" i="12"/>
  <c r="C105" i="12"/>
  <c r="C82" i="12"/>
  <c r="C81" i="12"/>
  <c r="C98" i="12"/>
  <c r="C14" i="12"/>
  <c r="C13" i="12"/>
  <c r="C127" i="12"/>
  <c r="C126" i="12"/>
  <c r="C125" i="12"/>
  <c r="C156" i="12"/>
  <c r="C155" i="12"/>
  <c r="C138" i="12"/>
  <c r="C137" i="12"/>
  <c r="C12" i="12"/>
  <c r="C11" i="12"/>
  <c r="C76" i="12"/>
  <c r="C183" i="12"/>
  <c r="C168" i="12"/>
  <c r="C61" i="12"/>
  <c r="C60" i="12"/>
  <c r="C36" i="12"/>
  <c r="C35" i="12"/>
  <c r="C34" i="12"/>
  <c r="C46" i="12"/>
  <c r="C45" i="12"/>
  <c r="C131" i="12"/>
  <c r="C130" i="12"/>
  <c r="C185" i="12"/>
  <c r="C184" i="12"/>
  <c r="C25" i="12"/>
  <c r="C24" i="12"/>
  <c r="C120" i="12"/>
  <c r="C119" i="12"/>
  <c r="C118" i="12"/>
  <c r="C78" i="12"/>
  <c r="C77" i="12"/>
  <c r="C71" i="12"/>
  <c r="C70" i="12"/>
  <c r="C149" i="12"/>
  <c r="C148" i="12"/>
  <c r="C55" i="12"/>
  <c r="C54" i="12"/>
  <c r="C142" i="12"/>
  <c r="C141" i="12"/>
  <c r="C187" i="12"/>
  <c r="C186" i="12"/>
  <c r="C167" i="12"/>
  <c r="C166" i="12"/>
  <c r="C165" i="12"/>
  <c r="C84" i="12"/>
  <c r="C83" i="12"/>
  <c r="C33" i="12"/>
  <c r="C32" i="12"/>
  <c r="C182" i="12"/>
  <c r="C181" i="12"/>
  <c r="C180" i="12"/>
  <c r="C179" i="12"/>
  <c r="C112" i="12"/>
  <c r="C111" i="12"/>
  <c r="C27" i="12"/>
  <c r="C26" i="12"/>
  <c r="C102" i="12"/>
  <c r="C101" i="12"/>
  <c r="C100" i="12"/>
  <c r="C99" i="12"/>
  <c r="C158" i="12"/>
  <c r="C157" i="12"/>
  <c r="C64" i="12"/>
  <c r="C175" i="12"/>
  <c r="C174" i="12"/>
  <c r="C140" i="12"/>
  <c r="C139" i="12"/>
  <c r="C66" i="12"/>
  <c r="C65" i="12"/>
  <c r="C173" i="12"/>
  <c r="C172" i="12"/>
  <c r="C97" i="12"/>
  <c r="C96" i="12"/>
  <c r="C95" i="12"/>
  <c r="C31" i="12"/>
  <c r="C30" i="12"/>
  <c r="C29" i="12"/>
  <c r="C28" i="12"/>
  <c r="C23" i="12"/>
  <c r="C22" i="12"/>
  <c r="C21" i="12"/>
  <c r="C20" i="12"/>
  <c r="C19" i="12"/>
  <c r="C147" i="12"/>
  <c r="C146" i="12"/>
  <c r="C44" i="12"/>
  <c r="C43" i="12"/>
  <c r="C51" i="12"/>
  <c r="C50" i="12"/>
  <c r="C124" i="12"/>
  <c r="C123" i="12"/>
  <c r="C94" i="12"/>
  <c r="C53" i="12"/>
  <c r="C52" i="12"/>
  <c r="C60" i="11" l="1"/>
  <c r="C61" i="11"/>
  <c r="C62" i="11"/>
  <c r="C55" i="11"/>
  <c r="C56" i="11"/>
  <c r="C197" i="11"/>
  <c r="C198" i="11"/>
  <c r="C66" i="11" l="1"/>
  <c r="C93" i="11"/>
  <c r="C94" i="11"/>
  <c r="C19" i="11"/>
  <c r="C20" i="11"/>
  <c r="C21" i="11"/>
  <c r="C149" i="11"/>
  <c r="C191" i="11"/>
  <c r="C192" i="11"/>
  <c r="C193" i="11"/>
  <c r="C84" i="11"/>
  <c r="C85" i="11"/>
  <c r="C86" i="11"/>
  <c r="C89" i="11"/>
  <c r="C90" i="11"/>
  <c r="C118" i="11"/>
  <c r="C119" i="11"/>
  <c r="C120" i="11"/>
  <c r="C121" i="11"/>
  <c r="C72" i="11"/>
  <c r="C73" i="11"/>
  <c r="C100" i="11"/>
  <c r="C101" i="11"/>
  <c r="C102" i="11"/>
  <c r="C164" i="11"/>
  <c r="C165" i="11"/>
  <c r="C156" i="11"/>
  <c r="C157" i="11"/>
  <c r="C91" i="11"/>
  <c r="C92" i="11"/>
  <c r="C154" i="11"/>
  <c r="C155" i="11"/>
  <c r="C45" i="11"/>
  <c r="C46" i="11"/>
  <c r="C22" i="11"/>
  <c r="C23" i="11"/>
  <c r="C24" i="11"/>
  <c r="C25" i="11"/>
  <c r="C26" i="11"/>
  <c r="C27" i="11"/>
  <c r="C28" i="11"/>
  <c r="C29" i="11"/>
  <c r="C57" i="11"/>
  <c r="C58" i="11"/>
  <c r="C59" i="11"/>
  <c r="C43" i="11"/>
  <c r="C44" i="11"/>
  <c r="C141" i="11" l="1"/>
  <c r="C142" i="11"/>
  <c r="C103" i="11"/>
  <c r="G259" i="11"/>
  <c r="C65" i="11"/>
  <c r="C180" i="11"/>
  <c r="C179" i="11"/>
  <c r="C126" i="11"/>
  <c r="C184" i="11"/>
  <c r="C183" i="11"/>
  <c r="C115" i="11"/>
  <c r="C114" i="11"/>
  <c r="C113" i="11"/>
  <c r="C71" i="11"/>
  <c r="C70" i="11"/>
  <c r="C69" i="11"/>
  <c r="C68" i="11"/>
  <c r="C67" i="11"/>
  <c r="C39" i="11"/>
  <c r="C105" i="11"/>
  <c r="C104" i="11"/>
  <c r="C140" i="11"/>
  <c r="C18" i="11"/>
  <c r="C17" i="11"/>
  <c r="C38" i="11"/>
  <c r="C37" i="11"/>
  <c r="C175" i="11"/>
  <c r="C174" i="11"/>
  <c r="C182" i="11"/>
  <c r="C212" i="11"/>
  <c r="C211" i="11"/>
  <c r="C78" i="11"/>
  <c r="C77" i="11"/>
  <c r="C76" i="11"/>
  <c r="C75" i="11"/>
  <c r="C74" i="11"/>
  <c r="C181" i="11"/>
  <c r="C48" i="11"/>
  <c r="C47" i="11"/>
  <c r="C129" i="11"/>
  <c r="C128" i="11"/>
  <c r="C127" i="11"/>
  <c r="C16" i="11"/>
  <c r="C15" i="11"/>
  <c r="C14" i="11"/>
  <c r="C190" i="11"/>
  <c r="C189" i="11"/>
  <c r="C188" i="11"/>
  <c r="C112" i="11"/>
  <c r="C111" i="11"/>
  <c r="C110" i="11"/>
  <c r="C42" i="11"/>
  <c r="C41" i="11"/>
  <c r="C40" i="11"/>
  <c r="C161" i="11"/>
  <c r="C160" i="11"/>
  <c r="C31" i="11"/>
  <c r="C30" i="11"/>
  <c r="C172" i="11"/>
  <c r="C171" i="11"/>
  <c r="C151" i="11"/>
  <c r="C150" i="11"/>
  <c r="C81" i="11"/>
  <c r="C80" i="11"/>
  <c r="C79" i="11"/>
  <c r="C210" i="11"/>
  <c r="C209" i="11"/>
  <c r="C208" i="11"/>
  <c r="C52" i="11"/>
  <c r="C51" i="11"/>
  <c r="C50" i="11"/>
  <c r="C49" i="11"/>
  <c r="C153" i="11"/>
  <c r="C152" i="11"/>
  <c r="C159" i="11"/>
  <c r="C158" i="11"/>
  <c r="C146" i="11"/>
  <c r="C145" i="11"/>
  <c r="C144" i="11"/>
  <c r="C143" i="11"/>
  <c r="C163" i="11"/>
  <c r="C162" i="11"/>
  <c r="C64" i="11"/>
  <c r="C63" i="11"/>
  <c r="C83" i="11"/>
  <c r="C82" i="11"/>
  <c r="C132" i="11"/>
  <c r="C131" i="11"/>
  <c r="C130" i="11"/>
  <c r="C99" i="11"/>
  <c r="C98" i="11"/>
  <c r="C97" i="11"/>
  <c r="C96" i="11"/>
  <c r="C95" i="11"/>
  <c r="C117" i="11"/>
  <c r="C116" i="11"/>
  <c r="C88" i="11"/>
  <c r="C87" i="11"/>
  <c r="C109" i="11"/>
  <c r="C36" i="11"/>
  <c r="C35" i="11"/>
  <c r="C34" i="11"/>
  <c r="C33" i="11"/>
  <c r="C32" i="11"/>
  <c r="C170" i="11"/>
  <c r="C169" i="11"/>
  <c r="C201" i="11"/>
  <c r="C200" i="11"/>
  <c r="C199" i="11"/>
  <c r="C108" i="11"/>
  <c r="C107" i="11"/>
  <c r="C106" i="11"/>
  <c r="C195" i="11"/>
  <c r="C194" i="11"/>
  <c r="C125" i="11"/>
  <c r="C124" i="11"/>
  <c r="C139" i="11"/>
  <c r="C138" i="11"/>
  <c r="C137" i="11"/>
  <c r="C196" i="11"/>
  <c r="C148" i="11"/>
  <c r="C147" i="11"/>
  <c r="C54" i="11"/>
  <c r="C53" i="11"/>
  <c r="C178" i="11"/>
  <c r="C177" i="11"/>
  <c r="C176" i="11"/>
  <c r="C207" i="11"/>
  <c r="C206" i="11"/>
  <c r="C205" i="11"/>
  <c r="C204" i="11"/>
  <c r="C203" i="11"/>
  <c r="C202" i="11"/>
  <c r="C187" i="11"/>
  <c r="C186" i="11"/>
  <c r="C185" i="11"/>
  <c r="C136" i="11"/>
  <c r="C135" i="11"/>
  <c r="C134" i="11"/>
  <c r="C133" i="11"/>
  <c r="C173" i="11"/>
  <c r="C168" i="11"/>
  <c r="C167" i="11"/>
  <c r="C166" i="11"/>
  <c r="C104" i="10" l="1"/>
  <c r="C105" i="10"/>
  <c r="C106" i="10"/>
  <c r="C131" i="10" l="1"/>
  <c r="C132" i="10"/>
  <c r="G254" i="10" l="1"/>
  <c r="C138" i="10"/>
  <c r="C137" i="10"/>
  <c r="C33" i="10"/>
  <c r="C32" i="10"/>
  <c r="C31" i="10"/>
  <c r="C155" i="10"/>
  <c r="C154" i="10"/>
  <c r="C153" i="10"/>
  <c r="C117" i="10"/>
  <c r="C116" i="10"/>
  <c r="C115" i="10"/>
  <c r="C114" i="10"/>
  <c r="C150" i="10"/>
  <c r="C149" i="10"/>
  <c r="C148" i="10"/>
  <c r="C147" i="10"/>
  <c r="C113" i="10"/>
  <c r="C112" i="10"/>
  <c r="C168" i="10"/>
  <c r="C167" i="10"/>
  <c r="C166" i="10"/>
  <c r="C165" i="10"/>
  <c r="C28" i="10"/>
  <c r="C27" i="10"/>
  <c r="C26" i="10"/>
  <c r="C25" i="10"/>
  <c r="C72" i="10"/>
  <c r="C71" i="10"/>
  <c r="C70" i="10"/>
  <c r="C130" i="10"/>
  <c r="C129" i="10"/>
  <c r="C164" i="10"/>
  <c r="C163" i="10"/>
  <c r="C120" i="10"/>
  <c r="C37" i="10"/>
  <c r="C36" i="10"/>
  <c r="C16" i="10"/>
  <c r="C15" i="10"/>
  <c r="C144" i="10"/>
  <c r="C143" i="10"/>
  <c r="C92" i="10"/>
  <c r="C91" i="10"/>
  <c r="C57" i="10"/>
  <c r="C56" i="10"/>
  <c r="C123" i="10"/>
  <c r="C122" i="10"/>
  <c r="C121" i="10"/>
  <c r="C142" i="10"/>
  <c r="C141" i="10"/>
  <c r="C140" i="10"/>
  <c r="C139" i="10"/>
  <c r="C30" i="10"/>
  <c r="C29" i="10"/>
  <c r="C41" i="10"/>
  <c r="C40" i="10"/>
  <c r="C119" i="10"/>
  <c r="C118" i="10"/>
  <c r="C49" i="10"/>
  <c r="C48" i="10"/>
  <c r="C47" i="10"/>
  <c r="C190" i="10"/>
  <c r="C189" i="10"/>
  <c r="C188" i="10"/>
  <c r="C61" i="10"/>
  <c r="C60" i="10"/>
  <c r="C100" i="10"/>
  <c r="C99" i="10"/>
  <c r="C46" i="10"/>
  <c r="C45" i="10"/>
  <c r="C44" i="10"/>
  <c r="C90" i="10"/>
  <c r="C89" i="10"/>
  <c r="C162" i="10"/>
  <c r="C161" i="10"/>
  <c r="C160" i="10"/>
  <c r="C111" i="10"/>
  <c r="C110" i="10"/>
  <c r="C109" i="10"/>
  <c r="C176" i="10"/>
  <c r="C51" i="10"/>
  <c r="C50" i="10"/>
  <c r="C94" i="10"/>
  <c r="C157" i="10"/>
  <c r="C156" i="10"/>
  <c r="C152" i="10"/>
  <c r="C151" i="10"/>
  <c r="C175" i="10"/>
  <c r="C174" i="10"/>
  <c r="C136" i="10"/>
  <c r="C135" i="10"/>
  <c r="C134" i="10"/>
  <c r="C59" i="10"/>
  <c r="C58" i="10"/>
  <c r="C24" i="10"/>
  <c r="C23" i="10"/>
  <c r="C103" i="10"/>
  <c r="C78" i="10"/>
  <c r="C77" i="10"/>
  <c r="C76" i="10"/>
  <c r="C75" i="10"/>
  <c r="C74" i="10"/>
  <c r="C73" i="10"/>
  <c r="C39" i="10"/>
  <c r="C38" i="10"/>
  <c r="C55" i="10"/>
  <c r="C54" i="10"/>
  <c r="C53" i="10"/>
  <c r="C52" i="10"/>
  <c r="C22" i="10"/>
  <c r="C21" i="10"/>
  <c r="C102" i="10"/>
  <c r="C101" i="10"/>
  <c r="C146" i="10"/>
  <c r="C145" i="10"/>
  <c r="C69" i="10"/>
  <c r="C68" i="10"/>
  <c r="C80" i="10"/>
  <c r="C79" i="10"/>
  <c r="C98" i="10"/>
  <c r="C97" i="10"/>
  <c r="C93" i="10"/>
  <c r="C170" i="10"/>
  <c r="C169" i="10"/>
  <c r="C108" i="10"/>
  <c r="C107" i="10"/>
  <c r="C96" i="10"/>
  <c r="C95" i="10"/>
  <c r="C126" i="10"/>
  <c r="C125" i="10"/>
  <c r="C20" i="10"/>
  <c r="C19" i="10"/>
  <c r="C18" i="10"/>
  <c r="C17" i="10"/>
  <c r="C67" i="10"/>
  <c r="C66" i="10"/>
  <c r="C65" i="10"/>
  <c r="C64" i="10"/>
  <c r="C63" i="10"/>
  <c r="C62" i="10"/>
  <c r="C88" i="10"/>
  <c r="C87" i="10"/>
  <c r="C86" i="10"/>
  <c r="C85" i="10"/>
  <c r="C178" i="10"/>
  <c r="C177" i="10"/>
  <c r="C14" i="10"/>
  <c r="C13" i="10"/>
  <c r="C128" i="10"/>
  <c r="C127" i="10"/>
  <c r="C180" i="10"/>
  <c r="C179" i="10"/>
  <c r="C43" i="10"/>
  <c r="C42" i="10"/>
  <c r="C187" i="10"/>
  <c r="C186" i="10"/>
  <c r="C185" i="10"/>
  <c r="C184" i="10"/>
  <c r="C183" i="10"/>
  <c r="C133" i="10"/>
  <c r="C35" i="10"/>
  <c r="C34" i="10"/>
  <c r="C124" i="10"/>
  <c r="C159" i="10"/>
  <c r="C158" i="10"/>
  <c r="C181" i="10"/>
  <c r="C12" i="10"/>
  <c r="C11" i="10"/>
  <c r="C10" i="10"/>
  <c r="C182" i="10"/>
  <c r="C84" i="10"/>
  <c r="C83" i="10"/>
  <c r="C82" i="10"/>
  <c r="C81" i="10"/>
  <c r="C217" i="9" l="1"/>
  <c r="C218" i="9"/>
  <c r="C109" i="9"/>
  <c r="C110" i="9"/>
  <c r="C138" i="9"/>
  <c r="C122" i="9"/>
  <c r="C123" i="9"/>
  <c r="C204" i="9"/>
  <c r="C205" i="9"/>
  <c r="C154" i="9"/>
  <c r="C155" i="9"/>
  <c r="C156" i="9"/>
  <c r="C78" i="9"/>
  <c r="C79" i="9"/>
  <c r="C80" i="9"/>
  <c r="C244" i="9"/>
  <c r="C245" i="9"/>
  <c r="C234" i="9"/>
  <c r="C235" i="9"/>
  <c r="C280" i="9"/>
  <c r="C281" i="9"/>
  <c r="C282" i="9"/>
  <c r="C74" i="9"/>
  <c r="C75" i="9"/>
  <c r="C198" i="9"/>
  <c r="C199" i="9"/>
  <c r="C211" i="9"/>
  <c r="C212" i="9"/>
  <c r="C253" i="9"/>
  <c r="C254" i="9"/>
  <c r="C256" i="9"/>
  <c r="C295" i="9"/>
  <c r="C296" i="9"/>
  <c r="C297" i="9"/>
  <c r="C261" i="9"/>
  <c r="C262" i="9"/>
  <c r="C263" i="9"/>
  <c r="C264" i="9"/>
  <c r="C232" i="9"/>
  <c r="C233" i="9"/>
  <c r="C12" i="9"/>
  <c r="C13" i="9"/>
  <c r="C168" i="9"/>
  <c r="C169" i="9"/>
  <c r="C170" i="9"/>
  <c r="C45" i="9"/>
  <c r="C46" i="9"/>
  <c r="C47" i="9"/>
  <c r="C48" i="9"/>
  <c r="C49" i="9"/>
  <c r="C50" i="9"/>
  <c r="C215" i="9"/>
  <c r="C216" i="9"/>
  <c r="C157" i="9"/>
  <c r="C146" i="9"/>
  <c r="C147" i="9"/>
  <c r="C27" i="9" l="1"/>
  <c r="C28" i="9"/>
  <c r="C29" i="9"/>
  <c r="C30" i="9"/>
  <c r="C293" i="9"/>
  <c r="C294" i="9"/>
  <c r="C224" i="9"/>
  <c r="C225" i="9"/>
  <c r="C58" i="9"/>
  <c r="C59" i="9"/>
  <c r="C87" i="9"/>
  <c r="C88" i="9"/>
  <c r="C219" i="9"/>
  <c r="C220" i="9"/>
  <c r="C221" i="9"/>
  <c r="C213" i="9"/>
  <c r="C214" i="9"/>
  <c r="C201" i="9"/>
  <c r="C202" i="9"/>
  <c r="C203" i="9"/>
  <c r="C71" i="9"/>
  <c r="C72" i="9"/>
  <c r="C73" i="9"/>
  <c r="C184" i="9"/>
  <c r="C137" i="9"/>
  <c r="C246" i="9"/>
  <c r="C247" i="9"/>
  <c r="C289" i="9"/>
  <c r="C290" i="9"/>
  <c r="C148" i="9"/>
  <c r="C149" i="9"/>
  <c r="C150" i="9"/>
  <c r="C93" i="9"/>
  <c r="C94" i="9"/>
  <c r="C95" i="9"/>
  <c r="C96" i="9"/>
  <c r="C185" i="9"/>
  <c r="C186" i="9"/>
  <c r="C187" i="9"/>
  <c r="C236" i="9"/>
  <c r="C237" i="9"/>
  <c r="C238" i="9"/>
  <c r="C239" i="9"/>
  <c r="C226" i="9"/>
  <c r="G354" i="9" l="1"/>
  <c r="C277" i="9"/>
  <c r="C276" i="9"/>
  <c r="C36" i="9"/>
  <c r="C35" i="9"/>
  <c r="C44" i="9"/>
  <c r="C43" i="9"/>
  <c r="C231" i="9"/>
  <c r="C230" i="9"/>
  <c r="C197" i="9"/>
  <c r="C196" i="9"/>
  <c r="C195" i="9"/>
  <c r="C194" i="9"/>
  <c r="C193" i="9"/>
  <c r="C288" i="9"/>
  <c r="C192" i="9"/>
  <c r="C191" i="9"/>
  <c r="C190" i="9"/>
  <c r="C229" i="9"/>
  <c r="C228" i="9"/>
  <c r="C227" i="9"/>
  <c r="C136" i="9"/>
  <c r="C135" i="9"/>
  <c r="C134" i="9"/>
  <c r="C179" i="9"/>
  <c r="C178" i="9"/>
  <c r="C11" i="9"/>
  <c r="C10" i="9"/>
  <c r="C252" i="9"/>
  <c r="C251" i="9"/>
  <c r="C292" i="9"/>
  <c r="C291" i="9"/>
  <c r="C145" i="9"/>
  <c r="C144" i="9"/>
  <c r="C183" i="9"/>
  <c r="C182" i="9"/>
  <c r="C15" i="9"/>
  <c r="C14" i="9"/>
  <c r="C57" i="9"/>
  <c r="C56" i="9"/>
  <c r="C303" i="9"/>
  <c r="C302" i="9"/>
  <c r="C301" i="9"/>
  <c r="C300" i="9"/>
  <c r="C299" i="9"/>
  <c r="C298" i="9"/>
  <c r="C64" i="9"/>
  <c r="C63" i="9"/>
  <c r="C62" i="9"/>
  <c r="C61" i="9"/>
  <c r="C60" i="9"/>
  <c r="C70" i="9"/>
  <c r="C69" i="9"/>
  <c r="C181" i="9"/>
  <c r="C180" i="9"/>
  <c r="C86" i="9"/>
  <c r="C85" i="9"/>
  <c r="C84" i="9"/>
  <c r="C83" i="9"/>
  <c r="C250" i="9"/>
  <c r="C249" i="9"/>
  <c r="C248" i="9"/>
  <c r="C255" i="9"/>
  <c r="C140" i="9"/>
  <c r="C139" i="9"/>
  <c r="C92" i="9"/>
  <c r="C104" i="9"/>
  <c r="C103" i="9"/>
  <c r="C102" i="9"/>
  <c r="C101" i="9"/>
  <c r="C121" i="9"/>
  <c r="C120" i="9"/>
  <c r="C287" i="9"/>
  <c r="C286" i="9"/>
  <c r="C285" i="9"/>
  <c r="C284" i="9"/>
  <c r="C283" i="9"/>
  <c r="C55" i="9"/>
  <c r="C54" i="9"/>
  <c r="C53" i="9"/>
  <c r="C52" i="9"/>
  <c r="C51" i="9"/>
  <c r="C312" i="9"/>
  <c r="C311" i="9"/>
  <c r="C310" i="9"/>
  <c r="C309" i="9"/>
  <c r="C308" i="9"/>
  <c r="C210" i="9"/>
  <c r="C209" i="9"/>
  <c r="C208" i="9"/>
  <c r="C34" i="9"/>
  <c r="C33" i="9"/>
  <c r="C32" i="9"/>
  <c r="C31" i="9"/>
  <c r="C177" i="9"/>
  <c r="C176" i="9"/>
  <c r="C175" i="9"/>
  <c r="C108" i="9"/>
  <c r="C107" i="9"/>
  <c r="C106" i="9"/>
  <c r="C105" i="9"/>
  <c r="C40" i="9"/>
  <c r="C39" i="9"/>
  <c r="C68" i="9"/>
  <c r="C67" i="9"/>
  <c r="C66" i="9"/>
  <c r="C65" i="9"/>
  <c r="C167" i="9"/>
  <c r="C166" i="9"/>
  <c r="C223" i="9"/>
  <c r="C222" i="9"/>
  <c r="C207" i="9"/>
  <c r="C206" i="9"/>
  <c r="C82" i="9"/>
  <c r="C81" i="9"/>
  <c r="C243" i="9"/>
  <c r="C242" i="9"/>
  <c r="C241" i="9"/>
  <c r="C240" i="9"/>
  <c r="C113" i="9"/>
  <c r="C112" i="9"/>
  <c r="C111" i="9"/>
  <c r="C100" i="9"/>
  <c r="C153" i="9"/>
  <c r="C152" i="9"/>
  <c r="C151" i="9"/>
  <c r="C22" i="9"/>
  <c r="C21" i="9"/>
  <c r="C260" i="9"/>
  <c r="C259" i="9"/>
  <c r="C258" i="9"/>
  <c r="C257" i="9"/>
  <c r="C305" i="9"/>
  <c r="C304" i="9"/>
  <c r="C38" i="9"/>
  <c r="C37" i="9"/>
  <c r="C273" i="9"/>
  <c r="C272" i="9"/>
  <c r="C271" i="9"/>
  <c r="C143" i="9"/>
  <c r="C142" i="9"/>
  <c r="C141" i="9"/>
  <c r="C91" i="9"/>
  <c r="C90" i="9"/>
  <c r="C89" i="9"/>
  <c r="C275" i="9"/>
  <c r="C274" i="9"/>
  <c r="C163" i="9"/>
  <c r="C162" i="9"/>
  <c r="C161" i="9"/>
  <c r="C160" i="9"/>
  <c r="C77" i="9"/>
  <c r="C76" i="9"/>
  <c r="C159" i="9"/>
  <c r="C158" i="9"/>
  <c r="C307" i="9"/>
  <c r="C306" i="9"/>
  <c r="C126" i="9"/>
  <c r="C125" i="9"/>
  <c r="C124" i="9"/>
  <c r="C165" i="9"/>
  <c r="C164" i="9"/>
  <c r="C189" i="9"/>
  <c r="C188" i="9"/>
  <c r="C130" i="9"/>
  <c r="C129" i="9"/>
  <c r="C128" i="9"/>
  <c r="C127" i="9"/>
  <c r="C200" i="9"/>
  <c r="C119" i="9"/>
  <c r="C118" i="9"/>
  <c r="C174" i="9"/>
  <c r="C173" i="9"/>
  <c r="C172" i="9"/>
  <c r="C171" i="9"/>
  <c r="C99" i="9"/>
  <c r="C98" i="9"/>
  <c r="C97" i="9"/>
  <c r="C20" i="9"/>
  <c r="C19" i="9"/>
  <c r="C18" i="9"/>
  <c r="C17" i="9"/>
  <c r="C16" i="9"/>
  <c r="C26" i="9"/>
  <c r="C25" i="9"/>
  <c r="C24" i="9"/>
  <c r="C23" i="9"/>
  <c r="C133" i="9"/>
  <c r="C132" i="9"/>
  <c r="C131" i="9"/>
  <c r="C81" i="8" l="1"/>
  <c r="C107" i="8" l="1"/>
  <c r="C108" i="8"/>
  <c r="G159" i="8" l="1"/>
  <c r="C114" i="8"/>
  <c r="C113" i="8"/>
  <c r="C30" i="8"/>
  <c r="C29" i="8"/>
  <c r="C28" i="8"/>
  <c r="C112" i="8"/>
  <c r="C111" i="8"/>
  <c r="C37" i="8"/>
  <c r="C36" i="8"/>
  <c r="C35" i="8"/>
  <c r="C27" i="8"/>
  <c r="C26" i="8"/>
  <c r="C88" i="8"/>
  <c r="C39" i="8"/>
  <c r="C38" i="8"/>
  <c r="C73" i="8"/>
  <c r="C72" i="8"/>
  <c r="C34" i="8"/>
  <c r="C33" i="8"/>
  <c r="C20" i="8"/>
  <c r="C19" i="8"/>
  <c r="C92" i="8"/>
  <c r="C91" i="8"/>
  <c r="C106" i="8"/>
  <c r="C105" i="8"/>
  <c r="C42" i="8"/>
  <c r="C41" i="8"/>
  <c r="C40" i="8"/>
  <c r="C64" i="8"/>
  <c r="C63" i="8"/>
  <c r="C62" i="8"/>
  <c r="C61" i="8"/>
  <c r="C90" i="8"/>
  <c r="C89" i="8"/>
  <c r="C32" i="8"/>
  <c r="C31" i="8"/>
  <c r="C83" i="8"/>
  <c r="C82" i="8"/>
  <c r="C16" i="8"/>
  <c r="C80" i="8"/>
  <c r="C96" i="8"/>
  <c r="C95" i="8"/>
  <c r="C104" i="8"/>
  <c r="C103" i="8"/>
  <c r="C58" i="8"/>
  <c r="C57" i="8"/>
  <c r="C110" i="8"/>
  <c r="C109" i="8"/>
  <c r="C23" i="8"/>
  <c r="C22" i="8"/>
  <c r="C21" i="8"/>
  <c r="C65" i="8"/>
  <c r="C102" i="8"/>
  <c r="C101" i="8"/>
  <c r="C25" i="8"/>
  <c r="C24" i="8"/>
  <c r="C87" i="8"/>
  <c r="C86" i="8"/>
  <c r="C79" i="8"/>
  <c r="C78" i="8"/>
  <c r="C75" i="8"/>
  <c r="C74" i="8"/>
  <c r="C71" i="8"/>
  <c r="C70" i="8"/>
  <c r="C15" i="8"/>
  <c r="C14" i="8"/>
  <c r="C48" i="8"/>
  <c r="C47" i="8"/>
  <c r="C46" i="8"/>
  <c r="C45" i="8"/>
  <c r="C44" i="8"/>
  <c r="C43" i="8"/>
  <c r="C85" i="8"/>
  <c r="C84" i="8"/>
  <c r="C51" i="8"/>
  <c r="C50" i="8"/>
  <c r="C49" i="8"/>
  <c r="C77" i="8"/>
  <c r="C76" i="8"/>
  <c r="C18" i="8"/>
  <c r="C17" i="8"/>
  <c r="C67" i="8"/>
  <c r="C66" i="8"/>
  <c r="C60" i="8"/>
  <c r="C59" i="8"/>
  <c r="C69" i="8"/>
  <c r="C68" i="8"/>
  <c r="C134" i="7" l="1"/>
  <c r="C135" i="7"/>
  <c r="C136" i="7"/>
  <c r="C224" i="7"/>
  <c r="C225" i="7"/>
  <c r="C58" i="7"/>
  <c r="C105" i="7"/>
  <c r="C106" i="7"/>
  <c r="C107" i="7"/>
  <c r="C35" i="7"/>
  <c r="C36" i="7"/>
  <c r="C60" i="7"/>
  <c r="C157" i="7"/>
  <c r="C158" i="7"/>
  <c r="G271" i="7"/>
  <c r="C77" i="7"/>
  <c r="C76" i="7"/>
  <c r="C75" i="7"/>
  <c r="C74" i="7"/>
  <c r="C104" i="7"/>
  <c r="C103" i="7"/>
  <c r="C164" i="7"/>
  <c r="C163" i="7"/>
  <c r="C162" i="7"/>
  <c r="C161" i="7"/>
  <c r="C174" i="7"/>
  <c r="C173" i="7"/>
  <c r="C154" i="7"/>
  <c r="C153" i="7"/>
  <c r="C73" i="7"/>
  <c r="C72" i="7"/>
  <c r="C71" i="7"/>
  <c r="C212" i="7"/>
  <c r="C211" i="7"/>
  <c r="C14" i="7"/>
  <c r="C13" i="7"/>
  <c r="C12" i="7"/>
  <c r="C70" i="7"/>
  <c r="C69" i="7"/>
  <c r="C11" i="7"/>
  <c r="C10" i="7"/>
  <c r="C208" i="7"/>
  <c r="C207" i="7"/>
  <c r="C156" i="7"/>
  <c r="C155" i="7"/>
  <c r="C59" i="7"/>
  <c r="C172" i="7"/>
  <c r="C171" i="7"/>
  <c r="C117" i="7"/>
  <c r="C116" i="7"/>
  <c r="C34" i="7"/>
  <c r="C33" i="7"/>
  <c r="C32" i="7"/>
  <c r="C31" i="7"/>
  <c r="C30" i="7"/>
  <c r="C29" i="7"/>
  <c r="C55" i="7"/>
  <c r="C54" i="7"/>
  <c r="C84" i="7"/>
  <c r="C83" i="7"/>
  <c r="C82" i="7"/>
  <c r="C114" i="7"/>
  <c r="C113" i="7"/>
  <c r="C112" i="7"/>
  <c r="C232" i="7"/>
  <c r="C231" i="7"/>
  <c r="C194" i="7"/>
  <c r="C193" i="7"/>
  <c r="C45" i="7"/>
  <c r="C44" i="7"/>
  <c r="C43" i="7"/>
  <c r="C234" i="7"/>
  <c r="C233" i="7"/>
  <c r="C230" i="7"/>
  <c r="C229" i="7"/>
  <c r="C228" i="7"/>
  <c r="C52" i="7"/>
  <c r="C51" i="7"/>
  <c r="C50" i="7"/>
  <c r="C49" i="7"/>
  <c r="C167" i="7"/>
  <c r="C166" i="7"/>
  <c r="C165" i="7"/>
  <c r="C111" i="7"/>
  <c r="C110" i="7"/>
  <c r="C109" i="7"/>
  <c r="C108" i="7"/>
  <c r="C20" i="7"/>
  <c r="C19" i="7"/>
  <c r="C227" i="7"/>
  <c r="C226" i="7"/>
  <c r="C133" i="7"/>
  <c r="C132" i="7"/>
  <c r="C131" i="7"/>
  <c r="C130" i="7"/>
  <c r="C56" i="7"/>
  <c r="C89" i="7"/>
  <c r="C88" i="7"/>
  <c r="C140" i="7"/>
  <c r="C139" i="7"/>
  <c r="C53" i="7"/>
  <c r="C99" i="7"/>
  <c r="C98" i="7"/>
  <c r="C81" i="7"/>
  <c r="C210" i="7"/>
  <c r="C204" i="7"/>
  <c r="C203" i="7"/>
  <c r="C202" i="7"/>
  <c r="C223" i="7"/>
  <c r="C222" i="7"/>
  <c r="C64" i="7"/>
  <c r="C63" i="7"/>
  <c r="C62" i="7"/>
  <c r="C61" i="7"/>
  <c r="C42" i="7"/>
  <c r="C41" i="7"/>
  <c r="C68" i="7"/>
  <c r="C67" i="7"/>
  <c r="C66" i="7"/>
  <c r="C65" i="7"/>
  <c r="C186" i="7"/>
  <c r="C185" i="7"/>
  <c r="C46" i="7"/>
  <c r="C147" i="7"/>
  <c r="C146" i="7"/>
  <c r="C217" i="7"/>
  <c r="C216" i="7"/>
  <c r="C215" i="7"/>
  <c r="C16" i="7"/>
  <c r="C15" i="7"/>
  <c r="C124" i="7"/>
  <c r="C123" i="7"/>
  <c r="C122" i="7"/>
  <c r="C121" i="7"/>
  <c r="C180" i="7"/>
  <c r="C179" i="7"/>
  <c r="C206" i="7"/>
  <c r="C205" i="7"/>
  <c r="C101" i="7"/>
  <c r="C100" i="7"/>
  <c r="C48" i="7"/>
  <c r="C47" i="7"/>
  <c r="C160" i="7"/>
  <c r="C159" i="7"/>
  <c r="C38" i="7"/>
  <c r="C37" i="7"/>
  <c r="C57" i="7"/>
  <c r="C170" i="7"/>
  <c r="C169" i="7"/>
  <c r="C168" i="7"/>
  <c r="C120" i="7"/>
  <c r="C119" i="7"/>
  <c r="C118" i="7"/>
  <c r="C201" i="7"/>
  <c r="C200" i="7"/>
  <c r="C199" i="7"/>
  <c r="C198" i="7"/>
  <c r="C152" i="7"/>
  <c r="C151" i="7"/>
  <c r="C150" i="7"/>
  <c r="C40" i="7"/>
  <c r="C39" i="7"/>
  <c r="C219" i="7"/>
  <c r="C218" i="7"/>
  <c r="C80" i="7"/>
  <c r="C79" i="7"/>
  <c r="C78" i="7"/>
  <c r="C87" i="7"/>
  <c r="C86" i="7"/>
  <c r="C85" i="7"/>
  <c r="C138" i="7"/>
  <c r="C137" i="7"/>
  <c r="C184" i="7"/>
  <c r="C183" i="7"/>
  <c r="C182" i="7"/>
  <c r="C181" i="7"/>
  <c r="C28" i="7"/>
  <c r="C27" i="7"/>
  <c r="C26" i="7"/>
  <c r="C25" i="7"/>
  <c r="C24" i="7"/>
  <c r="C192" i="7"/>
  <c r="C191" i="7"/>
  <c r="C23" i="7"/>
  <c r="C22" i="7"/>
  <c r="C21" i="7"/>
  <c r="C129" i="7"/>
  <c r="C128" i="7"/>
  <c r="C127" i="7"/>
  <c r="C126" i="7"/>
  <c r="C125" i="7"/>
  <c r="C197" i="7"/>
  <c r="C196" i="7"/>
  <c r="C195" i="7"/>
  <c r="C190" i="7"/>
  <c r="C189" i="7"/>
  <c r="C188" i="7"/>
  <c r="C187" i="7"/>
  <c r="C18" i="7"/>
  <c r="C17" i="7"/>
  <c r="C115" i="7"/>
  <c r="C145" i="7"/>
  <c r="C144" i="7"/>
  <c r="C143" i="7"/>
  <c r="C178" i="7"/>
  <c r="C177" i="7"/>
  <c r="C176" i="7"/>
  <c r="C175" i="7"/>
  <c r="C97" i="7"/>
  <c r="C96" i="7"/>
  <c r="C95" i="7"/>
  <c r="C94" i="7"/>
  <c r="C93" i="7"/>
  <c r="C92" i="7"/>
  <c r="C91" i="7"/>
  <c r="C90" i="7"/>
  <c r="C214" i="7"/>
  <c r="C213" i="7"/>
  <c r="C149" i="7"/>
  <c r="C148" i="7"/>
  <c r="C221" i="7"/>
  <c r="C220" i="7"/>
  <c r="C209" i="7"/>
  <c r="C142" i="7"/>
  <c r="C141" i="7"/>
  <c r="C24" i="6" l="1"/>
  <c r="C91" i="6" l="1"/>
  <c r="C92" i="6"/>
  <c r="C252" i="6"/>
  <c r="C253" i="6"/>
  <c r="C254" i="6"/>
  <c r="C178" i="6"/>
  <c r="C179" i="6"/>
  <c r="C180" i="6"/>
  <c r="C181" i="6"/>
  <c r="C36" i="6"/>
  <c r="C37" i="6"/>
  <c r="C20" i="6"/>
  <c r="C21" i="6"/>
  <c r="C22" i="6"/>
  <c r="C23" i="6"/>
  <c r="C237" i="6"/>
  <c r="C238" i="6"/>
  <c r="G288" i="6"/>
  <c r="C90" i="6"/>
  <c r="C155" i="6"/>
  <c r="C154" i="6"/>
  <c r="C225" i="6"/>
  <c r="C224" i="6"/>
  <c r="C223" i="6"/>
  <c r="C222" i="6"/>
  <c r="C206" i="6"/>
  <c r="C42" i="6"/>
  <c r="C41" i="6"/>
  <c r="C162" i="6"/>
  <c r="C161" i="6"/>
  <c r="C53" i="6"/>
  <c r="C52" i="6"/>
  <c r="C63" i="6"/>
  <c r="C62" i="6"/>
  <c r="C61" i="6"/>
  <c r="C183" i="6"/>
  <c r="C182" i="6"/>
  <c r="C229" i="6"/>
  <c r="C228" i="6"/>
  <c r="C151" i="6"/>
  <c r="C150" i="6"/>
  <c r="C149" i="6"/>
  <c r="C148" i="6"/>
  <c r="C251" i="6"/>
  <c r="C250" i="6"/>
  <c r="C100" i="6"/>
  <c r="C99" i="6"/>
  <c r="C98" i="6"/>
  <c r="C168" i="6"/>
  <c r="C167" i="6"/>
  <c r="C166" i="6"/>
  <c r="C165" i="6"/>
  <c r="C174" i="6"/>
  <c r="C173" i="6"/>
  <c r="C244" i="6"/>
  <c r="C243" i="6"/>
  <c r="C88" i="6"/>
  <c r="C87" i="6"/>
  <c r="C78" i="6"/>
  <c r="C77" i="6"/>
  <c r="C227" i="6"/>
  <c r="C226" i="6"/>
  <c r="C221" i="6"/>
  <c r="C220" i="6"/>
  <c r="C124" i="6"/>
  <c r="C123" i="6"/>
  <c r="C122" i="6"/>
  <c r="C121" i="6"/>
  <c r="C120" i="6"/>
  <c r="C260" i="6"/>
  <c r="C259" i="6"/>
  <c r="C159" i="6"/>
  <c r="C158" i="6"/>
  <c r="C47" i="6"/>
  <c r="C46" i="6"/>
  <c r="C185" i="6"/>
  <c r="C184" i="6"/>
  <c r="C205" i="6"/>
  <c r="C204" i="6"/>
  <c r="C203" i="6"/>
  <c r="C55" i="6"/>
  <c r="C54" i="6"/>
  <c r="C29" i="6"/>
  <c r="C28" i="6"/>
  <c r="C27" i="6"/>
  <c r="C117" i="6"/>
  <c r="C116" i="6"/>
  <c r="C106" i="6"/>
  <c r="C105" i="6"/>
  <c r="C104" i="6"/>
  <c r="C103" i="6"/>
  <c r="C177" i="6"/>
  <c r="C176" i="6"/>
  <c r="C175" i="6"/>
  <c r="C113" i="6"/>
  <c r="C112" i="6"/>
  <c r="C60" i="6"/>
  <c r="C59" i="6"/>
  <c r="C147" i="6"/>
  <c r="C146" i="6"/>
  <c r="C127" i="6"/>
  <c r="C126" i="6"/>
  <c r="C125" i="6"/>
  <c r="C189" i="6"/>
  <c r="C164" i="6"/>
  <c r="C163" i="6"/>
  <c r="C242" i="6"/>
  <c r="C241" i="6"/>
  <c r="C240" i="6"/>
  <c r="C76" i="6"/>
  <c r="C75" i="6"/>
  <c r="C74" i="6"/>
  <c r="C73" i="6"/>
  <c r="C258" i="6"/>
  <c r="C257" i="6"/>
  <c r="C256" i="6"/>
  <c r="C255" i="6"/>
  <c r="C140" i="6"/>
  <c r="C139" i="6"/>
  <c r="C138" i="6"/>
  <c r="C72" i="6"/>
  <c r="C71" i="6"/>
  <c r="C70" i="6"/>
  <c r="C58" i="6"/>
  <c r="C57" i="6"/>
  <c r="C56" i="6"/>
  <c r="C119" i="6"/>
  <c r="C118" i="6"/>
  <c r="C82" i="6"/>
  <c r="C81" i="6"/>
  <c r="C80" i="6"/>
  <c r="C79" i="6"/>
  <c r="C13" i="6"/>
  <c r="C12" i="6"/>
  <c r="C102" i="6"/>
  <c r="C101" i="6"/>
  <c r="C115" i="6"/>
  <c r="C114" i="6"/>
  <c r="C145" i="6"/>
  <c r="C144" i="6"/>
  <c r="C143" i="6"/>
  <c r="C188" i="6"/>
  <c r="C187" i="6"/>
  <c r="C239" i="6"/>
  <c r="C135" i="6"/>
  <c r="C134" i="6"/>
  <c r="C133" i="6"/>
  <c r="C31" i="6"/>
  <c r="C30" i="6"/>
  <c r="C45" i="6"/>
  <c r="C44" i="6"/>
  <c r="C43" i="6"/>
  <c r="C193" i="6"/>
  <c r="C192" i="6"/>
  <c r="C69" i="6"/>
  <c r="C68" i="6"/>
  <c r="C67" i="6"/>
  <c r="C66" i="6"/>
  <c r="C65" i="6"/>
  <c r="C64" i="6"/>
  <c r="C111" i="6"/>
  <c r="C110" i="6"/>
  <c r="C109" i="6"/>
  <c r="C108" i="6"/>
  <c r="C40" i="6"/>
  <c r="C39" i="6"/>
  <c r="C38" i="6"/>
  <c r="C236" i="6"/>
  <c r="C235" i="6"/>
  <c r="C213" i="6"/>
  <c r="C212" i="6"/>
  <c r="C160" i="6"/>
  <c r="C51" i="6"/>
  <c r="C50" i="6"/>
  <c r="C49" i="6"/>
  <c r="C48" i="6"/>
  <c r="C191" i="6"/>
  <c r="C190" i="6"/>
  <c r="C249" i="6"/>
  <c r="C248" i="6"/>
  <c r="C247" i="6"/>
  <c r="C246" i="6"/>
  <c r="C245" i="6"/>
  <c r="C26" i="6"/>
  <c r="C25" i="6"/>
  <c r="C153" i="6"/>
  <c r="C152" i="6"/>
  <c r="C211" i="6"/>
  <c r="C210" i="6"/>
  <c r="C209" i="6"/>
  <c r="C208" i="6"/>
  <c r="C207" i="6"/>
  <c r="C202" i="6"/>
  <c r="C201" i="6"/>
  <c r="C200" i="6"/>
  <c r="C199" i="6"/>
  <c r="C198" i="6"/>
  <c r="C197" i="6"/>
  <c r="C196" i="6"/>
  <c r="C19" i="6"/>
  <c r="C18" i="6"/>
  <c r="C97" i="6"/>
  <c r="C96" i="6"/>
  <c r="C95" i="6"/>
  <c r="C94" i="6"/>
  <c r="C93" i="6"/>
  <c r="C157" i="6"/>
  <c r="C156" i="6"/>
  <c r="C86" i="6"/>
  <c r="C85" i="6"/>
  <c r="C142" i="6"/>
  <c r="C141" i="6"/>
  <c r="C137" i="6"/>
  <c r="C136" i="6"/>
  <c r="C195" i="6"/>
  <c r="C194" i="6"/>
  <c r="C172" i="6"/>
  <c r="C171" i="6"/>
  <c r="C170" i="6"/>
  <c r="C169" i="6"/>
  <c r="C216" i="6"/>
  <c r="C215" i="6"/>
  <c r="C214" i="6"/>
  <c r="C35" i="6"/>
  <c r="C34" i="6"/>
  <c r="C33" i="6"/>
  <c r="C32" i="6"/>
  <c r="C132" i="6"/>
  <c r="C131" i="6"/>
  <c r="C107" i="6"/>
  <c r="C84" i="6"/>
  <c r="C83" i="6"/>
  <c r="C11" i="6"/>
  <c r="C10" i="6"/>
  <c r="C186" i="6"/>
  <c r="C17" i="6"/>
  <c r="C16" i="6"/>
  <c r="C15" i="6"/>
  <c r="C14" i="6"/>
  <c r="C189" i="5" l="1"/>
  <c r="C190" i="5"/>
  <c r="C191" i="5"/>
  <c r="C192" i="5"/>
  <c r="C193" i="5"/>
  <c r="C194" i="5"/>
  <c r="C10" i="5"/>
  <c r="C11" i="5"/>
  <c r="C28" i="5"/>
  <c r="C29" i="5"/>
  <c r="C30" i="5"/>
  <c r="C141" i="5"/>
  <c r="C142" i="5"/>
  <c r="C120" i="5"/>
  <c r="C121" i="5"/>
  <c r="C96" i="5"/>
  <c r="C36" i="5"/>
  <c r="C37" i="5"/>
  <c r="C38" i="5"/>
  <c r="C66" i="5"/>
  <c r="C67" i="5"/>
  <c r="C68" i="5"/>
  <c r="C69" i="5"/>
  <c r="C199" i="5"/>
  <c r="C27" i="5" l="1"/>
  <c r="C143" i="5"/>
  <c r="C144" i="5"/>
  <c r="C83" i="5"/>
  <c r="C84" i="5"/>
  <c r="C103" i="5"/>
  <c r="C104" i="5"/>
  <c r="C166" i="5"/>
  <c r="C167" i="5"/>
  <c r="C168" i="5"/>
  <c r="C62" i="5"/>
  <c r="C63" i="5"/>
  <c r="C85" i="5"/>
  <c r="C86" i="5"/>
  <c r="C87" i="5"/>
  <c r="C88" i="5"/>
  <c r="C198" i="5"/>
  <c r="C105" i="5"/>
  <c r="C106" i="5"/>
  <c r="C107" i="5"/>
  <c r="C108" i="5"/>
  <c r="C101" i="5"/>
  <c r="C102" i="5"/>
  <c r="C18" i="5"/>
  <c r="C19" i="5"/>
  <c r="C20" i="5"/>
  <c r="C21" i="5"/>
  <c r="C22" i="5"/>
  <c r="C114" i="5"/>
  <c r="C115" i="5"/>
  <c r="C116" i="5"/>
  <c r="C117" i="5"/>
  <c r="C176" i="5"/>
  <c r="C177" i="5"/>
  <c r="C178" i="5"/>
  <c r="C16" i="5"/>
  <c r="C17" i="5"/>
  <c r="C132" i="5"/>
  <c r="C133" i="5"/>
  <c r="C261" i="5"/>
  <c r="C262" i="5"/>
  <c r="C97" i="5"/>
  <c r="C98" i="5"/>
  <c r="C99" i="5"/>
  <c r="C100" i="5"/>
  <c r="C263" i="5"/>
  <c r="C264" i="5"/>
  <c r="C122" i="5"/>
  <c r="C123" i="5"/>
  <c r="C219" i="5"/>
  <c r="C220" i="5"/>
  <c r="C221" i="5"/>
  <c r="C222" i="5"/>
  <c r="C223" i="5"/>
  <c r="C258" i="5"/>
  <c r="C259" i="5"/>
  <c r="C260" i="5"/>
  <c r="C41" i="5"/>
  <c r="C42" i="5"/>
  <c r="C179" i="5"/>
  <c r="C180" i="5"/>
  <c r="C39" i="5"/>
  <c r="C40" i="5"/>
  <c r="C45" i="5"/>
  <c r="C46" i="5"/>
  <c r="C184" i="5"/>
  <c r="C185" i="5"/>
  <c r="C58" i="5"/>
  <c r="C59" i="5"/>
  <c r="C171" i="5"/>
  <c r="C172" i="5"/>
  <c r="C173" i="5"/>
  <c r="C265" i="5"/>
  <c r="C266" i="5"/>
  <c r="C232" i="5"/>
  <c r="C233" i="5"/>
  <c r="C164" i="5"/>
  <c r="C165" i="5"/>
  <c r="C182" i="5"/>
  <c r="C183" i="5"/>
  <c r="C60" i="5"/>
  <c r="C61" i="5"/>
  <c r="C234" i="5"/>
  <c r="C235" i="5"/>
  <c r="C130" i="5"/>
  <c r="C131" i="5"/>
  <c r="C200" i="5"/>
  <c r="C224" i="5" l="1"/>
  <c r="C225" i="5"/>
  <c r="C181" i="5" l="1"/>
  <c r="G324" i="5" l="1"/>
  <c r="C50" i="5"/>
  <c r="C49" i="5"/>
  <c r="C48" i="5"/>
  <c r="C47" i="5"/>
  <c r="C33" i="5"/>
  <c r="C32" i="5"/>
  <c r="C31" i="5"/>
  <c r="C95" i="5"/>
  <c r="C94" i="5"/>
  <c r="C93" i="5"/>
  <c r="C239" i="5"/>
  <c r="C238" i="5"/>
  <c r="C65" i="5"/>
  <c r="C64" i="5"/>
  <c r="C243" i="5"/>
  <c r="C242" i="5"/>
  <c r="C241" i="5"/>
  <c r="C240" i="5"/>
  <c r="C247" i="5"/>
  <c r="C246" i="5"/>
  <c r="C255" i="5"/>
  <c r="C254" i="5"/>
  <c r="C253" i="5"/>
  <c r="C252" i="5"/>
  <c r="C245" i="5"/>
  <c r="C244" i="5"/>
  <c r="C26" i="5"/>
  <c r="C25" i="5"/>
  <c r="C24" i="5"/>
  <c r="C23" i="5"/>
  <c r="C90" i="5"/>
  <c r="C89" i="5"/>
  <c r="C15" i="5"/>
  <c r="C14" i="5"/>
  <c r="C188" i="5"/>
  <c r="C187" i="5"/>
  <c r="C186" i="5"/>
  <c r="C80" i="5"/>
  <c r="C79" i="5"/>
  <c r="C231" i="5"/>
  <c r="C230" i="5"/>
  <c r="C229" i="5"/>
  <c r="C228" i="5"/>
  <c r="C227" i="5"/>
  <c r="C226" i="5"/>
  <c r="C92" i="5"/>
  <c r="C91" i="5"/>
  <c r="C153" i="5"/>
  <c r="C152" i="5"/>
  <c r="C73" i="5"/>
  <c r="C72" i="5"/>
  <c r="C71" i="5"/>
  <c r="C70" i="5"/>
  <c r="C78" i="5"/>
  <c r="C77" i="5"/>
  <c r="C76" i="5"/>
  <c r="C57" i="5"/>
  <c r="C56" i="5"/>
  <c r="C55" i="5"/>
  <c r="C54" i="5"/>
  <c r="C53" i="5"/>
  <c r="C128" i="5"/>
  <c r="C127" i="5"/>
  <c r="C202" i="5"/>
  <c r="C201" i="5"/>
  <c r="C163" i="5"/>
  <c r="C162" i="5"/>
  <c r="C215" i="5"/>
  <c r="C214" i="5"/>
  <c r="C213" i="5"/>
  <c r="C270" i="5"/>
  <c r="C269" i="5"/>
  <c r="C44" i="5"/>
  <c r="C43" i="5"/>
  <c r="C113" i="5"/>
  <c r="C112" i="5"/>
  <c r="C111" i="5"/>
  <c r="C110" i="5"/>
  <c r="C109" i="5"/>
  <c r="C170" i="5"/>
  <c r="C169" i="5"/>
  <c r="C126" i="5"/>
  <c r="C125" i="5"/>
  <c r="C124" i="5"/>
  <c r="C251" i="5"/>
  <c r="C250" i="5"/>
  <c r="C249" i="5"/>
  <c r="C248" i="5"/>
  <c r="C82" i="5"/>
  <c r="C81" i="5"/>
  <c r="C35" i="5"/>
  <c r="C34" i="5"/>
  <c r="C237" i="5"/>
  <c r="C236" i="5"/>
  <c r="C211" i="5"/>
  <c r="C210" i="5"/>
  <c r="C209" i="5"/>
  <c r="C208" i="5"/>
  <c r="C207" i="5"/>
  <c r="C206" i="5"/>
  <c r="C148" i="5"/>
  <c r="C147" i="5"/>
  <c r="C146" i="5"/>
  <c r="C145" i="5"/>
  <c r="C140" i="5"/>
  <c r="C139" i="5"/>
  <c r="C138" i="5"/>
  <c r="C137" i="5"/>
  <c r="C151" i="5"/>
  <c r="C150" i="5"/>
  <c r="C149" i="5"/>
  <c r="C257" i="5"/>
  <c r="C256" i="5"/>
  <c r="C205" i="5"/>
  <c r="C204" i="5"/>
  <c r="C203" i="5"/>
  <c r="C156" i="5"/>
  <c r="C155" i="5"/>
  <c r="C154" i="5"/>
  <c r="C136" i="5"/>
  <c r="C75" i="5"/>
  <c r="C74" i="5"/>
  <c r="C197" i="5"/>
  <c r="C218" i="5"/>
  <c r="C217" i="5"/>
  <c r="C216" i="5"/>
  <c r="C212" i="5"/>
  <c r="C13" i="5"/>
  <c r="C12" i="5"/>
  <c r="C119" i="5"/>
  <c r="C118" i="5"/>
  <c r="C175" i="5"/>
  <c r="C174" i="5"/>
  <c r="C129" i="5"/>
  <c r="C158" i="5"/>
  <c r="C157" i="5"/>
  <c r="C268" i="5"/>
  <c r="C267" i="5"/>
  <c r="C52" i="5"/>
  <c r="C51" i="5"/>
  <c r="C135" i="5"/>
  <c r="C134" i="5"/>
  <c r="C161" i="5"/>
  <c r="C160" i="5"/>
  <c r="C159" i="5"/>
  <c r="C196" i="5"/>
  <c r="C195" i="5"/>
  <c r="G229" i="3" l="1"/>
  <c r="C25" i="3"/>
  <c r="C26" i="3"/>
  <c r="C27" i="3"/>
  <c r="C28" i="3"/>
  <c r="C165" i="3"/>
  <c r="C166" i="3"/>
  <c r="C43" i="3"/>
  <c r="C44" i="3"/>
  <c r="C45" i="3"/>
  <c r="C77" i="3"/>
  <c r="C78" i="3"/>
  <c r="C79" i="3"/>
  <c r="C135" i="3"/>
  <c r="C136" i="3"/>
  <c r="C139" i="3"/>
  <c r="C140" i="3"/>
  <c r="C26" i="4"/>
  <c r="C14" i="4"/>
  <c r="C15" i="4"/>
  <c r="G40" i="4"/>
  <c r="C39" i="4"/>
  <c r="C17" i="4"/>
  <c r="C16" i="4"/>
  <c r="C25" i="4"/>
  <c r="C24" i="4"/>
  <c r="C23" i="4"/>
  <c r="C20" i="4"/>
  <c r="C19" i="4"/>
  <c r="C18" i="4"/>
  <c r="C13" i="4"/>
  <c r="C12" i="4"/>
  <c r="C11" i="4"/>
  <c r="C10" i="4"/>
  <c r="C22" i="4"/>
  <c r="C21" i="4"/>
  <c r="C103" i="3" l="1"/>
  <c r="C104" i="3"/>
  <c r="C105" i="3"/>
  <c r="C52" i="3"/>
  <c r="C53" i="3"/>
  <c r="C54" i="3"/>
  <c r="C152" i="3"/>
  <c r="C153" i="3"/>
  <c r="C21" i="3"/>
  <c r="C50" i="3"/>
  <c r="C51" i="3"/>
  <c r="C83" i="3"/>
  <c r="C84" i="3"/>
  <c r="C73" i="3"/>
  <c r="C74" i="3"/>
  <c r="C75" i="3"/>
  <c r="C76" i="3"/>
  <c r="C176" i="3"/>
  <c r="C177" i="3"/>
  <c r="C178" i="3"/>
  <c r="C179" i="3"/>
  <c r="C180" i="3"/>
  <c r="C181" i="3"/>
  <c r="C96" i="3"/>
  <c r="C156" i="3"/>
  <c r="C157" i="3"/>
  <c r="C141" i="3"/>
  <c r="C124" i="3"/>
  <c r="C125" i="3"/>
  <c r="C126" i="3"/>
  <c r="C127" i="3"/>
  <c r="C101" i="3"/>
  <c r="C102" i="3"/>
  <c r="C170" i="3"/>
  <c r="C171" i="3"/>
  <c r="C142" i="3"/>
  <c r="C106" i="3"/>
  <c r="C107" i="3"/>
  <c r="C108" i="3"/>
  <c r="C109" i="3"/>
  <c r="C97" i="3"/>
  <c r="C98" i="3"/>
  <c r="C67" i="3" l="1"/>
  <c r="C68" i="3"/>
  <c r="C29" i="3"/>
  <c r="C30" i="3"/>
  <c r="C113" i="3"/>
  <c r="C114" i="3"/>
  <c r="C115" i="3"/>
  <c r="C116" i="3"/>
  <c r="C117" i="3"/>
  <c r="C174" i="3"/>
  <c r="C175" i="3"/>
  <c r="C122" i="3"/>
  <c r="C63" i="3"/>
  <c r="C64" i="3"/>
  <c r="C94" i="3"/>
  <c r="C95" i="3"/>
  <c r="C15" i="3"/>
  <c r="C16" i="3"/>
  <c r="C17" i="3"/>
  <c r="C18" i="3"/>
  <c r="C33" i="3"/>
  <c r="C34" i="3"/>
  <c r="C149" i="3"/>
  <c r="C132" i="3"/>
  <c r="C133" i="3"/>
  <c r="C134" i="3"/>
  <c r="C123" i="3"/>
  <c r="C62" i="3" l="1"/>
  <c r="C61" i="3"/>
  <c r="C121" i="3"/>
  <c r="C120" i="3"/>
  <c r="C119" i="3"/>
  <c r="C118" i="3"/>
  <c r="C148" i="3"/>
  <c r="C147" i="3"/>
  <c r="C146" i="3"/>
  <c r="C145" i="3"/>
  <c r="C42" i="3"/>
  <c r="C41" i="3"/>
  <c r="C40" i="3"/>
  <c r="C39" i="3"/>
  <c r="C47" i="3"/>
  <c r="C46" i="3"/>
  <c r="C12" i="3"/>
  <c r="C11" i="3"/>
  <c r="C10" i="3"/>
  <c r="C82" i="3"/>
  <c r="C60" i="3"/>
  <c r="C59" i="3"/>
  <c r="C58" i="3"/>
  <c r="C57" i="3"/>
  <c r="C89" i="3"/>
  <c r="C88" i="3"/>
  <c r="C138" i="3"/>
  <c r="C137" i="3"/>
  <c r="C70" i="3"/>
  <c r="C69" i="3"/>
  <c r="C131" i="3"/>
  <c r="C130" i="3"/>
  <c r="C129" i="3"/>
  <c r="C128" i="3"/>
  <c r="C56" i="3"/>
  <c r="C55" i="3"/>
  <c r="C161" i="3"/>
  <c r="C160" i="3"/>
  <c r="C173" i="3"/>
  <c r="C172" i="3"/>
  <c r="C164" i="3"/>
  <c r="C163" i="3"/>
  <c r="C162" i="3"/>
  <c r="C155" i="3"/>
  <c r="C154" i="3"/>
  <c r="C169" i="3"/>
  <c r="C168" i="3"/>
  <c r="C167" i="3"/>
  <c r="C36" i="3"/>
  <c r="C35" i="3"/>
  <c r="C38" i="3"/>
  <c r="C37" i="3"/>
  <c r="C93" i="3"/>
  <c r="C92" i="3"/>
  <c r="C91" i="3"/>
  <c r="C90" i="3"/>
  <c r="C81" i="3"/>
  <c r="C80" i="3"/>
  <c r="C66" i="3"/>
  <c r="C65" i="3"/>
  <c r="C151" i="3"/>
  <c r="C150" i="3"/>
  <c r="C49" i="3"/>
  <c r="C48" i="3"/>
  <c r="C24" i="3"/>
  <c r="C23" i="3"/>
  <c r="C22" i="3"/>
  <c r="C20" i="3"/>
  <c r="C19" i="3"/>
  <c r="C87" i="3"/>
  <c r="C86" i="3"/>
  <c r="C85" i="3"/>
  <c r="C32" i="3"/>
  <c r="C31" i="3"/>
  <c r="C100" i="3"/>
  <c r="C99" i="3"/>
  <c r="C14" i="3"/>
  <c r="C13" i="3"/>
  <c r="C144" i="3"/>
  <c r="C143" i="3"/>
  <c r="C112" i="3"/>
  <c r="C111" i="3"/>
  <c r="C110" i="3"/>
  <c r="C90" i="1" l="1"/>
  <c r="C91" i="1"/>
  <c r="C77" i="1"/>
  <c r="C78" i="1"/>
  <c r="C37" i="1" l="1"/>
  <c r="C38" i="1"/>
  <c r="C39" i="1"/>
  <c r="C40" i="1"/>
  <c r="C83" i="1"/>
  <c r="C84" i="1"/>
  <c r="C85" i="1"/>
  <c r="C74" i="1"/>
  <c r="C75" i="1"/>
  <c r="C76" i="1"/>
  <c r="C21" i="1"/>
  <c r="C34" i="2" l="1"/>
  <c r="C86" i="2"/>
  <c r="C91" i="2"/>
  <c r="C17" i="2"/>
  <c r="C18" i="2"/>
  <c r="C10" i="1"/>
  <c r="C107" i="1"/>
  <c r="C68" i="1"/>
  <c r="C69" i="1"/>
  <c r="C88" i="1"/>
  <c r="C89" i="1"/>
  <c r="C108" i="1"/>
  <c r="C109" i="1"/>
  <c r="C59" i="1"/>
  <c r="C41" i="1"/>
  <c r="C42" i="1"/>
  <c r="C101" i="1"/>
  <c r="C102" i="1"/>
  <c r="C103" i="1"/>
  <c r="C60" i="1"/>
  <c r="C61" i="1" l="1"/>
  <c r="C62" i="1"/>
  <c r="C63" i="1"/>
  <c r="C64" i="1"/>
  <c r="C65" i="1"/>
  <c r="C44" i="1"/>
  <c r="C45" i="1"/>
  <c r="C53" i="1" l="1"/>
  <c r="C54" i="1"/>
  <c r="C51" i="1"/>
  <c r="C52" i="1"/>
  <c r="C73" i="1"/>
  <c r="C92" i="1"/>
  <c r="C93" i="1"/>
  <c r="C94" i="1"/>
  <c r="C95" i="1"/>
  <c r="C43" i="1"/>
  <c r="C55" i="1"/>
  <c r="C56" i="1"/>
  <c r="C57" i="1"/>
  <c r="C81" i="1"/>
  <c r="C82" i="1"/>
  <c r="C32" i="1"/>
  <c r="C33" i="1"/>
  <c r="C18" i="1" l="1"/>
  <c r="C19" i="1"/>
  <c r="C20" i="1"/>
  <c r="C46" i="1"/>
  <c r="C47" i="1"/>
  <c r="C48" i="1"/>
  <c r="C110" i="1"/>
  <c r="C111" i="1"/>
  <c r="C112" i="1"/>
  <c r="C49" i="1"/>
  <c r="C50" i="1"/>
  <c r="C30" i="1"/>
  <c r="C31" i="1"/>
  <c r="C79" i="1"/>
  <c r="C80" i="1"/>
  <c r="C86" i="1"/>
  <c r="C87" i="1"/>
  <c r="C58" i="1"/>
  <c r="C66" i="1"/>
  <c r="C67" i="1"/>
  <c r="C22" i="1"/>
  <c r="C23" i="1"/>
  <c r="C24" i="1"/>
  <c r="C25" i="1"/>
  <c r="C26" i="1"/>
  <c r="C27" i="1"/>
  <c r="C28" i="1"/>
  <c r="C14" i="1"/>
  <c r="C15" i="1"/>
  <c r="C16" i="1"/>
  <c r="C17" i="1"/>
  <c r="C96" i="1"/>
  <c r="C97" i="1"/>
  <c r="C11" i="1"/>
  <c r="G129" i="2"/>
  <c r="C14" i="2"/>
  <c r="C13" i="2"/>
  <c r="C12" i="2"/>
  <c r="C11" i="2"/>
  <c r="C10" i="2"/>
  <c r="C60" i="2"/>
  <c r="C59" i="2"/>
  <c r="C58" i="2"/>
  <c r="C50" i="2"/>
  <c r="C49" i="2"/>
  <c r="C48" i="2"/>
  <c r="C47" i="2"/>
  <c r="C46" i="2"/>
  <c r="C93" i="2"/>
  <c r="C92" i="2"/>
  <c r="C52" i="2"/>
  <c r="C51" i="2"/>
  <c r="C56" i="2"/>
  <c r="C55" i="2"/>
  <c r="C54" i="2"/>
  <c r="C53" i="2"/>
  <c r="C110" i="2"/>
  <c r="C109" i="2"/>
  <c r="C31" i="2"/>
  <c r="C30" i="2"/>
  <c r="C77" i="2"/>
  <c r="C76" i="2"/>
  <c r="C75" i="2"/>
  <c r="C106" i="2"/>
  <c r="C105" i="2"/>
  <c r="C104" i="2"/>
  <c r="C103" i="2"/>
  <c r="C68" i="2"/>
  <c r="C67" i="2"/>
  <c r="C66" i="2"/>
  <c r="C65" i="2"/>
  <c r="C64" i="2"/>
  <c r="C63" i="2"/>
  <c r="C26" i="2"/>
  <c r="C25" i="2"/>
  <c r="C102" i="2"/>
  <c r="C96" i="2"/>
  <c r="C95" i="2"/>
  <c r="C94" i="2"/>
  <c r="C70" i="2"/>
  <c r="C69" i="2"/>
  <c r="C45" i="2"/>
  <c r="C44" i="2"/>
  <c r="C43" i="2"/>
  <c r="C42" i="2"/>
  <c r="C41" i="2"/>
  <c r="C62" i="2"/>
  <c r="C61" i="2"/>
  <c r="C79" i="2"/>
  <c r="C78" i="2"/>
  <c r="C98" i="2"/>
  <c r="C97" i="2"/>
  <c r="C57" i="2"/>
  <c r="C22" i="2"/>
  <c r="C21" i="2"/>
  <c r="C85" i="2"/>
  <c r="C84" i="2"/>
  <c r="C83" i="2"/>
  <c r="C82" i="2"/>
  <c r="C36" i="2"/>
  <c r="C35" i="2"/>
  <c r="C87" i="2"/>
  <c r="C33" i="2"/>
  <c r="C32" i="2"/>
  <c r="C20" i="2"/>
  <c r="C19" i="2"/>
  <c r="C16" i="2"/>
  <c r="C15" i="2"/>
  <c r="C74" i="2"/>
  <c r="C73" i="2"/>
  <c r="C72" i="2"/>
  <c r="C71" i="2"/>
  <c r="C108" i="2"/>
  <c r="C107" i="2"/>
  <c r="C40" i="2"/>
  <c r="C39" i="2"/>
  <c r="C90" i="2"/>
  <c r="C89" i="2"/>
  <c r="C88" i="2"/>
  <c r="C24" i="2"/>
  <c r="C23" i="2"/>
  <c r="C101" i="2"/>
  <c r="C100" i="2"/>
  <c r="C99" i="2"/>
  <c r="C81" i="2"/>
  <c r="C80" i="2"/>
  <c r="C112" i="2"/>
  <c r="C111" i="2"/>
  <c r="C29" i="2"/>
  <c r="C28" i="2"/>
  <c r="C27" i="2"/>
  <c r="G142" i="1" l="1"/>
  <c r="C72" i="1"/>
  <c r="C71" i="1"/>
  <c r="C70" i="1"/>
  <c r="C29" i="1"/>
  <c r="C13" i="1"/>
  <c r="C12" i="1"/>
  <c r="C106" i="1"/>
  <c r="C105" i="1"/>
  <c r="C104" i="1"/>
</calcChain>
</file>

<file path=xl/sharedStrings.xml><?xml version="1.0" encoding="utf-8"?>
<sst xmlns="http://schemas.openxmlformats.org/spreadsheetml/2006/main" count="19911" uniqueCount="3340">
  <si>
    <t xml:space="preserve">S/D RH-RP                                                </t>
  </si>
  <si>
    <t>GROUPE MALADIE</t>
  </si>
  <si>
    <t>USINE DE MSAKEN</t>
  </si>
  <si>
    <t>CLIENT: STIP</t>
  </si>
  <si>
    <t>N° BULLETIN</t>
  </si>
  <si>
    <t>MATRICULE</t>
  </si>
  <si>
    <t>ADHERENT</t>
  </si>
  <si>
    <t>PRESTATAIRE</t>
  </si>
  <si>
    <t>DATE DE SOINS</t>
  </si>
  <si>
    <t>SOINS PRATIQUES</t>
  </si>
  <si>
    <t>DEPENSES EN DT</t>
  </si>
  <si>
    <t>TOTAL</t>
  </si>
  <si>
    <t xml:space="preserve">CELLULE ASSURANCES </t>
  </si>
  <si>
    <t>S/D  RH&amp;RP</t>
  </si>
  <si>
    <t>MLAYAH NEZIHA</t>
  </si>
  <si>
    <t xml:space="preserve">ROUIS LOTFI </t>
  </si>
  <si>
    <t>OBJET:COMPLEMENT BORD N° 24 /2024-SANTE</t>
  </si>
  <si>
    <t>ASSURANCE //2024</t>
  </si>
  <si>
    <t>C2</t>
  </si>
  <si>
    <t>LABO</t>
  </si>
  <si>
    <t>PH</t>
  </si>
  <si>
    <t>RADIO</t>
  </si>
  <si>
    <t>LUI-MEME</t>
  </si>
  <si>
    <t>C1</t>
  </si>
  <si>
    <t>S.DENT</t>
  </si>
  <si>
    <t>PRO</t>
  </si>
  <si>
    <t>DORRA/FILLE</t>
  </si>
  <si>
    <t>JERFEL ZOUBAIER</t>
  </si>
  <si>
    <t>GAZZEH KHAIREDDINE</t>
  </si>
  <si>
    <t>AZAIEZ MOHAMED</t>
  </si>
  <si>
    <t>KECHICHE FATEN</t>
  </si>
  <si>
    <t>AYOUB/FILS</t>
  </si>
  <si>
    <t>OBJET:BORD N° 01 /2025-SANTE</t>
  </si>
  <si>
    <t>ASSURANCE //2025</t>
  </si>
  <si>
    <t>J226784</t>
  </si>
  <si>
    <t>P946937</t>
  </si>
  <si>
    <t>ALOUAN FAOUZI</t>
  </si>
  <si>
    <t>NADIA/CONJOINT</t>
  </si>
  <si>
    <t>P758319</t>
  </si>
  <si>
    <t>J231842</t>
  </si>
  <si>
    <t>RAOUDHA/CONJOINT</t>
  </si>
  <si>
    <t>P657067</t>
  </si>
  <si>
    <t>J231734</t>
  </si>
  <si>
    <t>BEN ABDALLAH NACEUR</t>
  </si>
  <si>
    <t>LATIFA/CONJOINT</t>
  </si>
  <si>
    <t>P474125</t>
  </si>
  <si>
    <t>BEN FKIH ALI MOHAMED ANIS</t>
  </si>
  <si>
    <t>JIHENE/CONJOINT</t>
  </si>
  <si>
    <t>P474233</t>
  </si>
  <si>
    <t>J226822</t>
  </si>
  <si>
    <t>ROUDHAINA/FILLE</t>
  </si>
  <si>
    <t>P946752</t>
  </si>
  <si>
    <t>P946677</t>
  </si>
  <si>
    <t>P946676</t>
  </si>
  <si>
    <t>MOHAMED ALI/FILS</t>
  </si>
  <si>
    <t>P609906</t>
  </si>
  <si>
    <t>P946675</t>
  </si>
  <si>
    <t>BADIS/FILS</t>
  </si>
  <si>
    <t>J231843</t>
  </si>
  <si>
    <t>OUMAIMA/FILLE</t>
  </si>
  <si>
    <t>J226703</t>
  </si>
  <si>
    <t xml:space="preserve">GAIDA MOHAMED </t>
  </si>
  <si>
    <t>J226715</t>
  </si>
  <si>
    <t>HAROUN/FILS</t>
  </si>
  <si>
    <t>Y853806</t>
  </si>
  <si>
    <t>AM</t>
  </si>
  <si>
    <t>P946966</t>
  </si>
  <si>
    <t>ISSA/FILS</t>
  </si>
  <si>
    <t>P624892</t>
  </si>
  <si>
    <t>OPM</t>
  </si>
  <si>
    <t>J226869</t>
  </si>
  <si>
    <t>LEILA/CONJOINT</t>
  </si>
  <si>
    <t>P199921</t>
  </si>
  <si>
    <t>J226758</t>
  </si>
  <si>
    <t>A516779</t>
  </si>
  <si>
    <t>ABDERRAHMEN/FILS</t>
  </si>
  <si>
    <t>P946946</t>
  </si>
  <si>
    <t>J231812</t>
  </si>
  <si>
    <t>J231811</t>
  </si>
  <si>
    <t>SONIA/CONJOINT</t>
  </si>
  <si>
    <t>J226773</t>
  </si>
  <si>
    <t>P946885</t>
  </si>
  <si>
    <t>MOHAMED AMINE/FILS</t>
  </si>
  <si>
    <t>J231852</t>
  </si>
  <si>
    <t>P609907</t>
  </si>
  <si>
    <t>J391239</t>
  </si>
  <si>
    <t>P609912</t>
  </si>
  <si>
    <t>P305511</t>
  </si>
  <si>
    <t>P946823</t>
  </si>
  <si>
    <t>YOUNES/FILS</t>
  </si>
  <si>
    <t>A888332</t>
  </si>
  <si>
    <t>P385081</t>
  </si>
  <si>
    <t>BABAY MOHAMED</t>
  </si>
  <si>
    <t>MALAK/CONJOINT</t>
  </si>
  <si>
    <t>P385399</t>
  </si>
  <si>
    <t>ALMA/FILLE</t>
  </si>
  <si>
    <t>P609996</t>
  </si>
  <si>
    <t>BEN CHIKH AMOR TAREK</t>
  </si>
  <si>
    <t>SAFA/CONJOINT</t>
  </si>
  <si>
    <t>J226783</t>
  </si>
  <si>
    <t>J231803</t>
  </si>
  <si>
    <t>MKHININI WASSIM</t>
  </si>
  <si>
    <t>P385185</t>
  </si>
  <si>
    <t>P609993</t>
  </si>
  <si>
    <t>A516554</t>
  </si>
  <si>
    <t>P609926</t>
  </si>
  <si>
    <t>ZRELLI MOHAMED ALI</t>
  </si>
  <si>
    <t>A139634</t>
  </si>
  <si>
    <t>RASSIL/FILLE</t>
  </si>
  <si>
    <t>P758091</t>
  </si>
  <si>
    <t>RAFIF/FILLE</t>
  </si>
  <si>
    <t>P609976</t>
  </si>
  <si>
    <t>NESRINE/FILLE</t>
  </si>
  <si>
    <t>P853043</t>
  </si>
  <si>
    <t>Y711518</t>
  </si>
  <si>
    <t>SIRINE/CONJOINT</t>
  </si>
  <si>
    <t>P946907</t>
  </si>
  <si>
    <t>AMEN/FILLE</t>
  </si>
  <si>
    <t>J391196</t>
  </si>
  <si>
    <t>HAYET/CONJOINT</t>
  </si>
  <si>
    <t>P609882</t>
  </si>
  <si>
    <t>P474034</t>
  </si>
  <si>
    <t>P385400</t>
  </si>
  <si>
    <t>YAZEN/FILS</t>
  </si>
  <si>
    <t>P474100</t>
  </si>
  <si>
    <t>ADEM/FILS</t>
  </si>
  <si>
    <t>J231772</t>
  </si>
  <si>
    <t>P853311</t>
  </si>
  <si>
    <t>ISLEM/FILLE</t>
  </si>
  <si>
    <t>J226751</t>
  </si>
  <si>
    <t>P946516</t>
  </si>
  <si>
    <t>BOUARGOUB IMEDEDDINE</t>
  </si>
  <si>
    <t>NOURHENE/CONJOINT</t>
  </si>
  <si>
    <t>P946783</t>
  </si>
  <si>
    <t>P682740</t>
  </si>
  <si>
    <t>P682742</t>
  </si>
  <si>
    <t>A140405</t>
  </si>
  <si>
    <t>A472091</t>
  </si>
  <si>
    <t>P609904</t>
  </si>
  <si>
    <t>J391209</t>
  </si>
  <si>
    <t>OUSSEMA/FILS</t>
  </si>
  <si>
    <t>J391201</t>
  </si>
  <si>
    <t>J226743</t>
  </si>
  <si>
    <t>A574496</t>
  </si>
  <si>
    <t>OLFA/CONJOINT</t>
  </si>
  <si>
    <t>J391227</t>
  </si>
  <si>
    <t>P946787</t>
  </si>
  <si>
    <t>FATMA ZAHRA/FILLE</t>
  </si>
  <si>
    <t>P199891</t>
  </si>
  <si>
    <t>MAHDI/FILS</t>
  </si>
  <si>
    <t>A883439</t>
  </si>
  <si>
    <t>CHAHD/FILLE</t>
  </si>
  <si>
    <t>P758147</t>
  </si>
  <si>
    <t>ISRAA/FILLE</t>
  </si>
  <si>
    <t>P758213</t>
  </si>
  <si>
    <t>CHAARANA SAMI</t>
  </si>
  <si>
    <t>J231741</t>
  </si>
  <si>
    <t>GUIRAT FIRAS</t>
  </si>
  <si>
    <t>YASMINE/CONJOINT</t>
  </si>
  <si>
    <t>P609937</t>
  </si>
  <si>
    <t>AICHA/FILLE</t>
  </si>
  <si>
    <t>P853100</t>
  </si>
  <si>
    <t>P853344</t>
  </si>
  <si>
    <t>AYA/FILLE</t>
  </si>
  <si>
    <t>A579738</t>
  </si>
  <si>
    <t>Q989725</t>
  </si>
  <si>
    <t>KHOCHTALI JIHENNE</t>
  </si>
  <si>
    <t>P853036</t>
  </si>
  <si>
    <t>MOSBAH MOHAMED SALAH</t>
  </si>
  <si>
    <t>J391232</t>
  </si>
  <si>
    <t>CHIKH AMOR ZIED</t>
  </si>
  <si>
    <t>WIEM/CONJOINT</t>
  </si>
  <si>
    <t>P609888</t>
  </si>
  <si>
    <t>P853027</t>
  </si>
  <si>
    <t>P946939</t>
  </si>
  <si>
    <t>P853177</t>
  </si>
  <si>
    <t>NOUR/FILLE</t>
  </si>
  <si>
    <t>P657237</t>
  </si>
  <si>
    <t>J391229</t>
  </si>
  <si>
    <t>J391248</t>
  </si>
  <si>
    <t>JIHENE/FILLE</t>
  </si>
  <si>
    <t>P609987</t>
  </si>
  <si>
    <t>ACHRAF/FILS</t>
  </si>
  <si>
    <t>P758454</t>
  </si>
  <si>
    <t>FAIZA/CONJOINT</t>
  </si>
  <si>
    <t>P758453</t>
  </si>
  <si>
    <t>AHMED/FILS</t>
  </si>
  <si>
    <t>IYED/FILS</t>
  </si>
  <si>
    <t>J391263</t>
  </si>
  <si>
    <t>KECHICHE MOHAMED NIDHAL</t>
  </si>
  <si>
    <t>KENZA/FILLE</t>
  </si>
  <si>
    <t>J226701</t>
  </si>
  <si>
    <t>SAIFEDDINE/FILS</t>
  </si>
  <si>
    <t>P853278</t>
  </si>
  <si>
    <t>MOUHEB/FILS</t>
  </si>
  <si>
    <t>P853276</t>
  </si>
  <si>
    <t>J391193</t>
  </si>
  <si>
    <t>P946651</t>
  </si>
  <si>
    <t>MOHAMED YASSINE/FILS</t>
  </si>
  <si>
    <t>P785338</t>
  </si>
  <si>
    <t>YOUSSEF/FILS</t>
  </si>
  <si>
    <t>P609897</t>
  </si>
  <si>
    <t>AMJED/FILS</t>
  </si>
  <si>
    <t>P946683</t>
  </si>
  <si>
    <t>P758117</t>
  </si>
  <si>
    <t>J391156</t>
  </si>
  <si>
    <t>AFEF/CONJOINT</t>
  </si>
  <si>
    <t>J391326</t>
  </si>
  <si>
    <t>ZAID/FILS</t>
  </si>
  <si>
    <t>P474209</t>
  </si>
  <si>
    <t>MOSBAH MOHAMED</t>
  </si>
  <si>
    <t>P946554</t>
  </si>
  <si>
    <t>ZAINEB/FILLE</t>
  </si>
  <si>
    <t>P609959</t>
  </si>
  <si>
    <t>RAYHENE/FILLE</t>
  </si>
  <si>
    <t>Y587474</t>
  </si>
  <si>
    <t>J391284</t>
  </si>
  <si>
    <t>WAFA/CONJOINT</t>
  </si>
  <si>
    <t>J231735</t>
  </si>
  <si>
    <t>HADJ ABDALLAH NACEUR</t>
  </si>
  <si>
    <t>P946742</t>
  </si>
  <si>
    <t>MARIEM/FILLE</t>
  </si>
  <si>
    <t>ECG</t>
  </si>
  <si>
    <t>A472143</t>
  </si>
  <si>
    <t>MKHININI HAITHEM</t>
  </si>
  <si>
    <t>NOMBRE BS :  59</t>
  </si>
  <si>
    <t>DATE: 13/01/2025</t>
  </si>
  <si>
    <t xml:space="preserve">NOMBRE BS :  54 </t>
  </si>
  <si>
    <t>DATE:   13/01/2025</t>
  </si>
  <si>
    <t>OBJET:BORD N° 02 /2025-SANTE</t>
  </si>
  <si>
    <t>J391183</t>
  </si>
  <si>
    <t>J226868</t>
  </si>
  <si>
    <t>P385499</t>
  </si>
  <si>
    <t>J391164</t>
  </si>
  <si>
    <t>NAJOUA/CONJOINT</t>
  </si>
  <si>
    <t>J391215</t>
  </si>
  <si>
    <t>INES/CONJOINT</t>
  </si>
  <si>
    <t>J231807</t>
  </si>
  <si>
    <t>Q987323</t>
  </si>
  <si>
    <t>P946608</t>
  </si>
  <si>
    <t>SAIDA/CONJOINT</t>
  </si>
  <si>
    <t>P385380</t>
  </si>
  <si>
    <t>ESSIL/FILLE</t>
  </si>
  <si>
    <t>J226804</t>
  </si>
  <si>
    <t>Y711725</t>
  </si>
  <si>
    <t>HAMZA/FILS</t>
  </si>
  <si>
    <t>J391331</t>
  </si>
  <si>
    <t>BEN CHIKH AMOR ZIED</t>
  </si>
  <si>
    <t>J391330</t>
  </si>
  <si>
    <t>LOUAY/FILS</t>
  </si>
  <si>
    <t>J391157</t>
  </si>
  <si>
    <t>HANEN/CONJOINT</t>
  </si>
  <si>
    <t>A516665</t>
  </si>
  <si>
    <t>RAHMA/CONJOINT</t>
  </si>
  <si>
    <t>J391149</t>
  </si>
  <si>
    <t>P474188</t>
  </si>
  <si>
    <t>MAHJOUB GHASSEN</t>
  </si>
  <si>
    <t>P946806</t>
  </si>
  <si>
    <t>J391218</t>
  </si>
  <si>
    <t>P853277</t>
  </si>
  <si>
    <t>J231818</t>
  </si>
  <si>
    <t>MAHJOUB OMAR</t>
  </si>
  <si>
    <t>J391371</t>
  </si>
  <si>
    <t>P946517</t>
  </si>
  <si>
    <t>P624760</t>
  </si>
  <si>
    <t>A811027</t>
  </si>
  <si>
    <t>P853252</t>
  </si>
  <si>
    <t>P758150</t>
  </si>
  <si>
    <t>YASSINE/FILS</t>
  </si>
  <si>
    <t>J391309</t>
  </si>
  <si>
    <t>J226813</t>
  </si>
  <si>
    <t>MAOUA HATEM</t>
  </si>
  <si>
    <t>J391350</t>
  </si>
  <si>
    <t>J391294</t>
  </si>
  <si>
    <t>J391295</t>
  </si>
  <si>
    <t>P946557</t>
  </si>
  <si>
    <t>P474016</t>
  </si>
  <si>
    <t>LOUJAINE/FILLE</t>
  </si>
  <si>
    <t>J231783</t>
  </si>
  <si>
    <t>SALMA/FILLE</t>
  </si>
  <si>
    <t>J357568</t>
  </si>
  <si>
    <t>J391384</t>
  </si>
  <si>
    <t>J391161</t>
  </si>
  <si>
    <t>P609886</t>
  </si>
  <si>
    <t>YASMINE/FILLE</t>
  </si>
  <si>
    <t>P609870</t>
  </si>
  <si>
    <t>IMEN/CONJOINT</t>
  </si>
  <si>
    <t>P609955</t>
  </si>
  <si>
    <t>J391267</t>
  </si>
  <si>
    <t>J231849</t>
  </si>
  <si>
    <t>BEN ABDESSALEM WASSIM</t>
  </si>
  <si>
    <t>J391280</t>
  </si>
  <si>
    <t>FADOUA/CONJOINT</t>
  </si>
  <si>
    <t>P946624</t>
  </si>
  <si>
    <t>J226706</t>
  </si>
  <si>
    <t>J226705</t>
  </si>
  <si>
    <t>MOUNA/CONJOINT</t>
  </si>
  <si>
    <t>P657412</t>
  </si>
  <si>
    <t>RAHMA/FILLE</t>
  </si>
  <si>
    <t>P657406</t>
  </si>
  <si>
    <t>J231883</t>
  </si>
  <si>
    <t>J391235</t>
  </si>
  <si>
    <t>P853248</t>
  </si>
  <si>
    <t>RACHIDA/CONJOINT</t>
  </si>
  <si>
    <t>J391367</t>
  </si>
  <si>
    <t>HENI MOHAMED</t>
  </si>
  <si>
    <t>ZAKARIA/FILS</t>
  </si>
  <si>
    <t>J391314</t>
  </si>
  <si>
    <t>J226724</t>
  </si>
  <si>
    <t xml:space="preserve">BEN HADJ HSSINE AYMEN </t>
  </si>
  <si>
    <t>J391369</t>
  </si>
  <si>
    <t>EMNA/FILLE</t>
  </si>
  <si>
    <t>NAISSANCE</t>
  </si>
  <si>
    <t>P946828</t>
  </si>
  <si>
    <t>Y618744</t>
  </si>
  <si>
    <t>MOHAMED SOULAYMEN/FILS</t>
  </si>
  <si>
    <t>J391370</t>
  </si>
  <si>
    <t>BEN FREDJ IMEN</t>
  </si>
  <si>
    <t>SALIMA/FILLE</t>
  </si>
  <si>
    <t>P609990</t>
  </si>
  <si>
    <t>J226680</t>
  </si>
  <si>
    <t>Q992770</t>
  </si>
  <si>
    <t>SIRINE/FILLE</t>
  </si>
  <si>
    <t>J226720</t>
  </si>
  <si>
    <t>J216315</t>
  </si>
  <si>
    <t>MOHAMED AZIZ/FILS</t>
  </si>
  <si>
    <t>P040172</t>
  </si>
  <si>
    <t>SABRINE/CONJOINT</t>
  </si>
  <si>
    <t>J226874</t>
  </si>
  <si>
    <t>FARAH/FILLE</t>
  </si>
  <si>
    <t>J357569</t>
  </si>
  <si>
    <t>J231835</t>
  </si>
  <si>
    <t>NEJIBA/CONJOINT</t>
  </si>
  <si>
    <t>J391170</t>
  </si>
  <si>
    <t>P758377</t>
  </si>
  <si>
    <t>P609910</t>
  </si>
  <si>
    <t>HEDHILI MAHER</t>
  </si>
  <si>
    <t>P609933</t>
  </si>
  <si>
    <t>J391205</t>
  </si>
  <si>
    <t>J391181</t>
  </si>
  <si>
    <t>SAMEH/CONJOINT</t>
  </si>
  <si>
    <t>P320512</t>
  </si>
  <si>
    <t>P657451</t>
  </si>
  <si>
    <t>NASSIMA/CONJOINT</t>
  </si>
  <si>
    <t>P000410</t>
  </si>
  <si>
    <t>GAIDA MOHAMED</t>
  </si>
  <si>
    <t>J391273</t>
  </si>
  <si>
    <t>AMENI/FILLE</t>
  </si>
  <si>
    <t>J391243</t>
  </si>
  <si>
    <t>RIM/CONJOINT</t>
  </si>
  <si>
    <t>J391341</t>
  </si>
  <si>
    <t>J391432</t>
  </si>
  <si>
    <t>J391264</t>
  </si>
  <si>
    <t>CHAIMA/CONJOINT</t>
  </si>
  <si>
    <t>J391255</t>
  </si>
  <si>
    <t>P946652</t>
  </si>
  <si>
    <t>MOHAMED AYMEN/FILS</t>
  </si>
  <si>
    <t>OBJET:COMPLEMENT 2  BORD N° 24 /2024-SANTE</t>
  </si>
  <si>
    <t>DATE: 27/01/2025</t>
  </si>
  <si>
    <t>J231863</t>
  </si>
  <si>
    <t>HEDHILI ZIED</t>
  </si>
  <si>
    <t>MARIEM/CONJOINT</t>
  </si>
  <si>
    <t>P609962</t>
  </si>
  <si>
    <t>KC</t>
  </si>
  <si>
    <t>HC</t>
  </si>
  <si>
    <t>P609893</t>
  </si>
  <si>
    <t>J391224</t>
  </si>
  <si>
    <t>A350603</t>
  </si>
  <si>
    <t>NOURA/CONJOINT</t>
  </si>
  <si>
    <t>J226777</t>
  </si>
  <si>
    <t>P853068</t>
  </si>
  <si>
    <t>AMIRA/CONJOINT</t>
  </si>
  <si>
    <t>P609946</t>
  </si>
  <si>
    <t>Q988347</t>
  </si>
  <si>
    <t>NABILA/CONJOINT</t>
  </si>
  <si>
    <t>Q982465</t>
  </si>
  <si>
    <t>A535804</t>
  </si>
  <si>
    <t>TAKOUA/FILLE</t>
  </si>
  <si>
    <t>A536480</t>
  </si>
  <si>
    <t>DOUAA/FILLE</t>
  </si>
  <si>
    <t>J391458</t>
  </si>
  <si>
    <t>P946854</t>
  </si>
  <si>
    <t>J391329</t>
  </si>
  <si>
    <t>J391220</t>
  </si>
  <si>
    <t>A516926</t>
  </si>
  <si>
    <t>A516608</t>
  </si>
  <si>
    <t>BEN HADJ HSSINE KHALED</t>
  </si>
  <si>
    <t>ABIR/CONJOINT</t>
  </si>
  <si>
    <t>J391172</t>
  </si>
  <si>
    <t>P385761</t>
  </si>
  <si>
    <t>P946942</t>
  </si>
  <si>
    <t>P946518</t>
  </si>
  <si>
    <t>P199892</t>
  </si>
  <si>
    <t>P758211</t>
  </si>
  <si>
    <t>NESRINE/CONJOINT</t>
  </si>
  <si>
    <t>NOMBRE BS :  9</t>
  </si>
  <si>
    <t>DATE:  27/01/2025</t>
  </si>
  <si>
    <t>J391217</t>
  </si>
  <si>
    <t>BOUARGOUB ACHRAF</t>
  </si>
  <si>
    <t>NOMBRE BS :  99</t>
  </si>
  <si>
    <t>OBJET:BORD N° 03 /2025-SANTE</t>
  </si>
  <si>
    <t>J391258</t>
  </si>
  <si>
    <t>J391219</t>
  </si>
  <si>
    <t>J391457</t>
  </si>
  <si>
    <t>J471974</t>
  </si>
  <si>
    <t>MANEL/CONJOINT</t>
  </si>
  <si>
    <t>J391398</t>
  </si>
  <si>
    <t>P946894</t>
  </si>
  <si>
    <t>NOUHA/CONJOINT</t>
  </si>
  <si>
    <t>A776672</t>
  </si>
  <si>
    <t>J391266</t>
  </si>
  <si>
    <t>J471996</t>
  </si>
  <si>
    <t>MARAM/FILLE</t>
  </si>
  <si>
    <t>J391394</t>
  </si>
  <si>
    <t>J391450</t>
  </si>
  <si>
    <t>NABIL/CONJOINT</t>
  </si>
  <si>
    <t>P474149</t>
  </si>
  <si>
    <t>J391323</t>
  </si>
  <si>
    <t>AMJAD/FILS</t>
  </si>
  <si>
    <t>P199811</t>
  </si>
  <si>
    <t>P946711</t>
  </si>
  <si>
    <t>AIDA/CONJOINT</t>
  </si>
  <si>
    <t>P758048</t>
  </si>
  <si>
    <t>P609879</t>
  </si>
  <si>
    <t>A139934</t>
  </si>
  <si>
    <t>J231795</t>
  </si>
  <si>
    <t>Y853756</t>
  </si>
  <si>
    <t>J391357</t>
  </si>
  <si>
    <t>MAYAR/FILLE</t>
  </si>
  <si>
    <t>J391328</t>
  </si>
  <si>
    <t>J391317</t>
  </si>
  <si>
    <t>J391318</t>
  </si>
  <si>
    <t>P682741</t>
  </si>
  <si>
    <t>ISRAA/FILEE</t>
  </si>
  <si>
    <t>J391269</t>
  </si>
  <si>
    <t>J391228</t>
  </si>
  <si>
    <t>ONS/CONJOINT</t>
  </si>
  <si>
    <t>FIBRO</t>
  </si>
  <si>
    <t>J391186</t>
  </si>
  <si>
    <t>J391418</t>
  </si>
  <si>
    <t>J391406</t>
  </si>
  <si>
    <t>P853160</t>
  </si>
  <si>
    <t>P946593</t>
  </si>
  <si>
    <t>BEN HAMOUDA MOHAMED ACHRAF</t>
  </si>
  <si>
    <t>MOHAMED IHEB/FILS</t>
  </si>
  <si>
    <t>J471956</t>
  </si>
  <si>
    <t>AZAIZ MOHAMED</t>
  </si>
  <si>
    <t>J391251</t>
  </si>
  <si>
    <t>P609999</t>
  </si>
  <si>
    <t>J391206</t>
  </si>
  <si>
    <t>J391461</t>
  </si>
  <si>
    <t>A640902</t>
  </si>
  <si>
    <t>J216316</t>
  </si>
  <si>
    <t>AWATEF/CONJOINT</t>
  </si>
  <si>
    <t>J391155</t>
  </si>
  <si>
    <t>RANIM/FILLE</t>
  </si>
  <si>
    <t>J391347</t>
  </si>
  <si>
    <t>J391322</t>
  </si>
  <si>
    <t>P853354</t>
  </si>
  <si>
    <t>CHAIEB HAMDI</t>
  </si>
  <si>
    <t>BARAA/FILS</t>
  </si>
  <si>
    <t>P946598</t>
  </si>
  <si>
    <t>ZAIEG MOHAMED ALI</t>
  </si>
  <si>
    <t>ESLEM/CONJOINT</t>
  </si>
  <si>
    <t>J391247</t>
  </si>
  <si>
    <t>J226785</t>
  </si>
  <si>
    <t>P609899</t>
  </si>
  <si>
    <t>P609963</t>
  </si>
  <si>
    <t>GOUSSOUN/FILLE</t>
  </si>
  <si>
    <t>P385731</t>
  </si>
  <si>
    <t>J471954</t>
  </si>
  <si>
    <t>J391223</t>
  </si>
  <si>
    <t>MOUNIRA/CONJOINT</t>
  </si>
  <si>
    <t>J391374</t>
  </si>
  <si>
    <t>J394925</t>
  </si>
  <si>
    <t>MALEK/FILLE</t>
  </si>
  <si>
    <t>J394926</t>
  </si>
  <si>
    <t>J471983</t>
  </si>
  <si>
    <t>P609997</t>
  </si>
  <si>
    <t>NADA/FILLE</t>
  </si>
  <si>
    <t>J391440</t>
  </si>
  <si>
    <t>HELA/CONJOINT</t>
  </si>
  <si>
    <t>P609874</t>
  </si>
  <si>
    <t>SOUHA/CONJOINT</t>
  </si>
  <si>
    <t>J391459</t>
  </si>
  <si>
    <t>J226853</t>
  </si>
  <si>
    <t>SARRA/FILLE</t>
  </si>
  <si>
    <t>J391433</t>
  </si>
  <si>
    <t>J391313</t>
  </si>
  <si>
    <t>J391373</t>
  </si>
  <si>
    <t>J391364</t>
  </si>
  <si>
    <t>J391365</t>
  </si>
  <si>
    <t>P474084</t>
  </si>
  <si>
    <t>ELINE/FILLE</t>
  </si>
  <si>
    <t>J391441</t>
  </si>
  <si>
    <t>J471927</t>
  </si>
  <si>
    <t>J471913</t>
  </si>
  <si>
    <t>P609982</t>
  </si>
  <si>
    <t>J391453</t>
  </si>
  <si>
    <t>J391452</t>
  </si>
  <si>
    <t>P946653</t>
  </si>
  <si>
    <t>P853030</t>
  </si>
  <si>
    <t>J471939</t>
  </si>
  <si>
    <t>ISLEM/CONJOINT</t>
  </si>
  <si>
    <t>P385239</t>
  </si>
  <si>
    <t>J226826</t>
  </si>
  <si>
    <t>HOUBOUR/CONJOINT</t>
  </si>
  <si>
    <t>P609900</t>
  </si>
  <si>
    <t>DHOUHA/CONJOINT</t>
  </si>
  <si>
    <t>J471970</t>
  </si>
  <si>
    <t>J391447</t>
  </si>
  <si>
    <t>SOUAD/CONJOINT</t>
  </si>
  <si>
    <t>J471888</t>
  </si>
  <si>
    <t>OMAR/FILS</t>
  </si>
  <si>
    <t>J391462</t>
  </si>
  <si>
    <t>P946804</t>
  </si>
  <si>
    <t>MOHAMED GAITH/FILS</t>
  </si>
  <si>
    <t>J471866</t>
  </si>
  <si>
    <t>JARRAR MOHAMED MEHDI</t>
  </si>
  <si>
    <t>RANIA/FILLE</t>
  </si>
  <si>
    <t>P758409</t>
  </si>
  <si>
    <t>A641105</t>
  </si>
  <si>
    <t>A581685</t>
  </si>
  <si>
    <t>J391454</t>
  </si>
  <si>
    <t>Y757045</t>
  </si>
  <si>
    <t>KE</t>
  </si>
  <si>
    <t>P609953</t>
  </si>
  <si>
    <t>J391354</t>
  </si>
  <si>
    <t>J471937</t>
  </si>
  <si>
    <t>KHAOULA/CONJOINT</t>
  </si>
  <si>
    <t>J471931</t>
  </si>
  <si>
    <t>J391151</t>
  </si>
  <si>
    <t>J391301</t>
  </si>
  <si>
    <t>KHOCHTALI JIHENE</t>
  </si>
  <si>
    <t>J391281</t>
  </si>
  <si>
    <t>J231830</t>
  </si>
  <si>
    <t>P474199</t>
  </si>
  <si>
    <t>J471989</t>
  </si>
  <si>
    <t>J391274</t>
  </si>
  <si>
    <t>J471906</t>
  </si>
  <si>
    <t>NOUH/FILS</t>
  </si>
  <si>
    <t>P946860</t>
  </si>
  <si>
    <t>J391377</t>
  </si>
  <si>
    <t>ILHEM/CONJOINT</t>
  </si>
  <si>
    <t>A641279</t>
  </si>
  <si>
    <t>A883425</t>
  </si>
  <si>
    <t>J391332</t>
  </si>
  <si>
    <t>RABIA/CONJOINT</t>
  </si>
  <si>
    <t>J391333</t>
  </si>
  <si>
    <t>P000329</t>
  </si>
  <si>
    <t>ROUIS MOHAMED AZIZ</t>
  </si>
  <si>
    <t>P758390</t>
  </si>
  <si>
    <t>P609967</t>
  </si>
  <si>
    <t>J391400</t>
  </si>
  <si>
    <t>J391401</t>
  </si>
  <si>
    <t>P946519</t>
  </si>
  <si>
    <t>J226839</t>
  </si>
  <si>
    <t>J471967</t>
  </si>
  <si>
    <t>J391165</t>
  </si>
  <si>
    <t>BOUHLEL MOHAMED</t>
  </si>
  <si>
    <t>J471840</t>
  </si>
  <si>
    <t>J471936</t>
  </si>
  <si>
    <t>J391292</t>
  </si>
  <si>
    <t>FATMA EZZAHRA/FILLE</t>
  </si>
  <si>
    <t>P853236</t>
  </si>
  <si>
    <t>MAHBOUBA/CONJOINT</t>
  </si>
  <si>
    <t>J391337</t>
  </si>
  <si>
    <t>J391158</t>
  </si>
  <si>
    <t>P385377</t>
  </si>
  <si>
    <t>J391163</t>
  </si>
  <si>
    <t>SAIEB ACHRAF</t>
  </si>
  <si>
    <t>J391162</t>
  </si>
  <si>
    <t>P474213</t>
  </si>
  <si>
    <t>BEL HADJ JRAD MOHAMED</t>
  </si>
  <si>
    <t>SARRA/CONJOINT</t>
  </si>
  <si>
    <t>J226735</t>
  </si>
  <si>
    <t>CHAIMA/FILLE</t>
  </si>
  <si>
    <t>P946601</t>
  </si>
  <si>
    <t>J391277</t>
  </si>
  <si>
    <t>J231888</t>
  </si>
  <si>
    <t>MOEZ/CONJOINT</t>
  </si>
  <si>
    <t>J226690</t>
  </si>
  <si>
    <t>MEHDI/FILS</t>
  </si>
  <si>
    <t>J226689</t>
  </si>
  <si>
    <t>P758288</t>
  </si>
  <si>
    <t>SOUHAIL/FILS</t>
  </si>
  <si>
    <t>J231808</t>
  </si>
  <si>
    <t>HH</t>
  </si>
  <si>
    <t>P199826</t>
  </si>
  <si>
    <t>LINA/FILLE</t>
  </si>
  <si>
    <t>A574249</t>
  </si>
  <si>
    <t>J226775</t>
  </si>
  <si>
    <t>J391358</t>
  </si>
  <si>
    <t>J391386</t>
  </si>
  <si>
    <t>J226780</t>
  </si>
  <si>
    <t>SANA/CONJOINT</t>
  </si>
  <si>
    <t>J391430</t>
  </si>
  <si>
    <t>J391439</t>
  </si>
  <si>
    <t>J391348</t>
  </si>
  <si>
    <t>FAHD/FILS</t>
  </si>
  <si>
    <t>DATE:  10/02/2025</t>
  </si>
  <si>
    <t>NOMBRE BS :  141</t>
  </si>
  <si>
    <t>OBJET:BORD N° 04 /2025-SANTE</t>
  </si>
  <si>
    <t>J391399</t>
  </si>
  <si>
    <t>SAMIA/CONJOINT</t>
  </si>
  <si>
    <t>J471870</t>
  </si>
  <si>
    <t>NAJMEDDINE/FILS</t>
  </si>
  <si>
    <t>J471882</t>
  </si>
  <si>
    <t>J391297</t>
  </si>
  <si>
    <t>J391190</t>
  </si>
  <si>
    <t>P946943</t>
  </si>
  <si>
    <t>J231759</t>
  </si>
  <si>
    <t>Y757232</t>
  </si>
  <si>
    <t>HENDA/CONJOINT</t>
  </si>
  <si>
    <t>Y757231</t>
  </si>
  <si>
    <t>J226687</t>
  </si>
  <si>
    <t>J391285</t>
  </si>
  <si>
    <t>J391327</t>
  </si>
  <si>
    <t>J391431</t>
  </si>
  <si>
    <t>A271927</t>
  </si>
  <si>
    <t>J471984</t>
  </si>
  <si>
    <t>J391417</t>
  </si>
  <si>
    <t>AHMED AMINE/FILS</t>
  </si>
  <si>
    <t>J391408</t>
  </si>
  <si>
    <t>J471908</t>
  </si>
  <si>
    <t>HMIDI SALEM</t>
  </si>
  <si>
    <t>J394920</t>
  </si>
  <si>
    <t>J394921</t>
  </si>
  <si>
    <t>P474135</t>
  </si>
  <si>
    <t>J391351</t>
  </si>
  <si>
    <t>J471961</t>
  </si>
  <si>
    <t xml:space="preserve">BEN FREDJ IMEN </t>
  </si>
  <si>
    <t>J471948</t>
  </si>
  <si>
    <t xml:space="preserve">HEDHILI MAHER </t>
  </si>
  <si>
    <t>P946820</t>
  </si>
  <si>
    <t>J471838</t>
  </si>
  <si>
    <t>MOHAMED SALAH/CONJOINT</t>
  </si>
  <si>
    <t>P199868</t>
  </si>
  <si>
    <t>RAOUA/CONJOINT</t>
  </si>
  <si>
    <t>J471904</t>
  </si>
  <si>
    <t>J391240</t>
  </si>
  <si>
    <t>RADHIA/CONJOINT</t>
  </si>
  <si>
    <t>J471869</t>
  </si>
  <si>
    <t>J231780</t>
  </si>
  <si>
    <t>J231779</t>
  </si>
  <si>
    <t>ABDELKARIM/CONJOINT</t>
  </si>
  <si>
    <t>P946594</t>
  </si>
  <si>
    <t>J391214</t>
  </si>
  <si>
    <t>MED YASSINE/FILS</t>
  </si>
  <si>
    <t>J471917</t>
  </si>
  <si>
    <t>RANDA/CONJOINT</t>
  </si>
  <si>
    <t>J391234</t>
  </si>
  <si>
    <t>J471770</t>
  </si>
  <si>
    <t>J391393</t>
  </si>
  <si>
    <t>J226738</t>
  </si>
  <si>
    <t>J471812</t>
  </si>
  <si>
    <t>SOUHAIEL/FILS</t>
  </si>
  <si>
    <t>P758305</t>
  </si>
  <si>
    <t>Y558670</t>
  </si>
  <si>
    <t>Y558989</t>
  </si>
  <si>
    <t>Y618555</t>
  </si>
  <si>
    <t>P657137</t>
  </si>
  <si>
    <t>J391153</t>
  </si>
  <si>
    <t>J226772</t>
  </si>
  <si>
    <t>ELGHAOUI RAMI</t>
  </si>
  <si>
    <t>MELISSA/FILLE</t>
  </si>
  <si>
    <t>P946831</t>
  </si>
  <si>
    <t>J471915</t>
  </si>
  <si>
    <t>P625012</t>
  </si>
  <si>
    <t>NADA/CONJOINT</t>
  </si>
  <si>
    <t>P657239</t>
  </si>
  <si>
    <t>J471785</t>
  </si>
  <si>
    <t>J471761</t>
  </si>
  <si>
    <t>J471860</t>
  </si>
  <si>
    <t>P657062</t>
  </si>
  <si>
    <t>J471994</t>
  </si>
  <si>
    <t>J471993</t>
  </si>
  <si>
    <t>AICHA/CONJOINT</t>
  </si>
  <si>
    <t>J471901</t>
  </si>
  <si>
    <t>A573921</t>
  </si>
  <si>
    <t>P320660</t>
  </si>
  <si>
    <t>SALAH/FILS</t>
  </si>
  <si>
    <t>J391202</t>
  </si>
  <si>
    <t>J471980</t>
  </si>
  <si>
    <t>P853232</t>
  </si>
  <si>
    <t>P609991</t>
  </si>
  <si>
    <t>J391353</t>
  </si>
  <si>
    <t>ZAINEB/CONJOINT</t>
  </si>
  <si>
    <t>J226812</t>
  </si>
  <si>
    <t>Y711823</t>
  </si>
  <si>
    <t>J471715</t>
  </si>
  <si>
    <t>J471914</t>
  </si>
  <si>
    <t>J226843</t>
  </si>
  <si>
    <t>P385128</t>
  </si>
  <si>
    <t>HAJER/CONJOINT</t>
  </si>
  <si>
    <t>P758259</t>
  </si>
  <si>
    <t>Y711810</t>
  </si>
  <si>
    <t>BEN ARBIA HAMDI</t>
  </si>
  <si>
    <t>P609989</t>
  </si>
  <si>
    <t>SIHEM/CONJOINT</t>
  </si>
  <si>
    <t>A472133</t>
  </si>
  <si>
    <t>P991858</t>
  </si>
  <si>
    <t>J391252</t>
  </si>
  <si>
    <t>NOUR ELHOUDA/FILLE</t>
  </si>
  <si>
    <t>J471879</t>
  </si>
  <si>
    <t>J471731</t>
  </si>
  <si>
    <t>J391460</t>
  </si>
  <si>
    <t>J471856</t>
  </si>
  <si>
    <t>J471767</t>
  </si>
  <si>
    <t>J471999</t>
  </si>
  <si>
    <t>LAHDIRI ALI</t>
  </si>
  <si>
    <t>J231848</t>
  </si>
  <si>
    <t>LAMRIA/CONJOINT</t>
  </si>
  <si>
    <t>J391191</t>
  </si>
  <si>
    <t>J471945</t>
  </si>
  <si>
    <t>P758479</t>
  </si>
  <si>
    <t>MKHININI MED IHEB</t>
  </si>
  <si>
    <t>ASMA/CONJOINT</t>
  </si>
  <si>
    <t>J471877</t>
  </si>
  <si>
    <t>A140212</t>
  </si>
  <si>
    <t>MKHININI BECHIR</t>
  </si>
  <si>
    <t>HOUDA/CONJOINT</t>
  </si>
  <si>
    <t>J471807</t>
  </si>
  <si>
    <t>J471854</t>
  </si>
  <si>
    <t>J391271</t>
  </si>
  <si>
    <t>J471951</t>
  </si>
  <si>
    <t>DARINE/FILLE</t>
  </si>
  <si>
    <t>J226862</t>
  </si>
  <si>
    <t>J226808</t>
  </si>
  <si>
    <t>J226849</t>
  </si>
  <si>
    <t>J471965</t>
  </si>
  <si>
    <t>BAYA/FILLE</t>
  </si>
  <si>
    <t>A810703</t>
  </si>
  <si>
    <t>J471699</t>
  </si>
  <si>
    <t>BEN AMARA YASMINE</t>
  </si>
  <si>
    <t>J391409</t>
  </si>
  <si>
    <t>ALA/FILLE</t>
  </si>
  <si>
    <t>J391345</t>
  </si>
  <si>
    <t>P946767</t>
  </si>
  <si>
    <t>J391410</t>
  </si>
  <si>
    <t>J471903</t>
  </si>
  <si>
    <t>P609876</t>
  </si>
  <si>
    <t>FATMA/CONJOINT</t>
  </si>
  <si>
    <t>J471858</t>
  </si>
  <si>
    <t>MONIA/CONJOINT</t>
  </si>
  <si>
    <t>J471890</t>
  </si>
  <si>
    <t>J471889</t>
  </si>
  <si>
    <t>J471843</t>
  </si>
  <si>
    <t>J391222</t>
  </si>
  <si>
    <t>J471907</t>
  </si>
  <si>
    <t>A924285</t>
  </si>
  <si>
    <t>P853202</t>
  </si>
  <si>
    <t>J391225</t>
  </si>
  <si>
    <t>SALSABIL/FILLE</t>
  </si>
  <si>
    <t>P946993</t>
  </si>
  <si>
    <t>J471968</t>
  </si>
  <si>
    <t>P609934</t>
  </si>
  <si>
    <t>J471753</t>
  </si>
  <si>
    <t>J471758</t>
  </si>
  <si>
    <t>P853037</t>
  </si>
  <si>
    <t>MAROUA/CONJOINT</t>
  </si>
  <si>
    <t>J471837</t>
  </si>
  <si>
    <t>J391428</t>
  </si>
  <si>
    <t>AHLEM/FILLE</t>
  </si>
  <si>
    <t>J471744</t>
  </si>
  <si>
    <t>J471777</t>
  </si>
  <si>
    <t>Y757150</t>
  </si>
  <si>
    <t>J471886</t>
  </si>
  <si>
    <t>ROUDAINA/FILLE</t>
  </si>
  <si>
    <t>J471839</t>
  </si>
  <si>
    <t xml:space="preserve">NOMBRE BS :  125   </t>
  </si>
  <si>
    <t>DATE:  24/02/2025</t>
  </si>
  <si>
    <t>OBJET:BORD N° 05 /2025-SANTE</t>
  </si>
  <si>
    <t>J471784</t>
  </si>
  <si>
    <t>J471701</t>
  </si>
  <si>
    <t>GHOUSOUN/FILLE</t>
  </si>
  <si>
    <t>J471928</t>
  </si>
  <si>
    <t>J391210</t>
  </si>
  <si>
    <t>P385280</t>
  </si>
  <si>
    <t>ILEF/FILLE</t>
  </si>
  <si>
    <t>P657413</t>
  </si>
  <si>
    <t>P657172</t>
  </si>
  <si>
    <t>P657171</t>
  </si>
  <si>
    <t>J391286</t>
  </si>
  <si>
    <t>J352258</t>
  </si>
  <si>
    <t>J391445</t>
  </si>
  <si>
    <t>J391363</t>
  </si>
  <si>
    <t>A347971</t>
  </si>
  <si>
    <t>J471966</t>
  </si>
  <si>
    <t>P657375</t>
  </si>
  <si>
    <t>SAMAH/CONJOINT</t>
  </si>
  <si>
    <t>J471746</t>
  </si>
  <si>
    <t>ABDESSALEM/FILS</t>
  </si>
  <si>
    <t>J231769</t>
  </si>
  <si>
    <t>J471797</t>
  </si>
  <si>
    <t>J231796</t>
  </si>
  <si>
    <t>J471801</t>
  </si>
  <si>
    <t>J226702</t>
  </si>
  <si>
    <t>P946638</t>
  </si>
  <si>
    <t>J226774</t>
  </si>
  <si>
    <t>J471995</t>
  </si>
  <si>
    <t>J471959</t>
  </si>
  <si>
    <t>J471925</t>
  </si>
  <si>
    <t>J391173</t>
  </si>
  <si>
    <t>A883457</t>
  </si>
  <si>
    <t>FATEN/CONJOINT</t>
  </si>
  <si>
    <t>J391395</t>
  </si>
  <si>
    <t>J391456</t>
  </si>
  <si>
    <t>B. HADJ HSSINE AYMEN</t>
  </si>
  <si>
    <t>J471841</t>
  </si>
  <si>
    <t>J391378</t>
  </si>
  <si>
    <t>J471985</t>
  </si>
  <si>
    <t>J557828</t>
  </si>
  <si>
    <t>J391298</t>
  </si>
  <si>
    <t>J226802</t>
  </si>
  <si>
    <t>ELGARES MED WASSIM</t>
  </si>
  <si>
    <t>J557730</t>
  </si>
  <si>
    <t>BEN ABDALLAH AMEUR</t>
  </si>
  <si>
    <t>P946603</t>
  </si>
  <si>
    <t>P758370</t>
  </si>
  <si>
    <t>J471975</t>
  </si>
  <si>
    <t>NASIIB KAIS</t>
  </si>
  <si>
    <t>Y757151</t>
  </si>
  <si>
    <t>NOUSAIBA/FILLE</t>
  </si>
  <si>
    <t>J471832</t>
  </si>
  <si>
    <t>B.HADJ HSSINE KHALED</t>
  </si>
  <si>
    <t>P474058</t>
  </si>
  <si>
    <t>J557757</t>
  </si>
  <si>
    <t>J471813</t>
  </si>
  <si>
    <t>J471755</t>
  </si>
  <si>
    <t>J471692</t>
  </si>
  <si>
    <t>J471902</t>
  </si>
  <si>
    <t>J471727</t>
  </si>
  <si>
    <t>J471848</t>
  </si>
  <si>
    <t>J471846</t>
  </si>
  <si>
    <t>J471810</t>
  </si>
  <si>
    <t>A185300</t>
  </si>
  <si>
    <t>J471818</t>
  </si>
  <si>
    <t>J471876</t>
  </si>
  <si>
    <t>J557776</t>
  </si>
  <si>
    <t>TAKWA/FILLE</t>
  </si>
  <si>
    <t>J391302</t>
  </si>
  <si>
    <t>P853305</t>
  </si>
  <si>
    <t>TASNIM/FILLE</t>
  </si>
  <si>
    <t>P040064</t>
  </si>
  <si>
    <t>P946627</t>
  </si>
  <si>
    <t>P946628</t>
  </si>
  <si>
    <t>J557753</t>
  </si>
  <si>
    <t>J471765</t>
  </si>
  <si>
    <t>J231889</t>
  </si>
  <si>
    <t>J471712</t>
  </si>
  <si>
    <t>J471924</t>
  </si>
  <si>
    <t>J391293</t>
  </si>
  <si>
    <t>J471689</t>
  </si>
  <si>
    <t>A641280</t>
  </si>
  <si>
    <t>J231858</t>
  </si>
  <si>
    <t>J471691</t>
  </si>
  <si>
    <t>J471739</t>
  </si>
  <si>
    <t>BASSEM/FILS</t>
  </si>
  <si>
    <t>J471738</t>
  </si>
  <si>
    <t>ANIS/FILS</t>
  </si>
  <si>
    <t>P609927</t>
  </si>
  <si>
    <t>J471895</t>
  </si>
  <si>
    <t>P946912</t>
  </si>
  <si>
    <t>Y587424</t>
  </si>
  <si>
    <t>J471833</t>
  </si>
  <si>
    <t>P609872</t>
  </si>
  <si>
    <t>J471733</t>
  </si>
  <si>
    <t>J471697</t>
  </si>
  <si>
    <t>SABRINE/CNJOINT</t>
  </si>
  <si>
    <t>P474235</t>
  </si>
  <si>
    <t>MAHMOUD/FILS</t>
  </si>
  <si>
    <t>J391379</t>
  </si>
  <si>
    <t>P624893</t>
  </si>
  <si>
    <t>J226792</t>
  </si>
  <si>
    <t>J471782</t>
  </si>
  <si>
    <t>YASMINE/COJOINT</t>
  </si>
  <si>
    <t>J471773</t>
  </si>
  <si>
    <t>P758449</t>
  </si>
  <si>
    <t>J471842</t>
  </si>
  <si>
    <t>P946921</t>
  </si>
  <si>
    <t>J471905</t>
  </si>
  <si>
    <t>BADER/FILS</t>
  </si>
  <si>
    <t>P853219</t>
  </si>
  <si>
    <t>J471817</t>
  </si>
  <si>
    <t>A888340</t>
  </si>
  <si>
    <t>J231804</t>
  </si>
  <si>
    <t>MED OUAIS/FILS</t>
  </si>
  <si>
    <t>J391194</t>
  </si>
  <si>
    <t>Y711845</t>
  </si>
  <si>
    <t>TERZEG BHIRI ANIS</t>
  </si>
  <si>
    <t>J226791</t>
  </si>
  <si>
    <t>KAOUTHAR/CONJOINT</t>
  </si>
  <si>
    <t>J471871</t>
  </si>
  <si>
    <t>P946911</t>
  </si>
  <si>
    <t>J471656</t>
  </si>
  <si>
    <t>MED AZIZ /FILS</t>
  </si>
  <si>
    <t>J471793</t>
  </si>
  <si>
    <t>ANAS/FILS</t>
  </si>
  <si>
    <t>J471685</t>
  </si>
  <si>
    <t>J471771</t>
  </si>
  <si>
    <t>P609909</t>
  </si>
  <si>
    <t>P853170</t>
  </si>
  <si>
    <t>BEN ABDALLAH MALEK</t>
  </si>
  <si>
    <t>P609971</t>
  </si>
  <si>
    <t>J557726</t>
  </si>
  <si>
    <t>A514661</t>
  </si>
  <si>
    <t>MOETAZ/FILS</t>
  </si>
  <si>
    <t>J557733</t>
  </si>
  <si>
    <t>J471757</t>
  </si>
  <si>
    <t>A811112</t>
  </si>
  <si>
    <t>J557665</t>
  </si>
  <si>
    <t>J557732</t>
  </si>
  <si>
    <t>P609925</t>
  </si>
  <si>
    <t>J471661</t>
  </si>
  <si>
    <t>J391413</t>
  </si>
  <si>
    <t>BEN AHMED NIZAR</t>
  </si>
  <si>
    <t>GHOZLEN/CONJOINT</t>
  </si>
  <si>
    <t>P657087</t>
  </si>
  <si>
    <t>P385327</t>
  </si>
  <si>
    <t>ZANTOUR AMROU</t>
  </si>
  <si>
    <t>J471719</t>
  </si>
  <si>
    <t>GAZZEH GHAIREDDINE</t>
  </si>
  <si>
    <t>AMEL/CONJOINT</t>
  </si>
  <si>
    <t>DATE:  10/03/2025</t>
  </si>
  <si>
    <t xml:space="preserve">NOMBRE BS :   119    </t>
  </si>
  <si>
    <t>OBJET:BORD N° 06 /2025-SANTE</t>
  </si>
  <si>
    <t>J471774</t>
  </si>
  <si>
    <t>J557676</t>
  </si>
  <si>
    <t>J557672</t>
  </si>
  <si>
    <t>J557721</t>
  </si>
  <si>
    <t>NADINE/FILLE</t>
  </si>
  <si>
    <t>J557658</t>
  </si>
  <si>
    <t>P853356</t>
  </si>
  <si>
    <t>J557703</t>
  </si>
  <si>
    <t>ROUA/FILLE</t>
  </si>
  <si>
    <t>P853328</t>
  </si>
  <si>
    <t>J391290</t>
  </si>
  <si>
    <t>P853163</t>
  </si>
  <si>
    <t>SAKKA ROUIS MED MAHER</t>
  </si>
  <si>
    <t>P946789</t>
  </si>
  <si>
    <t>J471976</t>
  </si>
  <si>
    <t>J471973</t>
  </si>
  <si>
    <t>J471665</t>
  </si>
  <si>
    <t>J226838</t>
  </si>
  <si>
    <t>A875745</t>
  </si>
  <si>
    <t>J391245</t>
  </si>
  <si>
    <t>J557773</t>
  </si>
  <si>
    <t>AHLEM/CONJOINT</t>
  </si>
  <si>
    <t>J231744</t>
  </si>
  <si>
    <t>J557669</t>
  </si>
  <si>
    <t>P385130</t>
  </si>
  <si>
    <t>J391427</t>
  </si>
  <si>
    <t>J471887</t>
  </si>
  <si>
    <t>J557747</t>
  </si>
  <si>
    <t>J557623</t>
  </si>
  <si>
    <t>P474087</t>
  </si>
  <si>
    <t>P758272</t>
  </si>
  <si>
    <t>J231820</t>
  </si>
  <si>
    <t>A472110</t>
  </si>
  <si>
    <t>J226858</t>
  </si>
  <si>
    <t>J226859</t>
  </si>
  <si>
    <t>P853071</t>
  </si>
  <si>
    <t>TALINE/FILLE</t>
  </si>
  <si>
    <t>P946917</t>
  </si>
  <si>
    <t>J557634</t>
  </si>
  <si>
    <t>J471660</t>
  </si>
  <si>
    <t>J391278</t>
  </si>
  <si>
    <t>J557779</t>
  </si>
  <si>
    <t>MOHAMED AYEN/FILS</t>
  </si>
  <si>
    <t>J557625</t>
  </si>
  <si>
    <t>J557633</t>
  </si>
  <si>
    <t>J471664</t>
  </si>
  <si>
    <t>J471780</t>
  </si>
  <si>
    <t>P320833</t>
  </si>
  <si>
    <t>J471666</t>
  </si>
  <si>
    <t>YOMNA/FILLE</t>
  </si>
  <si>
    <t>J471835</t>
  </si>
  <si>
    <t>P040351</t>
  </si>
  <si>
    <t>J557763</t>
  </si>
  <si>
    <t>J471682</t>
  </si>
  <si>
    <t>J471681</t>
  </si>
  <si>
    <t>AROUA/FILLE</t>
  </si>
  <si>
    <t>P474099</t>
  </si>
  <si>
    <t>J471752</t>
  </si>
  <si>
    <t>J471673</t>
  </si>
  <si>
    <t>P657063</t>
  </si>
  <si>
    <t>J557582</t>
  </si>
  <si>
    <t>FTOUHI JASSER</t>
  </si>
  <si>
    <t>J471883</t>
  </si>
  <si>
    <t>J557716</t>
  </si>
  <si>
    <t>MOHAMED/FILS</t>
  </si>
  <si>
    <t>J557593</t>
  </si>
  <si>
    <t>J391226</t>
  </si>
  <si>
    <t>J557711</t>
  </si>
  <si>
    <t>J557830</t>
  </si>
  <si>
    <t>J471868</t>
  </si>
  <si>
    <t>J471849</t>
  </si>
  <si>
    <t>BEN ABDELJELIL ABDELJELIL</t>
  </si>
  <si>
    <t>ASMA/FILLE</t>
  </si>
  <si>
    <t>P657371</t>
  </si>
  <si>
    <t>J557685</t>
  </si>
  <si>
    <t>J557778</t>
  </si>
  <si>
    <t>J471735</t>
  </si>
  <si>
    <t>J557667</t>
  </si>
  <si>
    <t>P609968</t>
  </si>
  <si>
    <t xml:space="preserve">NOMBRE BS :    66  </t>
  </si>
  <si>
    <t>DATE:  25/03/2025</t>
  </si>
  <si>
    <t>OBJET:BORD N° 07 /2025-SANTE</t>
  </si>
  <si>
    <t>Y587458</t>
  </si>
  <si>
    <t>J391160</t>
  </si>
  <si>
    <t>J391402</t>
  </si>
  <si>
    <t>J557723</t>
  </si>
  <si>
    <t>J471720</t>
  </si>
  <si>
    <t>J471728</t>
  </si>
  <si>
    <t>J471729</t>
  </si>
  <si>
    <t>J557744</t>
  </si>
  <si>
    <t>J471756</t>
  </si>
  <si>
    <t>J557613</t>
  </si>
  <si>
    <t>P385202</t>
  </si>
  <si>
    <t>EYA/FILLE</t>
  </si>
  <si>
    <t>J557682</t>
  </si>
  <si>
    <t>J471708</t>
  </si>
  <si>
    <t>RABIAA/CONJOINT</t>
  </si>
  <si>
    <t>J471696</t>
  </si>
  <si>
    <t>CHADI/FILS</t>
  </si>
  <si>
    <t>P682743</t>
  </si>
  <si>
    <t>J557573</t>
  </si>
  <si>
    <t>J557646</t>
  </si>
  <si>
    <t>P320781</t>
  </si>
  <si>
    <t>J471978</t>
  </si>
  <si>
    <t>P474337</t>
  </si>
  <si>
    <t>J557701</t>
  </si>
  <si>
    <t>P853307</t>
  </si>
  <si>
    <t>J557724</t>
  </si>
  <si>
    <t>MOATEZ/FILS</t>
  </si>
  <si>
    <t>A811106</t>
  </si>
  <si>
    <t>J226721</t>
  </si>
  <si>
    <t>A924049</t>
  </si>
  <si>
    <t>HANIN/FILLE</t>
  </si>
  <si>
    <t>J557738</t>
  </si>
  <si>
    <t>P000286</t>
  </si>
  <si>
    <t>J557675</t>
  </si>
  <si>
    <t>J557686</t>
  </si>
  <si>
    <t>P946887</t>
  </si>
  <si>
    <t>P946837</t>
  </si>
  <si>
    <t>P474027</t>
  </si>
  <si>
    <t>BASMALA/FILLE</t>
  </si>
  <si>
    <t>J557749</t>
  </si>
  <si>
    <t>J471921</t>
  </si>
  <si>
    <t>P853133</t>
  </si>
  <si>
    <t>J557636</t>
  </si>
  <si>
    <t>J231770</t>
  </si>
  <si>
    <t>J471949</t>
  </si>
  <si>
    <t>J471690</t>
  </si>
  <si>
    <t>J471781</t>
  </si>
  <si>
    <t>J557559</t>
  </si>
  <si>
    <t>J557717</t>
  </si>
  <si>
    <t>J471880</t>
  </si>
  <si>
    <t>J557609</t>
  </si>
  <si>
    <t>J471941</t>
  </si>
  <si>
    <t>J557719</t>
  </si>
  <si>
    <t>J471788</t>
  </si>
  <si>
    <t>MALAK/FILLE</t>
  </si>
  <si>
    <t>J557621</t>
  </si>
  <si>
    <t>EL GARES MOHAMED WASSIM</t>
  </si>
  <si>
    <t>J557553</t>
  </si>
  <si>
    <t>J557552</t>
  </si>
  <si>
    <t>P946777</t>
  </si>
  <si>
    <t>FKIH ALI MOHAMED ANIS</t>
  </si>
  <si>
    <t>MAJED/FILS</t>
  </si>
  <si>
    <t>P853125</t>
  </si>
  <si>
    <t>J557678</t>
  </si>
  <si>
    <t>P474288</t>
  </si>
  <si>
    <t>P474275</t>
  </si>
  <si>
    <t>J471875</t>
  </si>
  <si>
    <t>J446336</t>
  </si>
  <si>
    <t>J471977</t>
  </si>
  <si>
    <t>J557503</t>
  </si>
  <si>
    <t>DRIDI KARIM</t>
  </si>
  <si>
    <t>P624759</t>
  </si>
  <si>
    <t>P946570</t>
  </si>
  <si>
    <t>J557710</t>
  </si>
  <si>
    <t>J471734</t>
  </si>
  <si>
    <t>P609866</t>
  </si>
  <si>
    <t>CHADIA/CONJOINT</t>
  </si>
  <si>
    <t>J391383</t>
  </si>
  <si>
    <t>J231755</t>
  </si>
  <si>
    <t>NAJIBA/CONJOINT</t>
  </si>
  <si>
    <t>J557507</t>
  </si>
  <si>
    <t>J471950</t>
  </si>
  <si>
    <t>J557539</t>
  </si>
  <si>
    <t>J557674</t>
  </si>
  <si>
    <t>J471667</t>
  </si>
  <si>
    <t>JIHEN/FILLE</t>
  </si>
  <si>
    <t>J557598</t>
  </si>
  <si>
    <t>J557597</t>
  </si>
  <si>
    <t>J391342</t>
  </si>
  <si>
    <t>J471736</t>
  </si>
  <si>
    <t>J471737</t>
  </si>
  <si>
    <t>J557699</t>
  </si>
  <si>
    <t>J557734</t>
  </si>
  <si>
    <t>J391262</t>
  </si>
  <si>
    <t>Y907409</t>
  </si>
  <si>
    <t>A640773</t>
  </si>
  <si>
    <t>J471732</t>
  </si>
  <si>
    <t>J557594</t>
  </si>
  <si>
    <t>J391244</t>
  </si>
  <si>
    <t>J557766</t>
  </si>
  <si>
    <t>P853238</t>
  </si>
  <si>
    <t>J471822</t>
  </si>
  <si>
    <t>J557707</t>
  </si>
  <si>
    <t>P682739</t>
  </si>
  <si>
    <t>J471779</t>
  </si>
  <si>
    <t>J471850</t>
  </si>
  <si>
    <t>P682735</t>
  </si>
  <si>
    <t>J557511</t>
  </si>
  <si>
    <t>P946636</t>
  </si>
  <si>
    <t>FATMA/FILLE</t>
  </si>
  <si>
    <t>J557644</t>
  </si>
  <si>
    <t>P474035</t>
  </si>
  <si>
    <t>DORRA/CONJOINT</t>
  </si>
  <si>
    <t>J557639</t>
  </si>
  <si>
    <t>J557638</t>
  </si>
  <si>
    <t>J557681</t>
  </si>
  <si>
    <t>J557568</t>
  </si>
  <si>
    <t>J557691</t>
  </si>
  <si>
    <t>J446343</t>
  </si>
  <si>
    <t>NOUR/CONJOINT</t>
  </si>
  <si>
    <t>P853393</t>
  </si>
  <si>
    <t>J391340</t>
  </si>
  <si>
    <t>J471884</t>
  </si>
  <si>
    <t>J391361</t>
  </si>
  <si>
    <t>J471926</t>
  </si>
  <si>
    <t>J557637</t>
  </si>
  <si>
    <t>ABIR/FILLE</t>
  </si>
  <si>
    <t>J557595</t>
  </si>
  <si>
    <t>J557509</t>
  </si>
  <si>
    <t>J471873</t>
  </si>
  <si>
    <t>J471686</t>
  </si>
  <si>
    <t>P946973</t>
  </si>
  <si>
    <t>J391259</t>
  </si>
  <si>
    <t>P946588</t>
  </si>
  <si>
    <t>A675378</t>
  </si>
  <si>
    <t>A350693</t>
  </si>
  <si>
    <t>CHEBIL JIHED</t>
  </si>
  <si>
    <t>J391260</t>
  </si>
  <si>
    <t>J557502</t>
  </si>
  <si>
    <t>J557538</t>
  </si>
  <si>
    <t>P000058</t>
  </si>
  <si>
    <t>MAYSSA/FILLE</t>
  </si>
  <si>
    <t>J557660</t>
  </si>
  <si>
    <t>J557544</t>
  </si>
  <si>
    <t>J446328</t>
  </si>
  <si>
    <t>J557501</t>
  </si>
  <si>
    <t>P946619</t>
  </si>
  <si>
    <t>HIBA/FILLE</t>
  </si>
  <si>
    <t>J391241</t>
  </si>
  <si>
    <t>J557745</t>
  </si>
  <si>
    <t>J446324</t>
  </si>
  <si>
    <t>J471674</t>
  </si>
  <si>
    <t>J557611</t>
  </si>
  <si>
    <t>J557528</t>
  </si>
  <si>
    <t>J391179</t>
  </si>
  <si>
    <t>J391316</t>
  </si>
  <si>
    <t>ANOUAR/FILS</t>
  </si>
  <si>
    <t>J557662</t>
  </si>
  <si>
    <t>J471741</t>
  </si>
  <si>
    <t>J446272</t>
  </si>
  <si>
    <t>A140333</t>
  </si>
  <si>
    <t>P853370</t>
  </si>
  <si>
    <t>P853369</t>
  </si>
  <si>
    <t>P853371</t>
  </si>
  <si>
    <t>P946703</t>
  </si>
  <si>
    <t>J446261</t>
  </si>
  <si>
    <t>J446285</t>
  </si>
  <si>
    <t>J471675</t>
  </si>
  <si>
    <t>J557545</t>
  </si>
  <si>
    <t>J557531</t>
  </si>
  <si>
    <t>J231781</t>
  </si>
  <si>
    <t>J391336</t>
  </si>
  <si>
    <t>J446320</t>
  </si>
  <si>
    <t>OUSSAID/FILS</t>
  </si>
  <si>
    <t>Y853999</t>
  </si>
  <si>
    <t>P946996</t>
  </si>
  <si>
    <t>J391362</t>
  </si>
  <si>
    <t>J391268</t>
  </si>
  <si>
    <t>J446296</t>
  </si>
  <si>
    <t>J446230</t>
  </si>
  <si>
    <t>J557739</t>
  </si>
  <si>
    <t>DATE:    14/04/2025</t>
  </si>
  <si>
    <t xml:space="preserve">NOMBRE BS :   159    </t>
  </si>
  <si>
    <t>OBJET:BORD N° 08 /2025-SANTE</t>
  </si>
  <si>
    <t>P758421</t>
  </si>
  <si>
    <t>J471803</t>
  </si>
  <si>
    <t>J446305</t>
  </si>
  <si>
    <t>J471790</t>
  </si>
  <si>
    <t>SIWAR/CONJOINT</t>
  </si>
  <si>
    <t>J391192</t>
  </si>
  <si>
    <t>HAMILA CHOKRI</t>
  </si>
  <si>
    <t>A508802</t>
  </si>
  <si>
    <t>MANAR/FILLE</t>
  </si>
  <si>
    <t>J557519</t>
  </si>
  <si>
    <t>J391425</t>
  </si>
  <si>
    <t>J557570</t>
  </si>
  <si>
    <t>J391407</t>
  </si>
  <si>
    <t>JIHEN/CONJOINT</t>
  </si>
  <si>
    <t>A574338</t>
  </si>
  <si>
    <t>MKHININI HAZEM</t>
  </si>
  <si>
    <t>J557626</t>
  </si>
  <si>
    <t>KHOCHTALI JIHEN</t>
  </si>
  <si>
    <t>J557627</t>
  </si>
  <si>
    <t>J471698</t>
  </si>
  <si>
    <t>J471717</t>
  </si>
  <si>
    <t>J471707</t>
  </si>
  <si>
    <t>J557668</t>
  </si>
  <si>
    <t>J391437</t>
  </si>
  <si>
    <t>P853318</t>
  </si>
  <si>
    <t>J557641</t>
  </si>
  <si>
    <t>J471831</t>
  </si>
  <si>
    <t>J391198</t>
  </si>
  <si>
    <t>J471806</t>
  </si>
  <si>
    <t>J446292</t>
  </si>
  <si>
    <t>J557547</t>
  </si>
  <si>
    <t>J557548</t>
  </si>
  <si>
    <t>P758124</t>
  </si>
  <si>
    <t>J391265</t>
  </si>
  <si>
    <t>A140101</t>
  </si>
  <si>
    <t>A574444</t>
  </si>
  <si>
    <t>P385164</t>
  </si>
  <si>
    <t>J557525</t>
  </si>
  <si>
    <t>J446213</t>
  </si>
  <si>
    <t>J471998</t>
  </si>
  <si>
    <t>J446265</t>
  </si>
  <si>
    <t>J471754</t>
  </si>
  <si>
    <t>J446280</t>
  </si>
  <si>
    <t>J557618</t>
  </si>
  <si>
    <t>J446196</t>
  </si>
  <si>
    <t>P853151</t>
  </si>
  <si>
    <t>MAYSSA/CONJOINT</t>
  </si>
  <si>
    <t>J557534</t>
  </si>
  <si>
    <t>J231745</t>
  </si>
  <si>
    <t>P758175</t>
  </si>
  <si>
    <t>P657199</t>
  </si>
  <si>
    <t>J557761</t>
  </si>
  <si>
    <t>J557760</t>
  </si>
  <si>
    <t>J446314</t>
  </si>
  <si>
    <t>P853200</t>
  </si>
  <si>
    <t>P853086</t>
  </si>
  <si>
    <t>P853087</t>
  </si>
  <si>
    <t>P946926</t>
  </si>
  <si>
    <t>J557775</t>
  </si>
  <si>
    <t>J471799</t>
  </si>
  <si>
    <t>J557620</t>
  </si>
  <si>
    <t>J471867</t>
  </si>
  <si>
    <t xml:space="preserve">CHAARANA SAMI </t>
  </si>
  <si>
    <t>A472408</t>
  </si>
  <si>
    <t>P472408</t>
  </si>
  <si>
    <t>J471922</t>
  </si>
  <si>
    <t>P947000</t>
  </si>
  <si>
    <t>EMNA/CONJOINT</t>
  </si>
  <si>
    <t>J391254</t>
  </si>
  <si>
    <t>Y587121</t>
  </si>
  <si>
    <t>BEN ABDELJELIL WISSEM</t>
  </si>
  <si>
    <t>J231733</t>
  </si>
  <si>
    <t>J557616</t>
  </si>
  <si>
    <t>P385235</t>
  </si>
  <si>
    <t>J446165</t>
  </si>
  <si>
    <t>J557558</t>
  </si>
  <si>
    <t>J446279</t>
  </si>
  <si>
    <t>J471798</t>
  </si>
  <si>
    <t>J391372</t>
  </si>
  <si>
    <t>P946733</t>
  </si>
  <si>
    <t>BOUZAMOUCHA IHEB</t>
  </si>
  <si>
    <t>P320804</t>
  </si>
  <si>
    <t>J471986</t>
  </si>
  <si>
    <t>A516604</t>
  </si>
  <si>
    <t>J557617</t>
  </si>
  <si>
    <t>MKHININI MOHAMED IHEB</t>
  </si>
  <si>
    <t>CELINE/FILLE</t>
  </si>
  <si>
    <t>J391238</t>
  </si>
  <si>
    <t>J391414</t>
  </si>
  <si>
    <t>P657177</t>
  </si>
  <si>
    <t>J557512</t>
  </si>
  <si>
    <t>J446148</t>
  </si>
  <si>
    <t>J446122</t>
  </si>
  <si>
    <t>J446123</t>
  </si>
  <si>
    <t>J391311</t>
  </si>
  <si>
    <t>KHAIREDDINE HAMZA</t>
  </si>
  <si>
    <t>J446258</t>
  </si>
  <si>
    <t>A140335</t>
  </si>
  <si>
    <t>ASSIL/FILLE</t>
  </si>
  <si>
    <t>J446315</t>
  </si>
  <si>
    <t>J557695</t>
  </si>
  <si>
    <t>J446242</t>
  </si>
  <si>
    <t>J557587</t>
  </si>
  <si>
    <t>J391208</t>
  </si>
  <si>
    <t>ZOUHAIER/FILS</t>
  </si>
  <si>
    <t>J446143</t>
  </si>
  <si>
    <t>P385433</t>
  </si>
  <si>
    <t>J446239</t>
  </si>
  <si>
    <t>LAHDHIRI ALI</t>
  </si>
  <si>
    <t>LAAMRIA/CONJOINT</t>
  </si>
  <si>
    <t>J557524</t>
  </si>
  <si>
    <t>KARIMA/CONJOINT</t>
  </si>
  <si>
    <t>A140407</t>
  </si>
  <si>
    <t>IDRISS/FILS</t>
  </si>
  <si>
    <t>J446216</t>
  </si>
  <si>
    <t>J557612</t>
  </si>
  <si>
    <t>J391178</t>
  </si>
  <si>
    <t>J391310</t>
  </si>
  <si>
    <t>J231832</t>
  </si>
  <si>
    <t>J471716</t>
  </si>
  <si>
    <t>P320801</t>
  </si>
  <si>
    <t>P320802</t>
  </si>
  <si>
    <t>P853265</t>
  </si>
  <si>
    <t>P385065</t>
  </si>
  <si>
    <t>J471826</t>
  </si>
  <si>
    <t>SOULAYMEN/FILS</t>
  </si>
  <si>
    <t>J557535</t>
  </si>
  <si>
    <t>P853138</t>
  </si>
  <si>
    <t>J446149</t>
  </si>
  <si>
    <t>P853178</t>
  </si>
  <si>
    <t>P853308</t>
  </si>
  <si>
    <t>J557606</t>
  </si>
  <si>
    <t>J471947</t>
  </si>
  <si>
    <t>RIHAB/CONJOINT</t>
  </si>
  <si>
    <t>J471946</t>
  </si>
  <si>
    <t xml:space="preserve">NOMBRE BS :    112   </t>
  </si>
  <si>
    <t>DATE:    28/04/2025</t>
  </si>
  <si>
    <t>OBJET:BORD N° 09 /2025-SANTE</t>
  </si>
  <si>
    <t>J446138</t>
  </si>
  <si>
    <t>J446124</t>
  </si>
  <si>
    <t>J471740</t>
  </si>
  <si>
    <t>J446294</t>
  </si>
  <si>
    <t>P758281</t>
  </si>
  <si>
    <t>J446317</t>
  </si>
  <si>
    <t>J471942</t>
  </si>
  <si>
    <t>J446152</t>
  </si>
  <si>
    <t>J446182</t>
  </si>
  <si>
    <t>LAMIA/CONJOINT</t>
  </si>
  <si>
    <t>J446223</t>
  </si>
  <si>
    <t>J471981</t>
  </si>
  <si>
    <t>J391420</t>
  </si>
  <si>
    <t>BEN HADJ HSSINE AYMEN</t>
  </si>
  <si>
    <t>P474008</t>
  </si>
  <si>
    <t>P000420</t>
  </si>
  <si>
    <t>J471845</t>
  </si>
  <si>
    <t>J446278</t>
  </si>
  <si>
    <t>J446140</t>
  </si>
  <si>
    <t>J557624</t>
  </si>
  <si>
    <t>J446282</t>
  </si>
  <si>
    <t>J446169</t>
  </si>
  <si>
    <t>J446211</t>
  </si>
  <si>
    <t>J446262</t>
  </si>
  <si>
    <t>J446209</t>
  </si>
  <si>
    <t>J446290</t>
  </si>
  <si>
    <t>P946974</t>
  </si>
  <si>
    <t>J446303</t>
  </si>
  <si>
    <t>J557832</t>
  </si>
  <si>
    <t>J557584</t>
  </si>
  <si>
    <t>IBTISSEM/FILLE</t>
  </si>
  <si>
    <t>J557510</t>
  </si>
  <si>
    <t>J471979</t>
  </si>
  <si>
    <t>J557550</t>
  </si>
  <si>
    <t>SELMA/CONJOINT</t>
  </si>
  <si>
    <t>P040008</t>
  </si>
  <si>
    <t>J471816</t>
  </si>
  <si>
    <t>P474280</t>
  </si>
  <si>
    <t>HANA/CONJOINT</t>
  </si>
  <si>
    <t>P853135</t>
  </si>
  <si>
    <t>J505065</t>
  </si>
  <si>
    <t>J446183</t>
  </si>
  <si>
    <t>Y587144</t>
  </si>
  <si>
    <t>J446327</t>
  </si>
  <si>
    <t xml:space="preserve">MAHJOUB GHASSEN </t>
  </si>
  <si>
    <t>J446115</t>
  </si>
  <si>
    <t>J471711</t>
  </si>
  <si>
    <t>RAYEN/FILS</t>
  </si>
  <si>
    <t>J557688</t>
  </si>
  <si>
    <t>A776742</t>
  </si>
  <si>
    <t>J557542</t>
  </si>
  <si>
    <t>J391421</t>
  </si>
  <si>
    <t>MOHAMED IYED/FILS</t>
  </si>
  <si>
    <t>J557607</t>
  </si>
  <si>
    <t>J471802</t>
  </si>
  <si>
    <t>J391200</t>
  </si>
  <si>
    <t>J391250</t>
  </si>
  <si>
    <t>J557680</t>
  </si>
  <si>
    <t>J446283</t>
  </si>
  <si>
    <t>J471972</t>
  </si>
  <si>
    <t>J446301</t>
  </si>
  <si>
    <t>P609919</t>
  </si>
  <si>
    <t>J391236</t>
  </si>
  <si>
    <t>J471963</t>
  </si>
  <si>
    <t>J557683</t>
  </si>
  <si>
    <t>J446114</t>
  </si>
  <si>
    <t>BEN KALIA HAMZA</t>
  </si>
  <si>
    <t>J446217</t>
  </si>
  <si>
    <t>P385115</t>
  </si>
  <si>
    <t>J446220</t>
  </si>
  <si>
    <t>J446212</t>
  </si>
  <si>
    <t>J471776</t>
  </si>
  <si>
    <t>A553379</t>
  </si>
  <si>
    <t>J557767</t>
  </si>
  <si>
    <t>J446204</t>
  </si>
  <si>
    <t>LAAZIBI YASSINE</t>
  </si>
  <si>
    <t>J557754</t>
  </si>
  <si>
    <t>J557706</t>
  </si>
  <si>
    <t>P000022</t>
  </si>
  <si>
    <t>J557652</t>
  </si>
  <si>
    <t>J557567</t>
  </si>
  <si>
    <t>J231993</t>
  </si>
  <si>
    <t>J471775</t>
  </si>
  <si>
    <t>J471762</t>
  </si>
  <si>
    <t>P946932</t>
  </si>
  <si>
    <t>J471891</t>
  </si>
  <si>
    <t>J446044</t>
  </si>
  <si>
    <t>J446139</t>
  </si>
  <si>
    <t>P853051</t>
  </si>
  <si>
    <t>J446154</t>
  </si>
  <si>
    <t>MANEL/FILLE</t>
  </si>
  <si>
    <t>J446253</t>
  </si>
  <si>
    <t>J446155</t>
  </si>
  <si>
    <t>J446126</t>
  </si>
  <si>
    <t>J446200</t>
  </si>
  <si>
    <t>J446181</t>
  </si>
  <si>
    <t>J446184</t>
  </si>
  <si>
    <t>J446312</t>
  </si>
  <si>
    <t>J446098</t>
  </si>
  <si>
    <t>J446199</t>
  </si>
  <si>
    <t>J471796</t>
  </si>
  <si>
    <t>J446134</t>
  </si>
  <si>
    <t>J446308</t>
  </si>
  <si>
    <t>P853146</t>
  </si>
  <si>
    <t>A508803</t>
  </si>
  <si>
    <t>HAMIDA/CONJOINT</t>
  </si>
  <si>
    <t>P853148</t>
  </si>
  <si>
    <t>GHASSEN/FILS</t>
  </si>
  <si>
    <t>P853147</t>
  </si>
  <si>
    <t>J226745</t>
  </si>
  <si>
    <t>J391180</t>
  </si>
  <si>
    <t>J446235</t>
  </si>
  <si>
    <t>J446331</t>
  </si>
  <si>
    <t>J446293</t>
  </si>
  <si>
    <t>A472084</t>
  </si>
  <si>
    <t>BEN ABDELJELIL HATEM</t>
  </si>
  <si>
    <t>A574250</t>
  </si>
  <si>
    <t>A675428</t>
  </si>
  <si>
    <t>NOMBRE BS :      104</t>
  </si>
  <si>
    <t>DATE:    12/05/2025</t>
  </si>
  <si>
    <t>OBJET:BORD N° 10 /2025-SANTE</t>
  </si>
  <si>
    <t>J557561</t>
  </si>
  <si>
    <t xml:space="preserve">MAOUA HATEM </t>
  </si>
  <si>
    <t>P657483</t>
  </si>
  <si>
    <t>J446219</t>
  </si>
  <si>
    <t>J471637</t>
  </si>
  <si>
    <t>Y711813</t>
  </si>
  <si>
    <t>J446048</t>
  </si>
  <si>
    <t>J446307</t>
  </si>
  <si>
    <t>J391392</t>
  </si>
  <si>
    <t>P758374</t>
  </si>
  <si>
    <t>LOGHMARI ACHRAF</t>
  </si>
  <si>
    <t>J446256</t>
  </si>
  <si>
    <t>A516663</t>
  </si>
  <si>
    <t>J446145</t>
  </si>
  <si>
    <t>J446243</t>
  </si>
  <si>
    <t>J391307</t>
  </si>
  <si>
    <t>J471930</t>
  </si>
  <si>
    <t>J557748</t>
  </si>
  <si>
    <t>J471894</t>
  </si>
  <si>
    <t>J471893</t>
  </si>
  <si>
    <t>J446156</t>
  </si>
  <si>
    <t xml:space="preserve">MNED MOHAMED </t>
  </si>
  <si>
    <t>J446321</t>
  </si>
  <si>
    <t>J557505</t>
  </si>
  <si>
    <t>P609994</t>
  </si>
  <si>
    <t>J557602</t>
  </si>
  <si>
    <t>J391344</t>
  </si>
  <si>
    <t>J231996</t>
  </si>
  <si>
    <t>J446158</t>
  </si>
  <si>
    <t>J446254</t>
  </si>
  <si>
    <t>A538770</t>
  </si>
  <si>
    <t>J446186</t>
  </si>
  <si>
    <t>J231865</t>
  </si>
  <si>
    <t>JOUD/FILS</t>
  </si>
  <si>
    <t>A516907</t>
  </si>
  <si>
    <t>J446013</t>
  </si>
  <si>
    <t>J557515</t>
  </si>
  <si>
    <t>P609935</t>
  </si>
  <si>
    <t>J446026</t>
  </si>
  <si>
    <t>J446268</t>
  </si>
  <si>
    <t>J231869</t>
  </si>
  <si>
    <t>J231999</t>
  </si>
  <si>
    <t>J446286</t>
  </si>
  <si>
    <t>J446136</t>
  </si>
  <si>
    <t>J446052</t>
  </si>
  <si>
    <t>J391166</t>
  </si>
  <si>
    <t>AMANI/FILLE</t>
  </si>
  <si>
    <t>J558000</t>
  </si>
  <si>
    <t>J557536</t>
  </si>
  <si>
    <t>C3</t>
  </si>
  <si>
    <t>J471646</t>
  </si>
  <si>
    <t>P657473</t>
  </si>
  <si>
    <t>J557980</t>
  </si>
  <si>
    <t>J446107</t>
  </si>
  <si>
    <t>KALTHOUM/CONJOINT</t>
  </si>
  <si>
    <t>J557987</t>
  </si>
  <si>
    <t>P385827</t>
  </si>
  <si>
    <t>GHEZAL AHMED</t>
  </si>
  <si>
    <t>J557961</t>
  </si>
  <si>
    <t>J557518</t>
  </si>
  <si>
    <t>J231983</t>
  </si>
  <si>
    <t>J446023</t>
  </si>
  <si>
    <t>J446061</t>
  </si>
  <si>
    <t>J446259</t>
  </si>
  <si>
    <t>BAYEN/FILLE</t>
  </si>
  <si>
    <t>J557648</t>
  </si>
  <si>
    <t>J446024</t>
  </si>
  <si>
    <t>J471704</t>
  </si>
  <si>
    <t>J557985</t>
  </si>
  <si>
    <t>J557608</t>
  </si>
  <si>
    <t>P758478</t>
  </si>
  <si>
    <t>BERRIRI MOHAMED FREDJ</t>
  </si>
  <si>
    <t>J391203</t>
  </si>
  <si>
    <t>J557586</t>
  </si>
  <si>
    <t>J557833</t>
  </si>
  <si>
    <t>AIDA/COJOINT</t>
  </si>
  <si>
    <t>P385064</t>
  </si>
  <si>
    <t>J557599</t>
  </si>
  <si>
    <t>J471859</t>
  </si>
  <si>
    <t>J471642</t>
  </si>
  <si>
    <t>J446103</t>
  </si>
  <si>
    <t>J471749</t>
  </si>
  <si>
    <t>MAHA/CONJOINT</t>
  </si>
  <si>
    <t>J446241</t>
  </si>
  <si>
    <t>P177640</t>
  </si>
  <si>
    <t>J446082</t>
  </si>
  <si>
    <t>B.HADJ HSSINE AYMEN</t>
  </si>
  <si>
    <t>Y757188</t>
  </si>
  <si>
    <t>J446257</t>
  </si>
  <si>
    <t>J557697</t>
  </si>
  <si>
    <t>J557996</t>
  </si>
  <si>
    <t>J557554</t>
  </si>
  <si>
    <t>J446034</t>
  </si>
  <si>
    <t>SONDES/CONJOINT</t>
  </si>
  <si>
    <t>J557986</t>
  </si>
  <si>
    <t>J471988</t>
  </si>
  <si>
    <t>J446016</t>
  </si>
  <si>
    <t>J231778</t>
  </si>
  <si>
    <t>J471650</t>
  </si>
  <si>
    <t>J446302</t>
  </si>
  <si>
    <t>J557970</t>
  </si>
  <si>
    <t>J557508</t>
  </si>
  <si>
    <t>J557649</t>
  </si>
  <si>
    <t>P609978</t>
  </si>
  <si>
    <t>J446108</t>
  </si>
  <si>
    <t>J446020</t>
  </si>
  <si>
    <t>P474359</t>
  </si>
  <si>
    <t>J557727</t>
  </si>
  <si>
    <t>P040333</t>
  </si>
  <si>
    <t>J232000</t>
  </si>
  <si>
    <t>J446093</t>
  </si>
  <si>
    <t>J471990</t>
  </si>
  <si>
    <t>DATE:    27/05/2025</t>
  </si>
  <si>
    <t>J446008</t>
  </si>
  <si>
    <t>NOMBRE BS :      99</t>
  </si>
  <si>
    <t>OBJET:BORD N° 11 /2025-SANTE</t>
  </si>
  <si>
    <t>J557563</t>
  </si>
  <si>
    <t>CHAIEB HOUSSEM</t>
  </si>
  <si>
    <t>J471638</t>
  </si>
  <si>
    <t>J446113</t>
  </si>
  <si>
    <t>J557521</t>
  </si>
  <si>
    <t>J446287</t>
  </si>
  <si>
    <t>J446062</t>
  </si>
  <si>
    <t>J446335</t>
  </si>
  <si>
    <t>J557929</t>
  </si>
  <si>
    <t>J557944</t>
  </si>
  <si>
    <t>J471647</t>
  </si>
  <si>
    <t>J226851</t>
  </si>
  <si>
    <t>J446041</t>
  </si>
  <si>
    <t>J557700</t>
  </si>
  <si>
    <t>J557917</t>
  </si>
  <si>
    <t>P624647</t>
  </si>
  <si>
    <t>J557910</t>
  </si>
  <si>
    <t>J446277</t>
  </si>
  <si>
    <t>J557693</t>
  </si>
  <si>
    <t>P853381</t>
  </si>
  <si>
    <t>B.HADJ FREDJ BAYRAM</t>
  </si>
  <si>
    <t>J557769</t>
  </si>
  <si>
    <t>J557941</t>
  </si>
  <si>
    <t>J446120</t>
  </si>
  <si>
    <t>MKHININI HAYTHEM</t>
  </si>
  <si>
    <t>SAMAR/CONJOINT</t>
  </si>
  <si>
    <t>J557983</t>
  </si>
  <si>
    <t>J446329</t>
  </si>
  <si>
    <t>Y757412</t>
  </si>
  <si>
    <t>J446248</t>
  </si>
  <si>
    <t>J391213</t>
  </si>
  <si>
    <t>KHEDHER MOURAD</t>
  </si>
  <si>
    <t>A574422</t>
  </si>
  <si>
    <t>J446014</t>
  </si>
  <si>
    <t>J446006</t>
  </si>
  <si>
    <t>J557921</t>
  </si>
  <si>
    <t>J557988</t>
  </si>
  <si>
    <t>J471684</t>
  </si>
  <si>
    <t>J557834</t>
  </si>
  <si>
    <t>J471940</t>
  </si>
  <si>
    <t>P853196</t>
  </si>
  <si>
    <t>J557520</t>
  </si>
  <si>
    <t>J231989</t>
  </si>
  <si>
    <t>J231990</t>
  </si>
  <si>
    <t>J391444</t>
  </si>
  <si>
    <t>J446110</t>
  </si>
  <si>
    <t>J446172</t>
  </si>
  <si>
    <t>J557656</t>
  </si>
  <si>
    <t>J226797</t>
  </si>
  <si>
    <t>J471900</t>
  </si>
  <si>
    <t>RASSILE/FILLE</t>
  </si>
  <si>
    <t>J471899</t>
  </si>
  <si>
    <t>J446231</t>
  </si>
  <si>
    <t>J620502</t>
  </si>
  <si>
    <t>J557964</t>
  </si>
  <si>
    <t>P946736</t>
  </si>
  <si>
    <t>J557899</t>
  </si>
  <si>
    <t>J557865</t>
  </si>
  <si>
    <t>J231837</t>
  </si>
  <si>
    <t>A776872</t>
  </si>
  <si>
    <t>MONTAHA/FILLE</t>
  </si>
  <si>
    <t>A140320</t>
  </si>
  <si>
    <t>P946564</t>
  </si>
  <si>
    <t>P624648</t>
  </si>
  <si>
    <t>J557891</t>
  </si>
  <si>
    <t>J446060</t>
  </si>
  <si>
    <t>ISRA/FILLE</t>
  </si>
  <si>
    <t>J446058</t>
  </si>
  <si>
    <t>J471853</t>
  </si>
  <si>
    <t>P657210</t>
  </si>
  <si>
    <t>J446094</t>
  </si>
  <si>
    <t>Y558912</t>
  </si>
  <si>
    <t>P946586</t>
  </si>
  <si>
    <t>GAMRA/CONJOINT</t>
  </si>
  <si>
    <t>J471874</t>
  </si>
  <si>
    <t>J557885</t>
  </si>
  <si>
    <t>J557954</t>
  </si>
  <si>
    <t>MOHAMED OUAIS/FILS</t>
  </si>
  <si>
    <t>J231991</t>
  </si>
  <si>
    <t>J557906</t>
  </si>
  <si>
    <t>J557905</t>
  </si>
  <si>
    <t>J557694</t>
  </si>
  <si>
    <t>P609929</t>
  </si>
  <si>
    <t>P474304</t>
  </si>
  <si>
    <t>P946933</t>
  </si>
  <si>
    <t>J446194</t>
  </si>
  <si>
    <t>J471639</t>
  </si>
  <si>
    <t>SAMEH/CCONJOINT</t>
  </si>
  <si>
    <t>J446288</t>
  </si>
  <si>
    <t>J446289</t>
  </si>
  <si>
    <t>J446147</t>
  </si>
  <si>
    <t>P609956</t>
  </si>
  <si>
    <t>J471636</t>
  </si>
  <si>
    <t>J446027</t>
  </si>
  <si>
    <t>J446040</t>
  </si>
  <si>
    <t>J446012</t>
  </si>
  <si>
    <t>DATE:     10/06/2025</t>
  </si>
  <si>
    <t>P040166</t>
  </si>
  <si>
    <t>A140061</t>
  </si>
  <si>
    <t>MNED MOHAMED</t>
  </si>
  <si>
    <t>J557963</t>
  </si>
  <si>
    <t>J620690</t>
  </si>
  <si>
    <t>J557513</t>
  </si>
  <si>
    <t>J5576545</t>
  </si>
  <si>
    <t>J557645</t>
  </si>
  <si>
    <t>NOMBRE BS :      90</t>
  </si>
  <si>
    <t>J557916</t>
  </si>
  <si>
    <t>ILYES/FILS</t>
  </si>
  <si>
    <t>J446029</t>
  </si>
  <si>
    <t>P946869</t>
  </si>
  <si>
    <t>MOHAMED ZOUHAIER/FILS</t>
  </si>
  <si>
    <t>J557978</t>
  </si>
  <si>
    <t>BELKHIRIA SOULAYMEN</t>
  </si>
  <si>
    <t>RAYHANE/FILLE</t>
  </si>
  <si>
    <t>J446031</t>
  </si>
  <si>
    <t>MANSOUR CHAKER</t>
  </si>
  <si>
    <t>J446150</t>
  </si>
  <si>
    <t>J446033</t>
  </si>
  <si>
    <t>J472000</t>
  </si>
  <si>
    <t>J446111</t>
  </si>
  <si>
    <t>J557994</t>
  </si>
  <si>
    <t>J557663</t>
  </si>
  <si>
    <t>J231978</t>
  </si>
  <si>
    <t>Y853639</t>
  </si>
  <si>
    <t>P624640</t>
  </si>
  <si>
    <t>J557628</t>
  </si>
  <si>
    <t>J226870</t>
  </si>
  <si>
    <t>P853336</t>
  </si>
  <si>
    <t>J557904</t>
  </si>
  <si>
    <t>P853337</t>
  </si>
  <si>
    <t>J557949</t>
  </si>
  <si>
    <t>J557708</t>
  </si>
  <si>
    <t>J620636</t>
  </si>
  <si>
    <t>J471671</t>
  </si>
  <si>
    <t>J471670</t>
  </si>
  <si>
    <t>J620659</t>
  </si>
  <si>
    <t>J557579</t>
  </si>
  <si>
    <t>J557580</t>
  </si>
  <si>
    <t>A574387</t>
  </si>
  <si>
    <t>MOUSSA ABDELHAFIDH</t>
  </si>
  <si>
    <t>TAYSIR/FILS</t>
  </si>
  <si>
    <t>A350951</t>
  </si>
  <si>
    <t>AYSSEN/FILLE</t>
  </si>
  <si>
    <t>J446075</t>
  </si>
  <si>
    <t>BEN ABDALLAH KHALED</t>
  </si>
  <si>
    <t>KHOULOUD/CONJOINT</t>
  </si>
  <si>
    <t>J446266</t>
  </si>
  <si>
    <t>J471683</t>
  </si>
  <si>
    <t>J557966</t>
  </si>
  <si>
    <t>J620599</t>
  </si>
  <si>
    <t>J557619</t>
  </si>
  <si>
    <t>J471657</t>
  </si>
  <si>
    <t>J471644</t>
  </si>
  <si>
    <t>ABDERRAHMENE/FILS</t>
  </si>
  <si>
    <t>P177641</t>
  </si>
  <si>
    <t>P624646</t>
  </si>
  <si>
    <t>A811302</t>
  </si>
  <si>
    <t>J391211</t>
  </si>
  <si>
    <t>J231995</t>
  </si>
  <si>
    <t>MOHAMED KHALIL/FILS</t>
  </si>
  <si>
    <t>J471680</t>
  </si>
  <si>
    <t>BEN ABDESSALEM MOHAMED</t>
  </si>
  <si>
    <t>J557969</t>
  </si>
  <si>
    <t>J557896</t>
  </si>
  <si>
    <t>J391253</t>
  </si>
  <si>
    <t>J557890</t>
  </si>
  <si>
    <t>PJ</t>
  </si>
  <si>
    <t>J446330</t>
  </si>
  <si>
    <t>J620660</t>
  </si>
  <si>
    <t>J557902</t>
  </si>
  <si>
    <t>BOUARGOUB IMED</t>
  </si>
  <si>
    <t>J557901</t>
  </si>
  <si>
    <t>A383320</t>
  </si>
  <si>
    <t>J446043</t>
  </si>
  <si>
    <t>J471641</t>
  </si>
  <si>
    <t>J557945</t>
  </si>
  <si>
    <t>OBJET:BORD N° 12 /2025-SANTE</t>
  </si>
  <si>
    <t>J620678</t>
  </si>
  <si>
    <t>J557529</t>
  </si>
  <si>
    <t>P320875</t>
  </si>
  <si>
    <t>P853309</t>
  </si>
  <si>
    <t>J446028</t>
  </si>
  <si>
    <t>J557898</t>
  </si>
  <si>
    <t>J471808</t>
  </si>
  <si>
    <t>A588803</t>
  </si>
  <si>
    <t>P040028</t>
  </si>
  <si>
    <t>J557705</t>
  </si>
  <si>
    <t>SAMIRA/CONJOINT</t>
  </si>
  <si>
    <t>J446221</t>
  </si>
  <si>
    <t>J620672</t>
  </si>
  <si>
    <t>J620622</t>
  </si>
  <si>
    <t>J620643</t>
  </si>
  <si>
    <t>J557991</t>
  </si>
  <si>
    <t>J620662</t>
  </si>
  <si>
    <t>J471964</t>
  </si>
  <si>
    <t>Y853843</t>
  </si>
  <si>
    <t>J391376</t>
  </si>
  <si>
    <t>J557874</t>
  </si>
  <si>
    <t>J557873</t>
  </si>
  <si>
    <t>P609918</t>
  </si>
  <si>
    <t>Y558911</t>
  </si>
  <si>
    <t>J620646</t>
  </si>
  <si>
    <t>J557965</t>
  </si>
  <si>
    <t>A811128</t>
  </si>
  <si>
    <t>AZIZA/CONJOINT</t>
  </si>
  <si>
    <t>J620609</t>
  </si>
  <si>
    <t>J391375</t>
  </si>
  <si>
    <t>J446073</t>
  </si>
  <si>
    <t>P657021</t>
  </si>
  <si>
    <t>J557543</t>
  </si>
  <si>
    <t>DATE:    24/06/2025</t>
  </si>
  <si>
    <t>J620563</t>
  </si>
  <si>
    <t>KAMAR/FILLE</t>
  </si>
  <si>
    <t>J557853</t>
  </si>
  <si>
    <t>J446100</t>
  </si>
  <si>
    <t>RIHEB/CONJOINT</t>
  </si>
  <si>
    <t>J620653</t>
  </si>
  <si>
    <t>J557523</t>
  </si>
  <si>
    <t>J446206</t>
  </si>
  <si>
    <t>J446205</t>
  </si>
  <si>
    <t>MAJD/FILS</t>
  </si>
  <si>
    <t>NOMBRE BS :      93</t>
  </si>
  <si>
    <t>OBJET:BORD N° 13 /2025-SANTE</t>
  </si>
  <si>
    <t>J471898</t>
  </si>
  <si>
    <t>ALOUANE FAOUZI</t>
  </si>
  <si>
    <t>J557923</t>
  </si>
  <si>
    <t>P758277</t>
  </si>
  <si>
    <t>J471851</t>
  </si>
  <si>
    <t>J620613</t>
  </si>
  <si>
    <t>J620614</t>
  </si>
  <si>
    <t>J620673</t>
  </si>
  <si>
    <t>ABDESSLEM/FILS</t>
  </si>
  <si>
    <t>J620560</t>
  </si>
  <si>
    <t>J231771</t>
  </si>
  <si>
    <t>MALIKA/CONJOINT</t>
  </si>
  <si>
    <t>J620591</t>
  </si>
  <si>
    <t>J620557</t>
  </si>
  <si>
    <t>J620579</t>
  </si>
  <si>
    <t>J446038</t>
  </si>
  <si>
    <t>J620664</t>
  </si>
  <si>
    <t>MAKHLOUF FEDIA</t>
  </si>
  <si>
    <t>RACHIDA SARRA/FILLE</t>
  </si>
  <si>
    <t>J557888</t>
  </si>
  <si>
    <t>J557908</t>
  </si>
  <si>
    <t>P624642</t>
  </si>
  <si>
    <t>J620633</t>
  </si>
  <si>
    <t>J446255</t>
  </si>
  <si>
    <t>J557958</t>
  </si>
  <si>
    <t>J557856</t>
  </si>
  <si>
    <t>J620624</t>
  </si>
  <si>
    <t>CHEBIL ALAA</t>
  </si>
  <si>
    <t>P853310</t>
  </si>
  <si>
    <t>X641443</t>
  </si>
  <si>
    <t>J557927</t>
  </si>
  <si>
    <t>J557756</t>
  </si>
  <si>
    <t>J620656</t>
  </si>
  <si>
    <t>J557989</t>
  </si>
  <si>
    <t>A574241</t>
  </si>
  <si>
    <t>A574251</t>
  </si>
  <si>
    <t>J471820</t>
  </si>
  <si>
    <t>J446037</t>
  </si>
  <si>
    <t>J446036</t>
  </si>
  <si>
    <t>J557870</t>
  </si>
  <si>
    <t>P624645</t>
  </si>
  <si>
    <t>P624641</t>
  </si>
  <si>
    <t>AMEUR/CONJOINT</t>
  </si>
  <si>
    <t>L</t>
  </si>
  <si>
    <t>J391282</t>
  </si>
  <si>
    <t>A574498</t>
  </si>
  <si>
    <t>YAHIA/FILS</t>
  </si>
  <si>
    <t>J557551</t>
  </si>
  <si>
    <t>J391434</t>
  </si>
  <si>
    <t>A641288</t>
  </si>
  <si>
    <t>J620590</t>
  </si>
  <si>
    <t>J620685</t>
  </si>
  <si>
    <t>J446160</t>
  </si>
  <si>
    <t>P609970</t>
  </si>
  <si>
    <t>J471824</t>
  </si>
  <si>
    <t>J620686</t>
  </si>
  <si>
    <t>J471828</t>
  </si>
  <si>
    <t>J557938</t>
  </si>
  <si>
    <t>BOCHRA/FILLE</t>
  </si>
  <si>
    <t>J446104</t>
  </si>
  <si>
    <t>J446178</t>
  </si>
  <si>
    <t>J620641</t>
  </si>
  <si>
    <t>J391446</t>
  </si>
  <si>
    <t>J557909</t>
  </si>
  <si>
    <t>J471633</t>
  </si>
  <si>
    <t>J446227</t>
  </si>
  <si>
    <t>J446210</t>
  </si>
  <si>
    <t>ELGARES MOHAMED WASSIM</t>
  </si>
  <si>
    <t>J620642</t>
  </si>
  <si>
    <t>Y757301</t>
  </si>
  <si>
    <t>J231987</t>
  </si>
  <si>
    <t>J391424</t>
  </si>
  <si>
    <t>J620586</t>
  </si>
  <si>
    <t>J391272</t>
  </si>
  <si>
    <t>ZAGGAR MAJDEDDINE</t>
  </si>
  <si>
    <t>J620556</t>
  </si>
  <si>
    <t>J471725</t>
  </si>
  <si>
    <t>J557930</t>
  </si>
  <si>
    <t>J446151</t>
  </si>
  <si>
    <t>J557863</t>
  </si>
  <si>
    <t>J557875</t>
  </si>
  <si>
    <t>J557835</t>
  </si>
  <si>
    <t>J620658</t>
  </si>
  <si>
    <t>J557982</t>
  </si>
  <si>
    <t>A516541</t>
  </si>
  <si>
    <t>J446019</t>
  </si>
  <si>
    <t>J557522</t>
  </si>
  <si>
    <t>J557876</t>
  </si>
  <si>
    <t>J557877</t>
  </si>
  <si>
    <t>J557933</t>
  </si>
  <si>
    <t>J620648</t>
  </si>
  <si>
    <t>J471634</t>
  </si>
  <si>
    <t>J471809</t>
  </si>
  <si>
    <t>J620543</t>
  </si>
  <si>
    <t>J620522</t>
  </si>
  <si>
    <t>J446067</t>
  </si>
  <si>
    <t>J620529</t>
  </si>
  <si>
    <t>NIDHAL/FILS</t>
  </si>
  <si>
    <t>CIRCONCISION</t>
  </si>
  <si>
    <t>J620528</t>
  </si>
  <si>
    <t>J620604</t>
  </si>
  <si>
    <t>J620541</t>
  </si>
  <si>
    <t>JEBALI MOHAMED</t>
  </si>
  <si>
    <t>J620585</t>
  </si>
  <si>
    <t>DATE:    10/07/2025</t>
  </si>
  <si>
    <t>J557924</t>
  </si>
  <si>
    <t>J620574</t>
  </si>
  <si>
    <t>P946730</t>
  </si>
  <si>
    <t>J391154</t>
  </si>
  <si>
    <t>BASMA/CONJOINT</t>
  </si>
  <si>
    <t>Y587375</t>
  </si>
  <si>
    <t>SAOUSSEN/CONJOINT</t>
  </si>
  <si>
    <t>J446325</t>
  </si>
  <si>
    <t>J620555</t>
  </si>
  <si>
    <t xml:space="preserve">NOMBRE BS :     96 </t>
  </si>
  <si>
    <t>OBJET:BORD N° 14 /2025-SANTE</t>
  </si>
  <si>
    <t>J743281</t>
  </si>
  <si>
    <t>J557948</t>
  </si>
  <si>
    <t>J620584</t>
  </si>
  <si>
    <t>J743277</t>
  </si>
  <si>
    <t>J471759</t>
  </si>
  <si>
    <t>J620577</t>
  </si>
  <si>
    <t>J446085</t>
  </si>
  <si>
    <t>J743210</t>
  </si>
  <si>
    <t>J620520</t>
  </si>
  <si>
    <t>J391396</t>
  </si>
  <si>
    <t>J231836</t>
  </si>
  <si>
    <t>J226712</t>
  </si>
  <si>
    <t>J471892</t>
  </si>
  <si>
    <t>J471726</t>
  </si>
  <si>
    <t>NAJET/CONJOINT</t>
  </si>
  <si>
    <t>J620652</t>
  </si>
  <si>
    <t>J743265</t>
  </si>
  <si>
    <t>J471635</t>
  </si>
  <si>
    <t>J620596</t>
  </si>
  <si>
    <t>J391237</t>
  </si>
  <si>
    <t>J620565</t>
  </si>
  <si>
    <t>J471962</t>
  </si>
  <si>
    <t>J557555</t>
  </si>
  <si>
    <t>J231775</t>
  </si>
  <si>
    <t>J446333</t>
  </si>
  <si>
    <t>J743283</t>
  </si>
  <si>
    <t>J620617</t>
  </si>
  <si>
    <t>J391419</t>
  </si>
  <si>
    <t>J557879</t>
  </si>
  <si>
    <t>J743269</t>
  </si>
  <si>
    <t>J743202</t>
  </si>
  <si>
    <t>J620674</t>
  </si>
  <si>
    <t>J620618</t>
  </si>
  <si>
    <t>P946591</t>
  </si>
  <si>
    <t>BEL ARBIA BEDIS</t>
  </si>
  <si>
    <t>J557866</t>
  </si>
  <si>
    <t>J557855</t>
  </si>
  <si>
    <t>P946878</t>
  </si>
  <si>
    <t>P946753</t>
  </si>
  <si>
    <t>J620623</t>
  </si>
  <si>
    <t>SAKKA ROUIS MAHER</t>
  </si>
  <si>
    <t>J743193</t>
  </si>
  <si>
    <t>J446050</t>
  </si>
  <si>
    <t>J743178</t>
  </si>
  <si>
    <t>RITEJ/FILLE</t>
  </si>
  <si>
    <t>J620688</t>
  </si>
  <si>
    <t>J620647</t>
  </si>
  <si>
    <t>P758179</t>
  </si>
  <si>
    <t>RIHEM/FILLE</t>
  </si>
  <si>
    <t>A574420</t>
  </si>
  <si>
    <t>J231985</t>
  </si>
  <si>
    <t>J557971</t>
  </si>
  <si>
    <t>P853191</t>
  </si>
  <si>
    <t>J446089</t>
  </si>
  <si>
    <t>Y587232</t>
  </si>
  <si>
    <t>J620537</t>
  </si>
  <si>
    <t>KHEDHIRI MOHAMED</t>
  </si>
  <si>
    <t>J446338</t>
  </si>
  <si>
    <t>J391242</t>
  </si>
  <si>
    <t>J743284</t>
  </si>
  <si>
    <t>J743257</t>
  </si>
  <si>
    <t>P853216</t>
  </si>
  <si>
    <t>A350835</t>
  </si>
  <si>
    <t>J743263</t>
  </si>
  <si>
    <t>DAHMOUL KAMEL</t>
  </si>
  <si>
    <t>Y587283</t>
  </si>
  <si>
    <t>J446077</t>
  </si>
  <si>
    <t>J557920</t>
  </si>
  <si>
    <t>J557532</t>
  </si>
  <si>
    <t>J557854</t>
  </si>
  <si>
    <t>J620562</t>
  </si>
  <si>
    <t>KMAR/FILLE</t>
  </si>
  <si>
    <t>J620657</t>
  </si>
  <si>
    <t>J391343</t>
  </si>
  <si>
    <t>J446228</t>
  </si>
  <si>
    <t>J446398</t>
  </si>
  <si>
    <t>J620612</t>
  </si>
  <si>
    <t>J471852</t>
  </si>
  <si>
    <t>J446238</t>
  </si>
  <si>
    <t>BAYRAM/FILS</t>
  </si>
  <si>
    <t>J391146</t>
  </si>
  <si>
    <t>P624894</t>
  </si>
  <si>
    <t>J557852</t>
  </si>
  <si>
    <t>J620559</t>
  </si>
  <si>
    <t>J446099</t>
  </si>
  <si>
    <t>V414115</t>
  </si>
  <si>
    <t>P946639</t>
  </si>
  <si>
    <t>MED AZIZ/FILS</t>
  </si>
  <si>
    <t>J743221</t>
  </si>
  <si>
    <t>DOUHA/CONJOINT</t>
  </si>
  <si>
    <t>J446222</t>
  </si>
  <si>
    <t>J557664</t>
  </si>
  <si>
    <t>J620620</t>
  </si>
  <si>
    <t>J391189</t>
  </si>
  <si>
    <t>J743140</t>
  </si>
  <si>
    <t>J743123</t>
  </si>
  <si>
    <t>J743162</t>
  </si>
  <si>
    <t>J446189</t>
  </si>
  <si>
    <t>J743226</t>
  </si>
  <si>
    <t>A883326</t>
  </si>
  <si>
    <t>J557869</t>
  </si>
  <si>
    <t>J557858</t>
  </si>
  <si>
    <t>J620581</t>
  </si>
  <si>
    <t>J743187</t>
  </si>
  <si>
    <t>IKRAM/CONJOINT</t>
  </si>
  <si>
    <t>J446057</t>
  </si>
  <si>
    <t>KECHICHE FETEN</t>
  </si>
  <si>
    <t>J557836</t>
  </si>
  <si>
    <t>J446018</t>
  </si>
  <si>
    <t>RIMES/FILLE</t>
  </si>
  <si>
    <t>J743222</t>
  </si>
  <si>
    <t>J557993</t>
  </si>
  <si>
    <t>P946817</t>
  </si>
  <si>
    <t>J743250</t>
  </si>
  <si>
    <t>P758410</t>
  </si>
  <si>
    <t>P385152</t>
  </si>
  <si>
    <t>J471896</t>
  </si>
  <si>
    <t>DATE:    28/07/2025</t>
  </si>
  <si>
    <t>NOMBRE BS :      82</t>
  </si>
  <si>
    <t>OBJET:BORD N° 15 /2025-SANTE</t>
  </si>
  <si>
    <t>J743264</t>
  </si>
  <si>
    <t>J743101</t>
  </si>
  <si>
    <t>P853386</t>
  </si>
  <si>
    <t>MED AMINE/FILS</t>
  </si>
  <si>
    <t>Y587161</t>
  </si>
  <si>
    <t>J446245</t>
  </si>
  <si>
    <t>MOEMEN/FILS</t>
  </si>
  <si>
    <t>J743181</t>
  </si>
  <si>
    <t>J557950</t>
  </si>
  <si>
    <t>J743106</t>
  </si>
  <si>
    <t>J557516</t>
  </si>
  <si>
    <t>J231997</t>
  </si>
  <si>
    <t>J743111</t>
  </si>
  <si>
    <t>J620671</t>
  </si>
  <si>
    <t>J620670</t>
  </si>
  <si>
    <t>A641049</t>
  </si>
  <si>
    <t>P385079</t>
  </si>
  <si>
    <t>J620550</t>
  </si>
  <si>
    <t>J557549</t>
  </si>
  <si>
    <t>NOURHENE/FILLE</t>
  </si>
  <si>
    <t>J557975</t>
  </si>
  <si>
    <t>J620677</t>
  </si>
  <si>
    <t>J446047</t>
  </si>
  <si>
    <t>J743243</t>
  </si>
  <si>
    <t>P758296</t>
  </si>
  <si>
    <t>J226800</t>
  </si>
  <si>
    <t>J743198</t>
  </si>
  <si>
    <t>A119416</t>
  </si>
  <si>
    <t>P853289</t>
  </si>
  <si>
    <t>J620625</t>
  </si>
  <si>
    <t>J743153</t>
  </si>
  <si>
    <t>J446072</t>
  </si>
  <si>
    <t>J391231</t>
  </si>
  <si>
    <t>J391230</t>
  </si>
  <si>
    <t>J557934</t>
  </si>
  <si>
    <t>J743274</t>
  </si>
  <si>
    <t>P946868</t>
  </si>
  <si>
    <t>MED ZOUHAIER/FILS</t>
  </si>
  <si>
    <t>P385141</t>
  </si>
  <si>
    <t>J557861</t>
  </si>
  <si>
    <t>J743154</t>
  </si>
  <si>
    <t>J471971</t>
  </si>
  <si>
    <t>MED ALI/FILS</t>
  </si>
  <si>
    <t>J446251</t>
  </si>
  <si>
    <t>P853032</t>
  </si>
  <si>
    <t>J743231</t>
  </si>
  <si>
    <t>J446264</t>
  </si>
  <si>
    <t>J446088</t>
  </si>
  <si>
    <t>J620632</t>
  </si>
  <si>
    <t>J446035</t>
  </si>
  <si>
    <t>J743131</t>
  </si>
  <si>
    <t>J557943</t>
  </si>
  <si>
    <t>J620600</t>
  </si>
  <si>
    <t>J743244</t>
  </si>
  <si>
    <t>J446081</t>
  </si>
  <si>
    <t>J743147</t>
  </si>
  <si>
    <t>MAJDOUB MAJDI</t>
  </si>
  <si>
    <t>J743267</t>
  </si>
  <si>
    <t>J620527</t>
  </si>
  <si>
    <t>J743286</t>
  </si>
  <si>
    <t>J743126</t>
  </si>
  <si>
    <t>A641048</t>
  </si>
  <si>
    <t>P305512</t>
  </si>
  <si>
    <t>J620583</t>
  </si>
  <si>
    <t>J743248</t>
  </si>
  <si>
    <t>MED AYENNE/FILS</t>
  </si>
  <si>
    <t>J743206</t>
  </si>
  <si>
    <t>J743207</t>
  </si>
  <si>
    <t>J743457</t>
  </si>
  <si>
    <t>BOUGAMRA ADEM</t>
  </si>
  <si>
    <t>J557690</t>
  </si>
  <si>
    <t>J743099</t>
  </si>
  <si>
    <t>J557671</t>
  </si>
  <si>
    <t>WAJDI/FILS</t>
  </si>
  <si>
    <t>J446174</t>
  </si>
  <si>
    <t>P853024</t>
  </si>
  <si>
    <t>J446076</t>
  </si>
  <si>
    <t>J471718</t>
  </si>
  <si>
    <t>A676450</t>
  </si>
  <si>
    <t>J620595</t>
  </si>
  <si>
    <t>ONES/CONJOINT</t>
  </si>
  <si>
    <t>J446059</t>
  </si>
  <si>
    <t>J743183</t>
  </si>
  <si>
    <t>J743182</t>
  </si>
  <si>
    <t>J743185</t>
  </si>
  <si>
    <t>J743184</t>
  </si>
  <si>
    <t>J743190</t>
  </si>
  <si>
    <t>V414174</t>
  </si>
  <si>
    <t>Y757074</t>
  </si>
  <si>
    <t>P166570</t>
  </si>
  <si>
    <t>P609883</t>
  </si>
  <si>
    <t>J231984</t>
  </si>
  <si>
    <t xml:space="preserve">JARRAR MOHAMED </t>
  </si>
  <si>
    <t>J743096</t>
  </si>
  <si>
    <t>J743160</t>
  </si>
  <si>
    <t>P758051</t>
  </si>
  <si>
    <t>J743268</t>
  </si>
  <si>
    <t>J226819</t>
  </si>
  <si>
    <t>J743279</t>
  </si>
  <si>
    <t>J743216</t>
  </si>
  <si>
    <t>P474286</t>
  </si>
  <si>
    <t>ABDERRAZEK/FILS</t>
  </si>
  <si>
    <t>J620676</t>
  </si>
  <si>
    <t>P474024</t>
  </si>
  <si>
    <t>J557977</t>
  </si>
  <si>
    <t>A122656</t>
  </si>
  <si>
    <t>J743177</t>
  </si>
  <si>
    <t>J471743</t>
  </si>
  <si>
    <t>J471742</t>
  </si>
  <si>
    <t>P853286</t>
  </si>
  <si>
    <t>KINZA/FILLE</t>
  </si>
  <si>
    <t>J743168</t>
  </si>
  <si>
    <t>J446311</t>
  </si>
  <si>
    <t>J743445</t>
  </si>
  <si>
    <t>J446166</t>
  </si>
  <si>
    <t>J743447</t>
  </si>
  <si>
    <t>J743212</t>
  </si>
  <si>
    <t>J391300</t>
  </si>
  <si>
    <t>P000045</t>
  </si>
  <si>
    <t>J743448</t>
  </si>
  <si>
    <t>V414422</t>
  </si>
  <si>
    <t xml:space="preserve">DATE:  12/08/2025  </t>
  </si>
  <si>
    <t>NOMBRE BS :      108</t>
  </si>
  <si>
    <t>OBJET:BORD N° 16 /2025-SANTE</t>
  </si>
  <si>
    <t>J557825</t>
  </si>
  <si>
    <t>P946756</t>
  </si>
  <si>
    <t>J743195</t>
  </si>
  <si>
    <t>DHEKRA/CONJOINT</t>
  </si>
  <si>
    <t>J557546</t>
  </si>
  <si>
    <t>A347991</t>
  </si>
  <si>
    <t>IMENE/FILLE</t>
  </si>
  <si>
    <t>A776774</t>
  </si>
  <si>
    <t>P853072</t>
  </si>
  <si>
    <t>J471991</t>
  </si>
  <si>
    <t>BILEL/FILS</t>
  </si>
  <si>
    <t>J446102</t>
  </si>
  <si>
    <t>J743247</t>
  </si>
  <si>
    <t>P946596</t>
  </si>
  <si>
    <t>GRAIET ALI</t>
  </si>
  <si>
    <t>J557759</t>
  </si>
  <si>
    <t>J557826</t>
  </si>
  <si>
    <t>FATMA  ZAHRA/FILLE</t>
  </si>
  <si>
    <t>P657049</t>
  </si>
  <si>
    <t>WIJDENE/FILLE</t>
  </si>
  <si>
    <t>A516540</t>
  </si>
  <si>
    <t>J743456</t>
  </si>
  <si>
    <t>J743166</t>
  </si>
  <si>
    <t>A516563</t>
  </si>
  <si>
    <t>J231994</t>
  </si>
  <si>
    <t>J743105</t>
  </si>
  <si>
    <t>J446215</t>
  </si>
  <si>
    <t>GHOUSSOUNE/FILLE</t>
  </si>
  <si>
    <t>J743266</t>
  </si>
  <si>
    <t>J471652</t>
  </si>
  <si>
    <t>GHALIA/FILLE</t>
  </si>
  <si>
    <t>J620592</t>
  </si>
  <si>
    <t>J743255</t>
  </si>
  <si>
    <t>J557837</t>
  </si>
  <si>
    <t>J446190</t>
  </si>
  <si>
    <t>J743405</t>
  </si>
  <si>
    <t>J743472</t>
  </si>
  <si>
    <t>J743224</t>
  </si>
  <si>
    <t>J391415</t>
  </si>
  <si>
    <t>A581557</t>
  </si>
  <si>
    <t>J557915</t>
  </si>
  <si>
    <t>J743469</t>
  </si>
  <si>
    <t>J743232</t>
  </si>
  <si>
    <t>SAKKA ROUIS MED MEHER</t>
  </si>
  <si>
    <t>J743110</t>
  </si>
  <si>
    <t>J743410</t>
  </si>
  <si>
    <t>J446049</t>
  </si>
  <si>
    <t>J743191</t>
  </si>
  <si>
    <t>P758466</t>
  </si>
  <si>
    <t>P758189</t>
  </si>
  <si>
    <t>J743475</t>
  </si>
  <si>
    <t>J743416</t>
  </si>
  <si>
    <t>J557880</t>
  </si>
  <si>
    <t>J743458</t>
  </si>
  <si>
    <t>J620566</t>
  </si>
  <si>
    <t>J743433</t>
  </si>
  <si>
    <t>J620547</t>
  </si>
  <si>
    <t>J446218</t>
  </si>
  <si>
    <t>J743407</t>
  </si>
  <si>
    <t>J743125</t>
  </si>
  <si>
    <t>J446079</t>
  </si>
  <si>
    <t>J446195</t>
  </si>
  <si>
    <t>J620603</t>
  </si>
  <si>
    <t>J743156</t>
  </si>
  <si>
    <t>J620602</t>
  </si>
  <si>
    <t>J620540</t>
  </si>
  <si>
    <t>J743146</t>
  </si>
  <si>
    <t>J557893</t>
  </si>
  <si>
    <t>J620533</t>
  </si>
  <si>
    <t>J557913</t>
  </si>
  <si>
    <t>J743088</t>
  </si>
  <si>
    <t>J557912</t>
  </si>
  <si>
    <t>J743409</t>
  </si>
  <si>
    <t>J557654</t>
  </si>
  <si>
    <t>J557571</t>
  </si>
  <si>
    <t>J620689</t>
  </si>
  <si>
    <t>P946613</t>
  </si>
  <si>
    <t>P320752</t>
  </si>
  <si>
    <t>J446185</t>
  </si>
  <si>
    <t>J620607</t>
  </si>
  <si>
    <t>J446322</t>
  </si>
  <si>
    <t>HANENE/CONJOINT</t>
  </si>
  <si>
    <t>Y757153</t>
  </si>
  <si>
    <t>J557737</t>
  </si>
  <si>
    <t>A278914</t>
  </si>
  <si>
    <t xml:space="preserve">DATE:   26/08/2025 </t>
  </si>
  <si>
    <t>J471700</t>
  </si>
  <si>
    <t>J391448</t>
  </si>
  <si>
    <t>J391171</t>
  </si>
  <si>
    <t>J446022</t>
  </si>
  <si>
    <t xml:space="preserve">NOMBRE BS :    78 </t>
  </si>
  <si>
    <t>OBJET:BORD N° 17 /2025-SANTE</t>
  </si>
  <si>
    <t>J743239</t>
  </si>
  <si>
    <t>J743238</t>
  </si>
  <si>
    <t>J743104</t>
  </si>
  <si>
    <t>J471836</t>
  </si>
  <si>
    <t>J557997</t>
  </si>
  <si>
    <t>J743460</t>
  </si>
  <si>
    <t>J743461</t>
  </si>
  <si>
    <t>J471760</t>
  </si>
  <si>
    <t>J620573</t>
  </si>
  <si>
    <t>J743360</t>
  </si>
  <si>
    <t>J743414</t>
  </si>
  <si>
    <t>J446025</t>
  </si>
  <si>
    <t>J391319</t>
  </si>
  <si>
    <t>J743320</t>
  </si>
  <si>
    <t>J557940</t>
  </si>
  <si>
    <t>J743092</t>
  </si>
  <si>
    <t>J446053</t>
  </si>
  <si>
    <t>J557981</t>
  </si>
  <si>
    <t>P320726</t>
  </si>
  <si>
    <t>SOUHIR/CONJOINT</t>
  </si>
  <si>
    <t>J620615</t>
  </si>
  <si>
    <t>J743260</t>
  </si>
  <si>
    <t>BEN FREDJ IMENE</t>
  </si>
  <si>
    <t>NEBIL/CONJOINT</t>
  </si>
  <si>
    <t>J557661</t>
  </si>
  <si>
    <t>J743252</t>
  </si>
  <si>
    <t>J743306</t>
  </si>
  <si>
    <t>J557687</t>
  </si>
  <si>
    <t>X769132</t>
  </si>
  <si>
    <t>J446236</t>
  </si>
  <si>
    <t>J743367</t>
  </si>
  <si>
    <t>J743094</t>
  </si>
  <si>
    <t>J743480</t>
  </si>
  <si>
    <t>A811216</t>
  </si>
  <si>
    <t>FAROUK/FILS</t>
  </si>
  <si>
    <t>J471987</t>
  </si>
  <si>
    <t>J471847</t>
  </si>
  <si>
    <t>J743314</t>
  </si>
  <si>
    <t>J743343</t>
  </si>
  <si>
    <t>J557881</t>
  </si>
  <si>
    <t>J620691</t>
  </si>
  <si>
    <t>J743161</t>
  </si>
  <si>
    <t>J620638</t>
  </si>
  <si>
    <t>J620531</t>
  </si>
  <si>
    <t>J446002</t>
  </si>
  <si>
    <t>J743149</t>
  </si>
  <si>
    <t>P946642</t>
  </si>
  <si>
    <t>J743334</t>
  </si>
  <si>
    <t>A883444</t>
  </si>
  <si>
    <t>J446051</t>
  </si>
  <si>
    <t>J391176</t>
  </si>
  <si>
    <t>J743316</t>
  </si>
  <si>
    <t>J743228</t>
  </si>
  <si>
    <t>J557569</t>
  </si>
  <si>
    <t>P946582</t>
  </si>
  <si>
    <t>J743339</t>
  </si>
  <si>
    <t>SOULAIMEN/FILS</t>
  </si>
  <si>
    <t>P657417</t>
  </si>
  <si>
    <t>J391174</t>
  </si>
  <si>
    <t>J446191</t>
  </si>
  <si>
    <t>J743081</t>
  </si>
  <si>
    <t>J446069</t>
  </si>
  <si>
    <t>J743443</t>
  </si>
  <si>
    <t>J743165</t>
  </si>
  <si>
    <t>Y587231</t>
  </si>
  <si>
    <t>J620654</t>
  </si>
  <si>
    <t>J743144</t>
  </si>
  <si>
    <t>J743408</t>
  </si>
  <si>
    <t>J743449</t>
  </si>
  <si>
    <t>J743014</t>
  </si>
  <si>
    <t>J743259</t>
  </si>
  <si>
    <t>J743085</t>
  </si>
  <si>
    <t>J620549</t>
  </si>
  <si>
    <t>P731047</t>
  </si>
  <si>
    <t>J743245</t>
  </si>
  <si>
    <t>A573568</t>
  </si>
  <si>
    <t>J471640</t>
  </si>
  <si>
    <t>J446400</t>
  </si>
  <si>
    <t>J446403</t>
  </si>
  <si>
    <t>J446295</t>
  </si>
  <si>
    <t>J743062</t>
  </si>
  <si>
    <t>J743093</t>
  </si>
  <si>
    <t>A811291</t>
  </si>
  <si>
    <t>J743102</t>
  </si>
  <si>
    <t>J743397</t>
  </si>
  <si>
    <t>J743432</t>
  </si>
  <si>
    <t>J743406</t>
  </si>
  <si>
    <t>J743379</t>
  </si>
  <si>
    <t>J743061</t>
  </si>
  <si>
    <t>P474190</t>
  </si>
  <si>
    <t>J557750</t>
  </si>
  <si>
    <t>J743321</t>
  </si>
  <si>
    <t>J743063</t>
  </si>
  <si>
    <t>J743362</t>
  </si>
  <si>
    <t>J743415</t>
  </si>
  <si>
    <t>J471695</t>
  </si>
  <si>
    <t>J620610</t>
  </si>
  <si>
    <t>J557928</t>
  </si>
  <si>
    <t>J743011</t>
  </si>
  <si>
    <t>J743473</t>
  </si>
  <si>
    <t>NOMBRE BS :     92</t>
  </si>
  <si>
    <t>DATE:    10/09/2025</t>
  </si>
  <si>
    <t>OBJET:BORD N° 18 /2025-SANTE</t>
  </si>
  <si>
    <t>J743242</t>
  </si>
  <si>
    <t>J620570</t>
  </si>
  <si>
    <t>P657083</t>
  </si>
  <si>
    <t>J743484</t>
  </si>
  <si>
    <t>J391148</t>
  </si>
  <si>
    <t>J391403</t>
  </si>
  <si>
    <t>J743444</t>
  </si>
  <si>
    <t>J620516</t>
  </si>
  <si>
    <t>J743389</t>
  </si>
  <si>
    <t>SALSABILE/FILLE</t>
  </si>
  <si>
    <t>J743392</t>
  </si>
  <si>
    <t>J620634</t>
  </si>
  <si>
    <t>J743390</t>
  </si>
  <si>
    <t>TASNIME/FILLE</t>
  </si>
  <si>
    <t>J743381</t>
  </si>
  <si>
    <t>J620506</t>
  </si>
  <si>
    <t>P624638</t>
  </si>
  <si>
    <t>KANTAOUI TAHANI</t>
  </si>
  <si>
    <t>J743058</t>
  </si>
  <si>
    <t>J471631</t>
  </si>
  <si>
    <t>P385680</t>
  </si>
  <si>
    <t>J743124</t>
  </si>
  <si>
    <t>J743262</t>
  </si>
  <si>
    <t>J505064</t>
  </si>
  <si>
    <t>P624634</t>
  </si>
  <si>
    <t>J743365</t>
  </si>
  <si>
    <t>J620530</t>
  </si>
  <si>
    <t>J743315</t>
  </si>
  <si>
    <t>J743377</t>
  </si>
  <si>
    <t>SAWSSEN/CONJOINT</t>
  </si>
  <si>
    <t>J743402</t>
  </si>
  <si>
    <t>Y558910</t>
  </si>
  <si>
    <t>MASSARA/FILLE</t>
  </si>
  <si>
    <t>J557931</t>
  </si>
  <si>
    <t>P000252</t>
  </si>
  <si>
    <t>J842596</t>
  </si>
  <si>
    <t>J743044</t>
  </si>
  <si>
    <t>J842607</t>
  </si>
  <si>
    <t>MOHAMED JOUD/FILS</t>
  </si>
  <si>
    <t>J446001</t>
  </si>
  <si>
    <t>J728893</t>
  </si>
  <si>
    <t>J743040</t>
  </si>
  <si>
    <t>J743151</t>
  </si>
  <si>
    <t>J743004</t>
  </si>
  <si>
    <t>J620679</t>
  </si>
  <si>
    <t>J620626</t>
  </si>
  <si>
    <t>MAHA/FILLE</t>
  </si>
  <si>
    <t>J231998</t>
  </si>
  <si>
    <t>P320830</t>
  </si>
  <si>
    <t>J557689</t>
  </si>
  <si>
    <t>J391404</t>
  </si>
  <si>
    <t>Y942904</t>
  </si>
  <si>
    <t>J842544</t>
  </si>
  <si>
    <t>NAISSACE</t>
  </si>
  <si>
    <t>J743271</t>
  </si>
  <si>
    <t>J743276</t>
  </si>
  <si>
    <t>J842593</t>
  </si>
  <si>
    <t>J842575</t>
  </si>
  <si>
    <t>J743012</t>
  </si>
  <si>
    <t>P385146</t>
  </si>
  <si>
    <t>J391360</t>
  </si>
  <si>
    <t>J620544</t>
  </si>
  <si>
    <t>J842615</t>
  </si>
  <si>
    <t>J743335</t>
  </si>
  <si>
    <t>J743179</t>
  </si>
  <si>
    <t>J743470</t>
  </si>
  <si>
    <t>J743097</t>
  </si>
  <si>
    <t>J743341</t>
  </si>
  <si>
    <t>J743169</t>
  </si>
  <si>
    <t>J743170</t>
  </si>
  <si>
    <t>P385451</t>
  </si>
  <si>
    <t>J743420</t>
  </si>
  <si>
    <t>J743036</t>
  </si>
  <si>
    <t>J743145</t>
  </si>
  <si>
    <t>P946920</t>
  </si>
  <si>
    <t>JARRAR MOHAMED</t>
  </si>
  <si>
    <t>J557702</t>
  </si>
  <si>
    <t>A883445</t>
  </si>
  <si>
    <t>J743045</t>
  </si>
  <si>
    <t>J620561</t>
  </si>
  <si>
    <t>J743476</t>
  </si>
  <si>
    <t>HMIDA FEHMI</t>
  </si>
  <si>
    <t>P758118</t>
  </si>
  <si>
    <t>BRAHIM/FILS</t>
  </si>
  <si>
    <t>J743353</t>
  </si>
  <si>
    <t>J743135</t>
  </si>
  <si>
    <t>J557713</t>
  </si>
  <si>
    <t>J743453</t>
  </si>
  <si>
    <t>J743454</t>
  </si>
  <si>
    <t>J557960</t>
  </si>
  <si>
    <t>J842594</t>
  </si>
  <si>
    <t>J743077</t>
  </si>
  <si>
    <t>J842527</t>
  </si>
  <si>
    <t>A350628</t>
  </si>
  <si>
    <t>RAED/FILS</t>
  </si>
  <si>
    <t>J620680</t>
  </si>
  <si>
    <t>J743082</t>
  </si>
  <si>
    <t>J743083</t>
  </si>
  <si>
    <t>J557862</t>
  </si>
  <si>
    <t>J391382</t>
  </si>
  <si>
    <t>J743138</t>
  </si>
  <si>
    <t>J743280</t>
  </si>
  <si>
    <t>J743066</t>
  </si>
  <si>
    <t>J842599</t>
  </si>
  <si>
    <t>J842597</t>
  </si>
  <si>
    <t>J446121</t>
  </si>
  <si>
    <t>J743007</t>
  </si>
  <si>
    <t>A808104</t>
  </si>
  <si>
    <t>J231824</t>
  </si>
  <si>
    <t>MED YOUSSEF/FILS</t>
  </si>
  <si>
    <t>J743440</t>
  </si>
  <si>
    <t>J620616</t>
  </si>
  <si>
    <t>J557698</t>
  </si>
  <si>
    <t>J471878</t>
  </si>
  <si>
    <t>P320867</t>
  </si>
  <si>
    <t>J842632</t>
  </si>
  <si>
    <t>J743060</t>
  </si>
  <si>
    <t>J471825</t>
  </si>
  <si>
    <t>P624643</t>
  </si>
  <si>
    <t>J743446</t>
  </si>
  <si>
    <t>J743051</t>
  </si>
  <si>
    <t>J842600</t>
  </si>
  <si>
    <t>J557540</t>
  </si>
  <si>
    <t>J842601</t>
  </si>
  <si>
    <t>J842558</t>
  </si>
  <si>
    <t>P624637</t>
  </si>
  <si>
    <t>J743223</t>
  </si>
  <si>
    <t>J743142</t>
  </si>
  <si>
    <t>J842560</t>
  </si>
  <si>
    <t>J620553</t>
  </si>
  <si>
    <t>J743073</t>
  </si>
  <si>
    <t>DATE:    25/09/2025</t>
  </si>
  <si>
    <t>NOMBRE BS :     120</t>
  </si>
  <si>
    <t>OBJET:BORD N° 19 /2025-SANTE</t>
  </si>
  <si>
    <t>J743359</t>
  </si>
  <si>
    <t>A808020</t>
  </si>
  <si>
    <t>J842629</t>
  </si>
  <si>
    <t>J743254</t>
  </si>
  <si>
    <t>J842733</t>
  </si>
  <si>
    <t>J620681</t>
  </si>
  <si>
    <t>J471911</t>
  </si>
  <si>
    <t>J842538</t>
  </si>
  <si>
    <t xml:space="preserve">BOUHLEL MOHAMED </t>
  </si>
  <si>
    <t>J743121</t>
  </si>
  <si>
    <t>J842707</t>
  </si>
  <si>
    <t>AMANI/CONJOINT</t>
  </si>
  <si>
    <t>J743039</t>
  </si>
  <si>
    <t>J842715</t>
  </si>
  <si>
    <t>J743430</t>
  </si>
  <si>
    <t>J743158</t>
  </si>
  <si>
    <t>J743137</t>
  </si>
  <si>
    <t>j743366</t>
  </si>
  <si>
    <t>J842513</t>
  </si>
  <si>
    <t>P609995</t>
  </si>
  <si>
    <t>J842708</t>
  </si>
  <si>
    <t>J743258</t>
  </si>
  <si>
    <t>J743369</t>
  </si>
  <si>
    <t>J743130</t>
  </si>
  <si>
    <t>Y268777</t>
  </si>
  <si>
    <t>Y268778</t>
  </si>
  <si>
    <t>J446202</t>
  </si>
  <si>
    <t>J743270</t>
  </si>
  <si>
    <t>J842542</t>
  </si>
  <si>
    <t>Y711552</t>
  </si>
  <si>
    <t>J743398</t>
  </si>
  <si>
    <t>J743189</t>
  </si>
  <si>
    <t>J842555</t>
  </si>
  <si>
    <t>J842685</t>
  </si>
  <si>
    <t>J743261</t>
  </si>
  <si>
    <t>J557742</t>
  </si>
  <si>
    <t>J842592</t>
  </si>
  <si>
    <t>J620546</t>
  </si>
  <si>
    <t>A383269</t>
  </si>
  <si>
    <t>J743091</t>
  </si>
  <si>
    <t>A811345</t>
  </si>
  <si>
    <t>P624632</t>
  </si>
  <si>
    <t>P624631</t>
  </si>
  <si>
    <t>J842723</t>
  </si>
  <si>
    <t>J842528</t>
  </si>
  <si>
    <t>J620628</t>
  </si>
  <si>
    <t>Y853643</t>
  </si>
  <si>
    <t>A581676</t>
  </si>
  <si>
    <t>J743479</t>
  </si>
  <si>
    <t>J842657</t>
  </si>
  <si>
    <t>BOUHLEL HAMZA</t>
  </si>
  <si>
    <t>AMENI/CONJOINT</t>
  </si>
  <si>
    <t>J743196</t>
  </si>
  <si>
    <t>J842702</t>
  </si>
  <si>
    <t>A808024</t>
  </si>
  <si>
    <t>P853288</t>
  </si>
  <si>
    <t>J842529</t>
  </si>
  <si>
    <t>J471778</t>
  </si>
  <si>
    <t>J557601</t>
  </si>
  <si>
    <t>J743201</t>
  </si>
  <si>
    <t>J620514</t>
  </si>
  <si>
    <t>J743371</t>
  </si>
  <si>
    <t>J446207</t>
  </si>
  <si>
    <t>J446225</t>
  </si>
  <si>
    <t>J842729</t>
  </si>
  <si>
    <t>J620512</t>
  </si>
  <si>
    <t>J231982</t>
  </si>
  <si>
    <t>J842654</t>
  </si>
  <si>
    <t>J743229</t>
  </si>
  <si>
    <t>J557715</t>
  </si>
  <si>
    <t>J842509</t>
  </si>
  <si>
    <t>J842698</t>
  </si>
  <si>
    <t>J842503</t>
  </si>
  <si>
    <t>J446005</t>
  </si>
  <si>
    <t>J842604</t>
  </si>
  <si>
    <t>J842573</t>
  </si>
  <si>
    <t>J391449</t>
  </si>
  <si>
    <t>RAYHEN/FILLE</t>
  </si>
  <si>
    <t>J842731</t>
  </si>
  <si>
    <t>J743217</t>
  </si>
  <si>
    <t>J842734</t>
  </si>
  <si>
    <t>J620504</t>
  </si>
  <si>
    <t>J557886</t>
  </si>
  <si>
    <t>J842689</t>
  </si>
  <si>
    <t>J620518</t>
  </si>
  <si>
    <t>B. HADJ HSSINE KHALED</t>
  </si>
  <si>
    <t>P657175</t>
  </si>
  <si>
    <t>A271935</t>
  </si>
  <si>
    <t>J391177</t>
  </si>
  <si>
    <t>J620505</t>
  </si>
  <si>
    <t>Y268779</t>
  </si>
  <si>
    <t>J842569</t>
  </si>
  <si>
    <t>J471632</t>
  </si>
  <si>
    <t>P853042</t>
  </si>
  <si>
    <t>LAAMARIA/CONJOINT</t>
  </si>
  <si>
    <t>J842692</t>
  </si>
  <si>
    <t>J842630</t>
  </si>
  <si>
    <t>J743384</t>
  </si>
  <si>
    <t>J743174</t>
  </si>
  <si>
    <t>J743024</t>
  </si>
  <si>
    <t>J743023</t>
  </si>
  <si>
    <t>ALI/FILS</t>
  </si>
  <si>
    <t>J842653</t>
  </si>
  <si>
    <t>JOURI/FILS</t>
  </si>
  <si>
    <t>P199727</t>
  </si>
  <si>
    <t>J743006</t>
  </si>
  <si>
    <t>A383270</t>
  </si>
  <si>
    <t>P320845</t>
  </si>
  <si>
    <t>J977675</t>
  </si>
  <si>
    <t>J743038</t>
  </si>
  <si>
    <t>J231986</t>
  </si>
  <si>
    <t>YOUMNA/FILLE</t>
  </si>
  <si>
    <t>P385681</t>
  </si>
  <si>
    <t>J446042</t>
  </si>
  <si>
    <t>J446226</t>
  </si>
  <si>
    <t>J743128</t>
  </si>
  <si>
    <t>J391147</t>
  </si>
  <si>
    <t>J977655</t>
  </si>
  <si>
    <t>P946843</t>
  </si>
  <si>
    <t>P946951</t>
  </si>
  <si>
    <t>J977660</t>
  </si>
  <si>
    <t>YARA/FILLE</t>
  </si>
  <si>
    <t>J557770</t>
  </si>
  <si>
    <t>GHAITH/FILS</t>
  </si>
  <si>
    <t>P624633</t>
  </si>
  <si>
    <t>A383427</t>
  </si>
  <si>
    <t>J743351</t>
  </si>
  <si>
    <t>J743050</t>
  </si>
  <si>
    <t>J446162</t>
  </si>
  <si>
    <t>J842701</t>
  </si>
  <si>
    <t>J842523</t>
  </si>
  <si>
    <t>J842748</t>
  </si>
  <si>
    <t>JIHED/FILS</t>
  </si>
  <si>
    <t>J743288</t>
  </si>
  <si>
    <t>J977670</t>
  </si>
  <si>
    <t>J977666</t>
  </si>
  <si>
    <t>KECHICHE MED NIDHAL</t>
  </si>
  <si>
    <t>J842652</t>
  </si>
  <si>
    <t>MOSBAH MED SALAH</t>
  </si>
  <si>
    <t>J842751</t>
  </si>
  <si>
    <t>P320789</t>
  </si>
  <si>
    <t>J471857</t>
  </si>
  <si>
    <t>DATE:    13/10/2025</t>
  </si>
  <si>
    <t>J977657</t>
  </si>
  <si>
    <t>MALEK/FILS</t>
  </si>
  <si>
    <t>J977656</t>
  </si>
  <si>
    <t xml:space="preserve">NOMBRE BS :    130 </t>
  </si>
  <si>
    <t>OBJET:BORD N° 20 /2025-SANTE</t>
  </si>
  <si>
    <t>J842521</t>
  </si>
  <si>
    <t>J842551</t>
  </si>
  <si>
    <t>J842552</t>
  </si>
  <si>
    <t>J743052</t>
  </si>
  <si>
    <t>J557984</t>
  </si>
  <si>
    <t>J231802</t>
  </si>
  <si>
    <t>MED OUAIES/FILS</t>
  </si>
  <si>
    <t>J620655</t>
  </si>
  <si>
    <t>J842736</t>
  </si>
  <si>
    <t>J743352</t>
  </si>
  <si>
    <t>J231857</t>
  </si>
  <si>
    <t>J842637</t>
  </si>
  <si>
    <t>J977612</t>
  </si>
  <si>
    <t>J557722</t>
  </si>
  <si>
    <t>J977678</t>
  </si>
  <si>
    <t>J471688</t>
  </si>
  <si>
    <t>J842526</t>
  </si>
  <si>
    <t>P946579</t>
  </si>
  <si>
    <t>J977637</t>
  </si>
  <si>
    <t>J842533</t>
  </si>
  <si>
    <t>J842667</t>
  </si>
  <si>
    <t>J842578</t>
  </si>
  <si>
    <t>J977650</t>
  </si>
  <si>
    <t>J842524</t>
  </si>
  <si>
    <t>J620667</t>
  </si>
  <si>
    <t>J620606</t>
  </si>
  <si>
    <t>J842540</t>
  </si>
  <si>
    <t>J391,288</t>
  </si>
  <si>
    <t>V414070</t>
  </si>
  <si>
    <t>J977644</t>
  </si>
  <si>
    <t>J977662</t>
  </si>
  <si>
    <t>J743205</t>
  </si>
  <si>
    <t>J743441</t>
  </si>
  <si>
    <t>J977577</t>
  </si>
  <si>
    <t>JARRAR KHALED</t>
  </si>
  <si>
    <t>J842519</t>
  </si>
  <si>
    <t>TERZEK BHIRI ANIS</t>
  </si>
  <si>
    <t>J743289</t>
  </si>
  <si>
    <t>J842535</t>
  </si>
  <si>
    <t>P946585</t>
  </si>
  <si>
    <t>MINIAR/CONJOINT</t>
  </si>
  <si>
    <t>A811466</t>
  </si>
  <si>
    <t>J977593</t>
  </si>
  <si>
    <t>J842516</t>
  </si>
  <si>
    <t>J842735</t>
  </si>
  <si>
    <t>A810636</t>
  </si>
  <si>
    <t>IMEN/FILLE</t>
  </si>
  <si>
    <t>P946824</t>
  </si>
  <si>
    <t>J743435</t>
  </si>
  <si>
    <t>J743273</t>
  </si>
  <si>
    <t>J842676</t>
  </si>
  <si>
    <t>J842705</t>
  </si>
  <si>
    <t>J842668</t>
  </si>
  <si>
    <t>P758122</t>
  </si>
  <si>
    <t>J842703</t>
  </si>
  <si>
    <t>J977608</t>
  </si>
  <si>
    <t>J842576</t>
  </si>
  <si>
    <t>ZIED/FILS</t>
  </si>
  <si>
    <t>J743326</t>
  </si>
  <si>
    <t>J446163</t>
  </si>
  <si>
    <t>J391389</t>
  </si>
  <si>
    <t>P040308</t>
  </si>
  <si>
    <t>J620605</t>
  </si>
  <si>
    <t>J743119</t>
  </si>
  <si>
    <t>J842537</t>
  </si>
  <si>
    <t>J743272</t>
  </si>
  <si>
    <t>BAYREM/FILS</t>
  </si>
  <si>
    <t>J977558</t>
  </si>
  <si>
    <t>J557740</t>
  </si>
  <si>
    <t>J842514</t>
  </si>
  <si>
    <t>J977567</t>
  </si>
  <si>
    <t>J446300</t>
  </si>
  <si>
    <t>J743328</t>
  </si>
  <si>
    <t>J743338</t>
  </si>
  <si>
    <t>J842531</t>
  </si>
  <si>
    <t>J471789</t>
  </si>
  <si>
    <t>J842522</t>
  </si>
  <si>
    <t>J446240</t>
  </si>
  <si>
    <t>J743305</t>
  </si>
  <si>
    <t>J557746</t>
  </si>
  <si>
    <t>J471997</t>
  </si>
  <si>
    <t>P657448</t>
  </si>
  <si>
    <t xml:space="preserve">BEN ABDESSALEM MOHAMED </t>
  </si>
  <si>
    <t>J977626</t>
  </si>
  <si>
    <t>J977625</t>
  </si>
  <si>
    <t>J557992</t>
  </si>
  <si>
    <t>J977646</t>
  </si>
  <si>
    <t>J471938</t>
  </si>
  <si>
    <t xml:space="preserve">HANI MOHAMED </t>
  </si>
  <si>
    <t>J743109</t>
  </si>
  <si>
    <t>J557560</t>
  </si>
  <si>
    <t>J743452</t>
  </si>
  <si>
    <t>J842754</t>
  </si>
  <si>
    <t>J977598</t>
  </si>
  <si>
    <t>J842717</t>
  </si>
  <si>
    <t>J842628</t>
  </si>
  <si>
    <t>J743376</t>
  </si>
  <si>
    <t>BEN ABDELHAMID AHMED</t>
  </si>
  <si>
    <t>J743295</t>
  </si>
  <si>
    <t>J977518</t>
  </si>
  <si>
    <t>J743159</t>
  </si>
  <si>
    <t>J743370</t>
  </si>
  <si>
    <t>J446404</t>
  </si>
  <si>
    <t>J977534</t>
  </si>
  <si>
    <t>J977546</t>
  </si>
  <si>
    <t>J842722</t>
  </si>
  <si>
    <t>J842670</t>
  </si>
  <si>
    <t>J977562</t>
  </si>
  <si>
    <t>J743333</t>
  </si>
  <si>
    <t>MED ABDERRAHMEN/FILS</t>
  </si>
  <si>
    <t>J743016</t>
  </si>
  <si>
    <t>J842550</t>
  </si>
  <si>
    <t>J471724</t>
  </si>
  <si>
    <t>A140222</t>
  </si>
  <si>
    <t>J391416</t>
  </si>
  <si>
    <t>J471693</t>
  </si>
  <si>
    <t>P758050</t>
  </si>
  <si>
    <t>P758049</t>
  </si>
  <si>
    <t>J446133</t>
  </si>
  <si>
    <t>AMINA/FILLE</t>
  </si>
  <si>
    <t>J842608</t>
  </si>
  <si>
    <t>J842691</t>
  </si>
  <si>
    <t>TAHA YASSINE/FILS</t>
  </si>
  <si>
    <t>J471923</t>
  </si>
  <si>
    <t>J977594</t>
  </si>
  <si>
    <t>J743490</t>
  </si>
  <si>
    <t>J743074</t>
  </si>
  <si>
    <t>RAOUIA/CONJOINT</t>
  </si>
  <si>
    <t>J842539</t>
  </si>
  <si>
    <t>A596939</t>
  </si>
  <si>
    <t>J977528</t>
  </si>
  <si>
    <t>J842697</t>
  </si>
  <si>
    <t>HIDAYA/FILLE</t>
  </si>
  <si>
    <t>NOMBRE BS :    117</t>
  </si>
  <si>
    <t>DATE:    28/10/2025</t>
  </si>
  <si>
    <t>OBJET:BORD N° 21 /2025-SANTE</t>
  </si>
  <si>
    <t>J743394</t>
  </si>
  <si>
    <t>J842564</t>
  </si>
  <si>
    <t>J620523</t>
  </si>
  <si>
    <t>J842631</t>
  </si>
  <si>
    <t>P946770</t>
  </si>
  <si>
    <t>Y587163</t>
  </si>
  <si>
    <t>P758457</t>
  </si>
  <si>
    <t>ZAGGAR YASSINE</t>
  </si>
  <si>
    <t>J977511</t>
  </si>
  <si>
    <t>J620519</t>
  </si>
  <si>
    <t>J743120</t>
  </si>
  <si>
    <t>J842720</t>
  </si>
  <si>
    <t>J743400</t>
  </si>
  <si>
    <t>J743035</t>
  </si>
  <si>
    <t>J842571</t>
  </si>
  <si>
    <t>J842669</t>
  </si>
  <si>
    <t>J743175</t>
  </si>
  <si>
    <t>A574248</t>
  </si>
  <si>
    <t>MED DHIA/FILS</t>
  </si>
  <si>
    <t>P199759</t>
  </si>
  <si>
    <t>A596420</t>
  </si>
  <si>
    <t>J557939</t>
  </si>
  <si>
    <t>J842613</t>
  </si>
  <si>
    <t>J471933</t>
  </si>
  <si>
    <t>J977551</t>
  </si>
  <si>
    <t>J842724</t>
  </si>
  <si>
    <t>J446039</t>
  </si>
  <si>
    <t>J743364</t>
  </si>
  <si>
    <t>P946846</t>
  </si>
  <si>
    <t>RANIA/CONJOINT</t>
  </si>
  <si>
    <t>J743028</t>
  </si>
  <si>
    <t>X641026</t>
  </si>
  <si>
    <t>J446406</t>
  </si>
  <si>
    <t>J842962</t>
  </si>
  <si>
    <t>J842976</t>
  </si>
  <si>
    <t>J977665</t>
  </si>
  <si>
    <t>J842728</t>
  </si>
  <si>
    <t>J842727</t>
  </si>
  <si>
    <t>AHMED YASSINE/FILS</t>
  </si>
  <si>
    <t>Y607542</t>
  </si>
  <si>
    <t>AMEN/CONJOINT</t>
  </si>
  <si>
    <t>P385747</t>
  </si>
  <si>
    <t>J620503</t>
  </si>
  <si>
    <t>J743055</t>
  </si>
  <si>
    <t>J557955</t>
  </si>
  <si>
    <t xml:space="preserve">SLAMA MEHDI </t>
  </si>
  <si>
    <t>J977641</t>
  </si>
  <si>
    <t>J842972</t>
  </si>
  <si>
    <t>J231988</t>
  </si>
  <si>
    <t>J557974</t>
  </si>
  <si>
    <t>J842684</t>
  </si>
  <si>
    <t>J557884</t>
  </si>
  <si>
    <t>J743385</t>
  </si>
  <si>
    <t>J471819</t>
  </si>
  <si>
    <t>J977607</t>
  </si>
  <si>
    <t>J743466</t>
  </si>
  <si>
    <t>J743465</t>
  </si>
  <si>
    <t>CHADHA/FILLE</t>
  </si>
  <si>
    <t>J977676</t>
  </si>
  <si>
    <t>P474156</t>
  </si>
  <si>
    <t>J842609</t>
  </si>
  <si>
    <t>J977572</t>
  </si>
  <si>
    <t>J842614</t>
  </si>
  <si>
    <t>J842716</t>
  </si>
  <si>
    <t>J743127</t>
  </si>
  <si>
    <t>J977514</t>
  </si>
  <si>
    <t>A640787</t>
  </si>
  <si>
    <t>J977526</t>
  </si>
  <si>
    <t>A140176</t>
  </si>
  <si>
    <t>KOUADA MOHAMED DHIA</t>
  </si>
  <si>
    <t>A664840</t>
  </si>
  <si>
    <t>J743375</t>
  </si>
  <si>
    <t>J977586</t>
  </si>
  <si>
    <t>MED OUAYES/FILS</t>
  </si>
  <si>
    <t>J505060</t>
  </si>
  <si>
    <t>J505061</t>
  </si>
  <si>
    <t>J842721</t>
  </si>
  <si>
    <t>J391442</t>
  </si>
  <si>
    <t>NOURSENE/FILLE</t>
  </si>
  <si>
    <t>J743090</t>
  </si>
  <si>
    <t>SAHAR/FILLE</t>
  </si>
  <si>
    <t>J842543</t>
  </si>
  <si>
    <t>J620666</t>
  </si>
  <si>
    <t>J620665</t>
  </si>
  <si>
    <t>J446021</t>
  </si>
  <si>
    <t>J842690</t>
  </si>
  <si>
    <t>J743421</t>
  </si>
  <si>
    <t>J977645</t>
  </si>
  <si>
    <t>J977521</t>
  </si>
  <si>
    <t>P853273</t>
  </si>
  <si>
    <t>J842548</t>
  </si>
  <si>
    <t>J557575</t>
  </si>
  <si>
    <t>J977516</t>
  </si>
  <si>
    <t>J446119</t>
  </si>
  <si>
    <t>J842982</t>
  </si>
  <si>
    <t>J977674</t>
  </si>
  <si>
    <t>J446173</t>
  </si>
  <si>
    <t>J977560</t>
  </si>
  <si>
    <t>P320862</t>
  </si>
  <si>
    <t>J842933</t>
  </si>
  <si>
    <t>J842985</t>
  </si>
  <si>
    <t>A347873</t>
  </si>
  <si>
    <t>J842958</t>
  </si>
  <si>
    <t>J842928</t>
  </si>
  <si>
    <t>J842929</t>
  </si>
  <si>
    <t>J743363</t>
  </si>
  <si>
    <t>J557973</t>
  </si>
  <si>
    <t>J842951</t>
  </si>
  <si>
    <t>ALOUEN FAOUZI</t>
  </si>
  <si>
    <t>J743417</t>
  </si>
  <si>
    <t>LAMIRI FIRAS</t>
  </si>
  <si>
    <t>J446299</t>
  </si>
  <si>
    <t>A811215</t>
  </si>
  <si>
    <t>J446168</t>
  </si>
  <si>
    <t>J743089</t>
  </si>
  <si>
    <t>J842638</t>
  </si>
  <si>
    <t>J842984</t>
  </si>
  <si>
    <t>J620515</t>
  </si>
  <si>
    <t>P320674</t>
  </si>
  <si>
    <t>J743067</t>
  </si>
  <si>
    <t>J743278</t>
  </si>
  <si>
    <t>J977501</t>
  </si>
  <si>
    <t>J842660</t>
  </si>
  <si>
    <t>J842586</t>
  </si>
  <si>
    <t>J743471</t>
  </si>
  <si>
    <t>J842987</t>
  </si>
  <si>
    <t>P946825</t>
  </si>
  <si>
    <t>J977569</t>
  </si>
  <si>
    <t>J557995</t>
  </si>
  <si>
    <t>J231981</t>
  </si>
  <si>
    <t>HAMMOUDA AHMED</t>
  </si>
  <si>
    <t>J743413</t>
  </si>
  <si>
    <t>Y268780</t>
  </si>
  <si>
    <t>J977778</t>
  </si>
  <si>
    <t>J842927</t>
  </si>
  <si>
    <t>J977583</t>
  </si>
  <si>
    <t>P320505</t>
  </si>
  <si>
    <t>V414071</t>
  </si>
  <si>
    <t>J743003</t>
  </si>
  <si>
    <t>HELAL KARIM</t>
  </si>
  <si>
    <t>J743340</t>
  </si>
  <si>
    <t>J391152</t>
  </si>
  <si>
    <t>J557718</t>
  </si>
  <si>
    <t>J557541</t>
  </si>
  <si>
    <t>J471706</t>
  </si>
  <si>
    <t>BEN HAMMOUDA MED ACHRAF</t>
  </si>
  <si>
    <t>J977794</t>
  </si>
  <si>
    <t>J446237</t>
  </si>
  <si>
    <t>DATE:    11/11/2025</t>
  </si>
  <si>
    <t>NOMBRE BS :    132</t>
  </si>
  <si>
    <t>P853287</t>
  </si>
  <si>
    <t>OBJET:BORD N° 22 /2025-SANTE</t>
  </si>
  <si>
    <t>P385467</t>
  </si>
  <si>
    <t>J977705</t>
  </si>
  <si>
    <t>KAOUTHAR/FILLE</t>
  </si>
  <si>
    <t>J743015</t>
  </si>
  <si>
    <t>J977535</t>
  </si>
  <si>
    <t>SOUMAYA/CONJOINT</t>
  </si>
  <si>
    <t>J743311</t>
  </si>
  <si>
    <t>J842971</t>
  </si>
  <si>
    <t>J977543</t>
  </si>
  <si>
    <t>J471530</t>
  </si>
  <si>
    <t>J977743</t>
  </si>
  <si>
    <t>J977584</t>
  </si>
  <si>
    <t>J743361</t>
  </si>
  <si>
    <t>J977540</t>
  </si>
  <si>
    <t>J620564</t>
  </si>
  <si>
    <t>J471645</t>
  </si>
  <si>
    <t>J391261</t>
  </si>
  <si>
    <t>J977536</t>
  </si>
  <si>
    <t>J977509</t>
  </si>
  <si>
    <t>J557506</t>
  </si>
  <si>
    <t>J842761</t>
  </si>
  <si>
    <t>J743009</t>
  </si>
  <si>
    <t>J977771</t>
  </si>
  <si>
    <t>P624896</t>
  </si>
  <si>
    <t>J977717</t>
  </si>
  <si>
    <t>J977702</t>
  </si>
  <si>
    <t>J977786</t>
  </si>
  <si>
    <t>J743438</t>
  </si>
  <si>
    <t>J743439</t>
  </si>
  <si>
    <t>J977732</t>
  </si>
  <si>
    <t>J977733</t>
  </si>
  <si>
    <t>X641194</t>
  </si>
  <si>
    <t>J446161</t>
  </si>
  <si>
    <t>J977762</t>
  </si>
  <si>
    <t>MBARKI HOSNI</t>
  </si>
  <si>
    <t>J842718</t>
  </si>
  <si>
    <t>J977749</t>
  </si>
  <si>
    <t>J231760</t>
  </si>
  <si>
    <t>J977791</t>
  </si>
  <si>
    <t>J842547</t>
  </si>
  <si>
    <t>J842939</t>
  </si>
  <si>
    <t>P000412</t>
  </si>
  <si>
    <t>J977669</t>
  </si>
  <si>
    <t>J977792</t>
  </si>
  <si>
    <t>J446054</t>
  </si>
  <si>
    <t>J842753</t>
  </si>
  <si>
    <t>J557794</t>
  </si>
  <si>
    <t>J977699</t>
  </si>
  <si>
    <t>MED ZAIN/FILS</t>
  </si>
  <si>
    <t>J977566</t>
  </si>
  <si>
    <t>J842737</t>
  </si>
  <si>
    <t>A514663</t>
  </si>
  <si>
    <t>J842680</t>
  </si>
  <si>
    <t>J977648</t>
  </si>
  <si>
    <t>I060281</t>
  </si>
  <si>
    <t>J842647</t>
  </si>
  <si>
    <t>J620687</t>
  </si>
  <si>
    <t>J977730</t>
  </si>
  <si>
    <t>J842988</t>
  </si>
  <si>
    <t>P000114</t>
  </si>
  <si>
    <t>J842957</t>
  </si>
  <si>
    <t>J842644</t>
  </si>
  <si>
    <t>J977622</t>
  </si>
  <si>
    <t>JOURI/FILLE</t>
  </si>
  <si>
    <t>J842944</t>
  </si>
  <si>
    <t>J977770</t>
  </si>
  <si>
    <t>J977693</t>
  </si>
  <si>
    <t>J977774</t>
  </si>
  <si>
    <t>J842760</t>
  </si>
  <si>
    <t>J842759</t>
  </si>
  <si>
    <t>J842924</t>
  </si>
  <si>
    <t>MOHAMED HENI</t>
  </si>
  <si>
    <t>J977787</t>
  </si>
  <si>
    <t>A664884</t>
  </si>
  <si>
    <t>J977667</t>
  </si>
  <si>
    <t>J977773</t>
  </si>
  <si>
    <t>J743030</t>
  </si>
  <si>
    <t>J842590</t>
  </si>
  <si>
    <t>J743327</t>
  </si>
  <si>
    <t>J977719</t>
  </si>
  <si>
    <t>J977573</t>
  </si>
  <si>
    <t>J743133</t>
  </si>
  <si>
    <t>J743033</t>
  </si>
  <si>
    <t>J842517</t>
  </si>
  <si>
    <t>I060239</t>
  </si>
  <si>
    <t>I060238</t>
  </si>
  <si>
    <t>J743002</t>
  </si>
  <si>
    <t>MED JOUD/FILS</t>
  </si>
  <si>
    <t>J743330</t>
  </si>
  <si>
    <t>J977744</t>
  </si>
  <si>
    <t>J557914</t>
  </si>
  <si>
    <t>J842959</t>
  </si>
  <si>
    <t>J842955</t>
  </si>
  <si>
    <t>J842588</t>
  </si>
  <si>
    <t>SALMA/CONJOINT</t>
  </si>
  <si>
    <t>J977561</t>
  </si>
  <si>
    <t>J743290</t>
  </si>
  <si>
    <t>I060213</t>
  </si>
  <si>
    <t>RASLEN/FILS</t>
  </si>
  <si>
    <t>J842556</t>
  </si>
  <si>
    <t>J977553</t>
  </si>
  <si>
    <t>J977707</t>
  </si>
  <si>
    <t>J977658</t>
  </si>
  <si>
    <t>J743056</t>
  </si>
  <si>
    <t>J743057</t>
  </si>
  <si>
    <t>J842953</t>
  </si>
  <si>
    <t>MED BECHIR/FILS</t>
  </si>
  <si>
    <t>Y711790</t>
  </si>
  <si>
    <t>J977673</t>
  </si>
  <si>
    <t>J842530</t>
  </si>
  <si>
    <t>I060257</t>
  </si>
  <si>
    <t>I060263</t>
  </si>
  <si>
    <t>J446298</t>
  </si>
  <si>
    <t>J842943</t>
  </si>
  <si>
    <t>J977736</t>
  </si>
  <si>
    <t>NOMBRE BS :    106</t>
  </si>
  <si>
    <t>DATE:    26/11/2025</t>
  </si>
  <si>
    <t>OBJET:BORD N° 23 /2025-SANTE</t>
  </si>
  <si>
    <t>J842704</t>
  </si>
  <si>
    <t>J557820</t>
  </si>
  <si>
    <t>J557692</t>
  </si>
  <si>
    <t>I060193</t>
  </si>
  <si>
    <t>I060199</t>
  </si>
  <si>
    <t>I060271</t>
  </si>
  <si>
    <t>J977619</t>
  </si>
  <si>
    <t>J842587</t>
  </si>
  <si>
    <t>J977748</t>
  </si>
  <si>
    <t>J842584</t>
  </si>
  <si>
    <t>J743018</t>
  </si>
  <si>
    <t>A888474</t>
  </si>
  <si>
    <t>J977797</t>
  </si>
  <si>
    <t>J842635</t>
  </si>
  <si>
    <t>J977570</t>
  </si>
  <si>
    <t>J977694</t>
  </si>
  <si>
    <t>J743346</t>
  </si>
  <si>
    <t>J842650</t>
  </si>
  <si>
    <t>J446063</t>
  </si>
  <si>
    <t>J977752</t>
  </si>
  <si>
    <t>J842710</t>
  </si>
  <si>
    <t>A811362</t>
  </si>
  <si>
    <t>J743412</t>
  </si>
  <si>
    <t>J446208</t>
  </si>
  <si>
    <t>J620650</t>
  </si>
  <si>
    <t>I060258</t>
  </si>
  <si>
    <t>P853224</t>
  </si>
  <si>
    <t>HAMILA BILEL</t>
  </si>
  <si>
    <t>A596765</t>
  </si>
  <si>
    <t>P853223</t>
  </si>
  <si>
    <t>I060276</t>
  </si>
  <si>
    <t>I060259</t>
  </si>
  <si>
    <t>A875880</t>
  </si>
  <si>
    <t>J977776</t>
  </si>
  <si>
    <t>J977575</t>
  </si>
  <si>
    <t>J743209</t>
  </si>
  <si>
    <t>I060243</t>
  </si>
  <si>
    <t>I060168</t>
  </si>
  <si>
    <t>J471787</t>
  </si>
  <si>
    <t>GHARMOUL HAMDI</t>
  </si>
  <si>
    <t>I060253</t>
  </si>
  <si>
    <t>IBRAHIM/FILS</t>
  </si>
  <si>
    <t>J977503</t>
  </si>
  <si>
    <t>J743132</t>
  </si>
  <si>
    <t>J743031</t>
  </si>
  <si>
    <t>J743275</t>
  </si>
  <si>
    <t>J842536</t>
  </si>
  <si>
    <t>J977784</t>
  </si>
  <si>
    <t>J743424</t>
  </si>
  <si>
    <t>J391159</t>
  </si>
  <si>
    <t>SALOUA/CONJOINT</t>
  </si>
  <si>
    <t>J977661</t>
  </si>
  <si>
    <t>J977556</t>
  </si>
  <si>
    <t>LOUJAYNE/FILLE</t>
  </si>
  <si>
    <t>I060189</t>
  </si>
  <si>
    <t>V414446</t>
  </si>
  <si>
    <t>MENIAR/CONJOINT</t>
  </si>
  <si>
    <t>J977782</t>
  </si>
  <si>
    <t>J977659</t>
  </si>
  <si>
    <t>J977611</t>
  </si>
  <si>
    <t>J842930</t>
  </si>
  <si>
    <t>I060200</t>
  </si>
  <si>
    <t>J743349</t>
  </si>
  <si>
    <t>J743225</t>
  </si>
  <si>
    <t>J977624</t>
  </si>
  <si>
    <t>MED SALAH/FILS</t>
  </si>
  <si>
    <t>J977761</t>
  </si>
  <si>
    <t>I060154</t>
  </si>
  <si>
    <t>MED SLIM/FILS</t>
  </si>
  <si>
    <t>J743437</t>
  </si>
  <si>
    <t>I060244</t>
  </si>
  <si>
    <t>I060143</t>
  </si>
  <si>
    <t>NACIB KAIS</t>
  </si>
  <si>
    <t>J977708</t>
  </si>
  <si>
    <t>I060176</t>
  </si>
  <si>
    <t>J977723</t>
  </si>
  <si>
    <t>J977793</t>
  </si>
  <si>
    <t>J977519</t>
  </si>
  <si>
    <t>I060261</t>
  </si>
  <si>
    <t>J977742</t>
  </si>
  <si>
    <t>J977588</t>
  </si>
  <si>
    <t>I060245</t>
  </si>
  <si>
    <t>J471679</t>
  </si>
  <si>
    <t>OUMAIMA/CONJOINT</t>
  </si>
  <si>
    <t>J743291</t>
  </si>
  <si>
    <t>I060274</t>
  </si>
  <si>
    <t>J977796</t>
  </si>
  <si>
    <t>SILINE/FILLE</t>
  </si>
  <si>
    <t>J471534</t>
  </si>
  <si>
    <t>I060124</t>
  </si>
  <si>
    <t>NEJMEDDINE /FILS</t>
  </si>
  <si>
    <t>J977692</t>
  </si>
  <si>
    <t>A811465</t>
  </si>
  <si>
    <t>I060174</t>
  </si>
  <si>
    <t>MASSARRA/FILLE</t>
  </si>
  <si>
    <t>J977605</t>
  </si>
  <si>
    <t>I060280</t>
  </si>
  <si>
    <t>J842582</t>
  </si>
  <si>
    <t>J557972</t>
  </si>
  <si>
    <t>J446232</t>
  </si>
  <si>
    <t>P946558</t>
  </si>
  <si>
    <t>KANTAOUI TAHENI</t>
  </si>
  <si>
    <t>J977722</t>
  </si>
  <si>
    <t>FKIH ALI MED ANIS</t>
  </si>
  <si>
    <t>J743041</t>
  </si>
  <si>
    <t>I060226</t>
  </si>
  <si>
    <t>P609868</t>
  </si>
  <si>
    <t>J977714</t>
  </si>
  <si>
    <t>V414450</t>
  </si>
  <si>
    <t>J977524</t>
  </si>
  <si>
    <t>J557581</t>
  </si>
  <si>
    <t>J977545</t>
  </si>
  <si>
    <t>P609880</t>
  </si>
  <si>
    <t>ACHECH ALA EDDINE</t>
  </si>
  <si>
    <t>J977777</t>
  </si>
  <si>
    <t>J743491</t>
  </si>
  <si>
    <t>I060230</t>
  </si>
  <si>
    <t>J620507</t>
  </si>
  <si>
    <t>I060197</t>
  </si>
  <si>
    <t>J977690</t>
  </si>
  <si>
    <t>I060265</t>
  </si>
  <si>
    <t>I060160</t>
  </si>
  <si>
    <t>I060145</t>
  </si>
  <si>
    <t>P946892</t>
  </si>
  <si>
    <t>I060206</t>
  </si>
  <si>
    <t>J620539</t>
  </si>
  <si>
    <t>I060126</t>
  </si>
  <si>
    <t>I060275</t>
  </si>
  <si>
    <t>J471953</t>
  </si>
  <si>
    <t>I471953</t>
  </si>
  <si>
    <t>I060114</t>
  </si>
  <si>
    <t>X641197</t>
  </si>
  <si>
    <t>I060150</t>
  </si>
  <si>
    <t>DATE:    10/12/2025</t>
  </si>
  <si>
    <t>J620661</t>
  </si>
  <si>
    <t>NOMBRE BS :    118</t>
  </si>
  <si>
    <t>OBJET:BORD N° 24 /2025-SANTE</t>
  </si>
  <si>
    <t>I060148</t>
  </si>
  <si>
    <t>I060105</t>
  </si>
  <si>
    <t>I060279</t>
  </si>
  <si>
    <t>I060278</t>
  </si>
  <si>
    <t>J977632</t>
  </si>
  <si>
    <t>J977539</t>
  </si>
  <si>
    <t>J977727</t>
  </si>
  <si>
    <t>I060262</t>
  </si>
  <si>
    <t>J471992</t>
  </si>
  <si>
    <t>P474273</t>
  </si>
  <si>
    <t>J977686</t>
  </si>
  <si>
    <t>I060087</t>
  </si>
  <si>
    <t>SAMIA/FILLE</t>
  </si>
  <si>
    <t>J977746</t>
  </si>
  <si>
    <t>J743492</t>
  </si>
  <si>
    <t>J977542</t>
  </si>
  <si>
    <t>J446246</t>
  </si>
  <si>
    <t>Y230735</t>
  </si>
  <si>
    <t>I060116</t>
  </si>
  <si>
    <t>J743180</t>
  </si>
  <si>
    <t>J977783</t>
  </si>
  <si>
    <t>J977620</t>
  </si>
  <si>
    <t>J842936</t>
  </si>
  <si>
    <t>BEN MARIEM OTHMEN</t>
  </si>
  <si>
    <t>MAYADA/CONJOINT</t>
  </si>
  <si>
    <t>P040119</t>
  </si>
  <si>
    <t>I060223</t>
  </si>
  <si>
    <t>X641199</t>
  </si>
  <si>
    <t>P853053</t>
  </si>
  <si>
    <t>J977703</t>
  </si>
  <si>
    <t>J557527</t>
  </si>
  <si>
    <t>J977513</t>
  </si>
  <si>
    <t>I060172</t>
  </si>
  <si>
    <t>I060201</t>
  </si>
  <si>
    <t>J977603</t>
  </si>
  <si>
    <t>J977602</t>
  </si>
  <si>
    <t>J743336</t>
  </si>
  <si>
    <t>J977522</t>
  </si>
  <si>
    <t>J977523</t>
  </si>
  <si>
    <t>I060227</t>
  </si>
  <si>
    <t>I060229</t>
  </si>
  <si>
    <t>J446097</t>
  </si>
  <si>
    <t>J557860</t>
  </si>
  <si>
    <t>J842965</t>
  </si>
  <si>
    <t>J743404</t>
  </si>
  <si>
    <t>SELIM/FILS</t>
  </si>
  <si>
    <t>J977780</t>
  </si>
  <si>
    <t>MOATAZ/FILS</t>
  </si>
  <si>
    <t>P040120</t>
  </si>
  <si>
    <t>J977740</t>
  </si>
  <si>
    <t>I060191</t>
  </si>
  <si>
    <t>J842743</t>
  </si>
  <si>
    <t>J557564</t>
  </si>
  <si>
    <t>J226737</t>
  </si>
  <si>
    <t>J446007</t>
  </si>
  <si>
    <t>A811482</t>
  </si>
  <si>
    <t>J977700</t>
  </si>
  <si>
    <t>J842932</t>
  </si>
  <si>
    <t>I060183</t>
  </si>
  <si>
    <t>I060038</t>
  </si>
  <si>
    <t>P474338</t>
  </si>
  <si>
    <t>J557815</t>
  </si>
  <si>
    <t>I060237</t>
  </si>
  <si>
    <t>I060256</t>
  </si>
  <si>
    <t>A383471</t>
  </si>
  <si>
    <t>I060161</t>
  </si>
  <si>
    <t>I060074</t>
  </si>
  <si>
    <t>J842960</t>
  </si>
  <si>
    <t>I060088</t>
  </si>
  <si>
    <t>J977716</t>
  </si>
  <si>
    <t>J842621</t>
  </si>
  <si>
    <t>I060056</t>
  </si>
  <si>
    <t>J977623</t>
  </si>
  <si>
    <t>MOHAMED SALAH/FILS</t>
  </si>
  <si>
    <t>J977634</t>
  </si>
  <si>
    <t>I060098</t>
  </si>
  <si>
    <t>J977685</t>
  </si>
  <si>
    <t>J557603</t>
  </si>
  <si>
    <t>J842970</t>
  </si>
  <si>
    <t>A808161</t>
  </si>
  <si>
    <t>I060118</t>
  </si>
  <si>
    <t>I060039</t>
  </si>
  <si>
    <t>I060177</t>
  </si>
  <si>
    <t>I060178</t>
  </si>
  <si>
    <t>Y558668</t>
  </si>
  <si>
    <t>I060064</t>
  </si>
  <si>
    <t>J977679</t>
  </si>
  <si>
    <t>J842719</t>
  </si>
  <si>
    <t>J977751</t>
  </si>
  <si>
    <t>P385790</t>
  </si>
  <si>
    <t>J471705</t>
  </si>
  <si>
    <t>A810533</t>
  </si>
  <si>
    <t xml:space="preserve">BEN ARBIA HAMDI </t>
  </si>
  <si>
    <t>J446032</t>
  </si>
  <si>
    <t>J842671</t>
  </si>
  <si>
    <t>P320852</t>
  </si>
  <si>
    <t>ANASS/FILS</t>
  </si>
  <si>
    <t>I060211</t>
  </si>
  <si>
    <t>I060205</t>
  </si>
  <si>
    <t>I060042</t>
  </si>
  <si>
    <t>I060241</t>
  </si>
  <si>
    <t>I060242</t>
  </si>
  <si>
    <t>J977642</t>
  </si>
  <si>
    <t>MOHAMED ZAIN/FILS</t>
  </si>
  <si>
    <t>J743380</t>
  </si>
  <si>
    <t>J743079</t>
  </si>
  <si>
    <t>I060224</t>
  </si>
  <si>
    <t>J842639</t>
  </si>
  <si>
    <t>I060068</t>
  </si>
  <si>
    <t>I060011</t>
  </si>
  <si>
    <t>JOULIA/FILLE</t>
  </si>
  <si>
    <t>J977739</t>
  </si>
  <si>
    <t>I060057</t>
  </si>
  <si>
    <t>I060152</t>
  </si>
  <si>
    <t>P853038</t>
  </si>
  <si>
    <t>J743423</t>
  </si>
  <si>
    <t>J743322</t>
  </si>
  <si>
    <t>J977695</t>
  </si>
  <si>
    <t>Y587069</t>
  </si>
  <si>
    <t>J743383</t>
  </si>
  <si>
    <t>J842922</t>
  </si>
  <si>
    <t>J842979</t>
  </si>
  <si>
    <t>J446407</t>
  </si>
  <si>
    <t>J743020</t>
  </si>
  <si>
    <t>J620601</t>
  </si>
  <si>
    <t>J446130</t>
  </si>
  <si>
    <t>I060234</t>
  </si>
  <si>
    <t>J977738</t>
  </si>
  <si>
    <t>I060272</t>
  </si>
  <si>
    <t>J743025</t>
  </si>
  <si>
    <t>J557786</t>
  </si>
  <si>
    <t>P946575</t>
  </si>
  <si>
    <t>I060418</t>
  </si>
  <si>
    <t>BEN ABDESSLEM MOHAMED</t>
  </si>
  <si>
    <t>SALEM/FILS</t>
  </si>
  <si>
    <t>J446070</t>
  </si>
  <si>
    <t>J557871</t>
  </si>
  <si>
    <t>J842952</t>
  </si>
  <si>
    <t>I060435</t>
  </si>
  <si>
    <t>J842983</t>
  </si>
  <si>
    <t>J471844</t>
  </si>
  <si>
    <t>J977769</t>
  </si>
  <si>
    <t>I060194</t>
  </si>
  <si>
    <t>J977596</t>
  </si>
  <si>
    <t>I060094</t>
  </si>
  <si>
    <t>A581971</t>
  </si>
  <si>
    <t>J743069</t>
  </si>
  <si>
    <t>J557821</t>
  </si>
  <si>
    <t>J620669</t>
  </si>
  <si>
    <t>J977710</t>
  </si>
  <si>
    <t>Y853668</t>
  </si>
  <si>
    <t>I060029</t>
  </si>
  <si>
    <t>J842941</t>
  </si>
  <si>
    <t>J977775</t>
  </si>
  <si>
    <t>A596941</t>
  </si>
  <si>
    <t>A596940</t>
  </si>
  <si>
    <t>HANINE/FILLE</t>
  </si>
  <si>
    <t>J557817</t>
  </si>
  <si>
    <t>J743029</t>
  </si>
  <si>
    <t>J977763</t>
  </si>
  <si>
    <t>DATE:    29/12/2025</t>
  </si>
  <si>
    <t>X641487</t>
  </si>
  <si>
    <t>Y877976</t>
  </si>
  <si>
    <t>NADIA/FILLE</t>
  </si>
  <si>
    <t>I060208</t>
  </si>
  <si>
    <t>V414141</t>
  </si>
  <si>
    <t>J842510</t>
  </si>
  <si>
    <t>I060013</t>
  </si>
  <si>
    <t xml:space="preserve">NOMBRE BS :   153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</si>
</sst>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.000"/>
  </numFmts>
  <fonts count="15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indexed="8"/>
      <name val="Calibri Light"/>
      <family val="1"/>
      <scheme val="major"/>
    </font>
    <font>
      <b/>
      <i/>
      <u/>
      <sz val="10"/>
      <color indexed="8"/>
      <name val="Arial"/>
      <family val="2"/>
    </font>
    <font>
      <u/>
      <sz val="14"/>
      <color indexed="8"/>
      <name val="Calibri Light"/>
      <family val="1"/>
      <scheme val="major"/>
    </font>
    <font>
      <sz val="12"/>
      <color theme="1"/>
      <name val="Calibri"/>
      <family val="2"/>
      <scheme val="minor"/>
    </font>
    <font>
      <u/>
      <sz val="12"/>
      <color indexed="8"/>
      <name val="Calibri Light"/>
      <family val="1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65" fontId="7" fillId="0" borderId="1" xfId="0" applyNumberFormat="1" applyFont="1" applyBorder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/>
    <xf numFmtId="2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2" fontId="0" fillId="0" borderId="0" xfId="0" applyNumberFormat="1" applyAlignment="1">
      <alignment horizontal="center"/>
    </xf>
    <xf numFmtId="0" fontId="13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/>
    <xf numFmtId="2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5" fontId="7" fillId="0" borderId="2" xfId="0" applyNumberFormat="1" applyFont="1" applyBorder="1"/>
    <xf numFmtId="165" fontId="7" fillId="0" borderId="3" xfId="0" applyNumberFormat="1" applyFont="1" applyBorder="1"/>
    <xf numFmtId="165" fontId="7" fillId="0" borderId="0" xfId="0" applyNumberFormat="1" applyFont="1"/>
    <xf numFmtId="0" fontId="0" fillId="0" borderId="0" xfId="0" applyBorder="1"/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/>
    <xf numFmtId="0" fontId="14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/>
    <xf numFmtId="2" fontId="11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165" fontId="7" fillId="0" borderId="0" xfId="0" applyNumberFormat="1" applyFont="1" applyBorder="1"/>
    <xf numFmtId="0" fontId="14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/>
    <xf numFmtId="0" fontId="0" fillId="2" borderId="1" xfId="0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if5/AppData/Roaming/Microsoft/Excel/BORDEREAU%20STIP%20SANTE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ANTIVIR\commun%20RHRP\assurance%20groupe\bord%20assurance%20groupe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cr%20rhrp/Bureau/bord%20assurance%20groupe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Bd8"/>
      <sheetName val="Bd2"/>
      <sheetName val="CER PRE"/>
      <sheetName val="Bd1"/>
      <sheetName val="Bd3"/>
      <sheetName val="Bd3 "/>
      <sheetName val="Bd4"/>
      <sheetName val="Bd5"/>
      <sheetName val="Bd6"/>
      <sheetName val="Bd7"/>
      <sheetName val="BD 8"/>
      <sheetName val="Bd9"/>
      <sheetName val="Bd10"/>
      <sheetName val="Bd11"/>
      <sheetName val="Bd12"/>
      <sheetName val="Bd13"/>
      <sheetName val="Bd14"/>
      <sheetName val="Bd15"/>
      <sheetName val="Bd16"/>
      <sheetName val="Bd17"/>
      <sheetName val="Bd18"/>
      <sheetName val="Bd19"/>
      <sheetName val="Bd20"/>
      <sheetName val="Bd21"/>
      <sheetName val="Bd22"/>
      <sheetName val="Bd23"/>
      <sheetName val="Bd24"/>
      <sheetName val="Bd25"/>
      <sheetName val="Bd26"/>
      <sheetName val="Bd27"/>
      <sheetName val="Bd28"/>
    </sheetNames>
    <sheetDataSet>
      <sheetData sheetId="0" refreshError="1">
        <row r="1">
          <cell r="A1" t="str">
            <v>Adhésion</v>
          </cell>
          <cell r="B1" t="str">
            <v>Nom</v>
          </cell>
          <cell r="C1" t="str">
            <v>Prénom</v>
          </cell>
        </row>
        <row r="2">
          <cell r="A2">
            <v>36</v>
          </cell>
          <cell r="B2" t="str">
            <v>BAYA</v>
          </cell>
          <cell r="C2" t="str">
            <v>ADEL</v>
          </cell>
          <cell r="D2" t="str">
            <v>BAYA ADEL</v>
          </cell>
        </row>
        <row r="3">
          <cell r="A3">
            <v>58</v>
          </cell>
          <cell r="B3" t="str">
            <v>BEN HAMOUDA</v>
          </cell>
          <cell r="C3" t="str">
            <v>MONDHER</v>
          </cell>
          <cell r="D3" t="str">
            <v>BEN HAMOUDA MONDHER</v>
          </cell>
        </row>
        <row r="4">
          <cell r="A4">
            <v>144</v>
          </cell>
          <cell r="B4" t="str">
            <v>DHIFALLAH</v>
          </cell>
          <cell r="C4" t="str">
            <v>MOHAMED</v>
          </cell>
          <cell r="D4" t="str">
            <v>DHIFALLAH MOHAMED</v>
          </cell>
        </row>
        <row r="5">
          <cell r="A5">
            <v>184</v>
          </cell>
          <cell r="B5" t="str">
            <v>MOUSSA</v>
          </cell>
          <cell r="C5" t="str">
            <v>MOUNIR</v>
          </cell>
          <cell r="D5" t="str">
            <v>MOUSSA MOUNIR</v>
          </cell>
        </row>
        <row r="6">
          <cell r="A6">
            <v>185</v>
          </cell>
          <cell r="B6" t="str">
            <v>MAHJOUB NOUIR</v>
          </cell>
          <cell r="C6" t="str">
            <v>MONCEF</v>
          </cell>
          <cell r="D6" t="str">
            <v>MAHJOUB NOUIR MONCEF</v>
          </cell>
        </row>
        <row r="7">
          <cell r="A7">
            <v>212</v>
          </cell>
          <cell r="B7" t="str">
            <v>BOUHLEL</v>
          </cell>
          <cell r="C7" t="str">
            <v>BECHIR</v>
          </cell>
          <cell r="D7" t="str">
            <v>BOUHLEL BECHIR</v>
          </cell>
        </row>
        <row r="8">
          <cell r="A8">
            <v>225</v>
          </cell>
          <cell r="B8" t="str">
            <v>LAYOUNI</v>
          </cell>
          <cell r="C8" t="str">
            <v>ABDELKARIM</v>
          </cell>
          <cell r="D8" t="str">
            <v>LAYOUNI ABDELKARIM</v>
          </cell>
        </row>
        <row r="9">
          <cell r="A9">
            <v>247</v>
          </cell>
          <cell r="B9" t="str">
            <v>BOUZAMMOUCHA</v>
          </cell>
          <cell r="C9" t="str">
            <v>MOURAD</v>
          </cell>
          <cell r="D9" t="str">
            <v>BOUZAMMOUCHA MOURAD</v>
          </cell>
        </row>
        <row r="10">
          <cell r="A10">
            <v>262</v>
          </cell>
          <cell r="B10" t="str">
            <v>BEN HAMMOUDA</v>
          </cell>
          <cell r="C10" t="str">
            <v>TAOUFIK</v>
          </cell>
          <cell r="D10" t="str">
            <v>BEN HAMMOUDA TAOUFIK</v>
          </cell>
        </row>
        <row r="11">
          <cell r="A11">
            <v>280</v>
          </cell>
          <cell r="B11" t="str">
            <v>LAYOUNI</v>
          </cell>
          <cell r="C11" t="str">
            <v>GHAZI</v>
          </cell>
          <cell r="D11" t="str">
            <v>LAYOUNI GHAZI</v>
          </cell>
        </row>
        <row r="12">
          <cell r="A12">
            <v>344</v>
          </cell>
          <cell r="B12" t="str">
            <v>TERZAG EL BHIRI</v>
          </cell>
          <cell r="C12" t="str">
            <v>CHEDLY</v>
          </cell>
          <cell r="D12" t="str">
            <v>TERZAG EL BHIRI CHEDLY</v>
          </cell>
        </row>
        <row r="13">
          <cell r="A13">
            <v>356</v>
          </cell>
          <cell r="B13" t="str">
            <v>BAYA</v>
          </cell>
          <cell r="C13" t="str">
            <v>TAOUFIK</v>
          </cell>
          <cell r="D13" t="str">
            <v>BAYA TAOUFIK</v>
          </cell>
        </row>
        <row r="14">
          <cell r="A14">
            <v>357</v>
          </cell>
          <cell r="B14" t="str">
            <v>BOUGADDOUHA</v>
          </cell>
          <cell r="C14" t="str">
            <v>HABIB</v>
          </cell>
          <cell r="D14" t="str">
            <v>BOUGADDOUHA HABIB</v>
          </cell>
        </row>
        <row r="15">
          <cell r="A15">
            <v>361</v>
          </cell>
          <cell r="B15" t="str">
            <v>BEN KHELIFA</v>
          </cell>
          <cell r="C15" t="str">
            <v>RACHID</v>
          </cell>
          <cell r="D15" t="str">
            <v>BEN KHELIFA RACHID</v>
          </cell>
        </row>
        <row r="16">
          <cell r="A16">
            <v>368</v>
          </cell>
          <cell r="B16" t="str">
            <v>AJROUD</v>
          </cell>
          <cell r="C16" t="str">
            <v>RIDHA</v>
          </cell>
          <cell r="D16" t="str">
            <v>AJROUD RIDHA</v>
          </cell>
        </row>
        <row r="17">
          <cell r="A17">
            <v>369</v>
          </cell>
          <cell r="B17" t="str">
            <v>KECHICHE</v>
          </cell>
          <cell r="C17" t="str">
            <v>BECHIR</v>
          </cell>
          <cell r="D17" t="str">
            <v>KECHICHE BECHIR</v>
          </cell>
        </row>
        <row r="18">
          <cell r="A18">
            <v>382</v>
          </cell>
          <cell r="B18" t="str">
            <v>HAMILA</v>
          </cell>
          <cell r="C18" t="str">
            <v>KHALED</v>
          </cell>
          <cell r="D18" t="str">
            <v>HAMILA KHALED</v>
          </cell>
        </row>
        <row r="19">
          <cell r="A19">
            <v>418</v>
          </cell>
          <cell r="B19" t="str">
            <v>SASSI</v>
          </cell>
          <cell r="C19" t="str">
            <v>RIDHA</v>
          </cell>
          <cell r="D19" t="str">
            <v>SASSI RIDHA</v>
          </cell>
        </row>
        <row r="20">
          <cell r="A20">
            <v>426</v>
          </cell>
          <cell r="B20" t="str">
            <v>AFRIT</v>
          </cell>
          <cell r="C20" t="str">
            <v>RIDHA</v>
          </cell>
          <cell r="D20" t="str">
            <v>AFRIT RIDHA</v>
          </cell>
        </row>
        <row r="21">
          <cell r="A21">
            <v>480</v>
          </cell>
          <cell r="B21" t="str">
            <v>TOUMI</v>
          </cell>
          <cell r="C21" t="str">
            <v>CHOKRI</v>
          </cell>
          <cell r="D21" t="str">
            <v>TOUMI CHOKRI</v>
          </cell>
        </row>
        <row r="22">
          <cell r="A22">
            <v>482</v>
          </cell>
          <cell r="B22" t="str">
            <v>MAATOUG</v>
          </cell>
          <cell r="C22" t="str">
            <v>HMAIED</v>
          </cell>
          <cell r="D22" t="str">
            <v>MAATOUG HMAIED</v>
          </cell>
        </row>
        <row r="23">
          <cell r="A23">
            <v>100</v>
          </cell>
          <cell r="B23" t="str">
            <v>JARRAR</v>
          </cell>
          <cell r="C23" t="str">
            <v>JALEL BEN ALI</v>
          </cell>
          <cell r="D23" t="str">
            <v>JARRAR JALEL BEN ALI</v>
          </cell>
        </row>
        <row r="24">
          <cell r="A24">
            <v>134</v>
          </cell>
          <cell r="B24" t="str">
            <v>JARRAR</v>
          </cell>
          <cell r="C24" t="str">
            <v>JALEL</v>
          </cell>
          <cell r="D24" t="str">
            <v>JARRAR JALEL</v>
          </cell>
        </row>
        <row r="25">
          <cell r="A25">
            <v>145</v>
          </cell>
          <cell r="B25" t="str">
            <v>GAZZAH</v>
          </cell>
          <cell r="C25" t="str">
            <v>MAHMOUD</v>
          </cell>
          <cell r="D25" t="str">
            <v>GAZZAH MAHMOUD</v>
          </cell>
        </row>
        <row r="26">
          <cell r="A26">
            <v>166</v>
          </cell>
          <cell r="B26" t="str">
            <v>GRASSA</v>
          </cell>
          <cell r="C26" t="str">
            <v>ABDELHAMID</v>
          </cell>
          <cell r="D26" t="str">
            <v>GRASSA ABDELHAMID</v>
          </cell>
        </row>
        <row r="27">
          <cell r="A27">
            <v>194</v>
          </cell>
          <cell r="B27" t="str">
            <v>KRIFA</v>
          </cell>
          <cell r="C27" t="str">
            <v>KAMEL</v>
          </cell>
          <cell r="D27" t="str">
            <v>KRIFA KAMEL</v>
          </cell>
        </row>
        <row r="28">
          <cell r="A28">
            <v>284</v>
          </cell>
          <cell r="B28" t="str">
            <v>BEL HADJ ALI</v>
          </cell>
          <cell r="C28" t="str">
            <v>FETHI</v>
          </cell>
          <cell r="D28" t="str">
            <v>BEL HADJ ALI FETHI</v>
          </cell>
        </row>
        <row r="29">
          <cell r="A29">
            <v>497</v>
          </cell>
          <cell r="B29" t="str">
            <v>BEN ABDALLAH</v>
          </cell>
          <cell r="C29" t="str">
            <v>TAOUFIK</v>
          </cell>
          <cell r="D29" t="str">
            <v>BEN ABDALLAH TAOUFIK</v>
          </cell>
        </row>
        <row r="30">
          <cell r="A30">
            <v>498</v>
          </cell>
          <cell r="B30" t="str">
            <v>DHIB</v>
          </cell>
          <cell r="C30" t="str">
            <v>TAOUFIK</v>
          </cell>
          <cell r="D30" t="str">
            <v>DHIB TAOUFIK</v>
          </cell>
        </row>
        <row r="31">
          <cell r="A31">
            <v>503</v>
          </cell>
          <cell r="B31" t="str">
            <v>BOUHLEL</v>
          </cell>
          <cell r="C31" t="str">
            <v>ABDELHAFIDH</v>
          </cell>
          <cell r="D31" t="str">
            <v>BOUHLEL ABDELHAFIDH</v>
          </cell>
        </row>
        <row r="32">
          <cell r="A32">
            <v>524</v>
          </cell>
          <cell r="B32" t="str">
            <v>EL MAHFOUDH</v>
          </cell>
          <cell r="C32" t="str">
            <v>TAREK</v>
          </cell>
          <cell r="D32" t="str">
            <v>EL MAHFOUDH TAREK</v>
          </cell>
        </row>
        <row r="33">
          <cell r="A33">
            <v>540</v>
          </cell>
          <cell r="B33" t="str">
            <v>EL ABED</v>
          </cell>
          <cell r="C33" t="str">
            <v>FETHI</v>
          </cell>
          <cell r="D33" t="str">
            <v>EL ABED FETHI</v>
          </cell>
        </row>
        <row r="34">
          <cell r="A34">
            <v>551</v>
          </cell>
          <cell r="B34" t="str">
            <v>EL GADHI</v>
          </cell>
          <cell r="C34" t="str">
            <v>SALAH</v>
          </cell>
          <cell r="D34" t="str">
            <v>EL GADHI SALAH</v>
          </cell>
        </row>
        <row r="35">
          <cell r="A35">
            <v>552</v>
          </cell>
          <cell r="B35" t="str">
            <v>ACHOUR</v>
          </cell>
          <cell r="C35" t="str">
            <v>KAMEL</v>
          </cell>
          <cell r="D35" t="str">
            <v>ACHOUR KAMEL</v>
          </cell>
        </row>
        <row r="36">
          <cell r="A36">
            <v>582</v>
          </cell>
          <cell r="B36" t="str">
            <v>MATHLOUTHI</v>
          </cell>
          <cell r="C36" t="str">
            <v>TAIEB</v>
          </cell>
          <cell r="D36" t="str">
            <v>MATHLOUTHI TAIEB</v>
          </cell>
        </row>
        <row r="37">
          <cell r="A37">
            <v>590</v>
          </cell>
          <cell r="B37" t="str">
            <v>KHALFALLAH</v>
          </cell>
          <cell r="C37" t="str">
            <v>ABDELAZIZ</v>
          </cell>
          <cell r="D37" t="str">
            <v>KHALFALLAH ABDELAZIZ</v>
          </cell>
        </row>
        <row r="38">
          <cell r="A38">
            <v>599</v>
          </cell>
          <cell r="B38" t="str">
            <v>LOGHMARI</v>
          </cell>
          <cell r="C38" t="str">
            <v>MOHAMED</v>
          </cell>
          <cell r="D38" t="str">
            <v>LOGHMARI MOHAMED</v>
          </cell>
        </row>
        <row r="39">
          <cell r="A39">
            <v>606</v>
          </cell>
          <cell r="B39" t="str">
            <v>MABROUK</v>
          </cell>
          <cell r="C39" t="str">
            <v>FREDJ</v>
          </cell>
          <cell r="D39" t="str">
            <v>MABROUK FREDJ</v>
          </cell>
        </row>
        <row r="40">
          <cell r="A40">
            <v>640</v>
          </cell>
          <cell r="B40" t="str">
            <v>JARRAR</v>
          </cell>
          <cell r="C40" t="str">
            <v>BECHIR</v>
          </cell>
          <cell r="D40" t="str">
            <v>JARRAR BECHIR</v>
          </cell>
        </row>
        <row r="41">
          <cell r="A41">
            <v>645</v>
          </cell>
          <cell r="B41" t="str">
            <v>MALLEH</v>
          </cell>
          <cell r="C41" t="str">
            <v>HATEM</v>
          </cell>
          <cell r="D41" t="str">
            <v>MALLEH HATEM</v>
          </cell>
        </row>
        <row r="42">
          <cell r="A42">
            <v>647</v>
          </cell>
          <cell r="B42" t="str">
            <v>KHALIFA</v>
          </cell>
          <cell r="C42" t="str">
            <v>NACEUR</v>
          </cell>
          <cell r="D42" t="str">
            <v>KHALIFA NACEUR</v>
          </cell>
        </row>
        <row r="43">
          <cell r="A43">
            <v>648</v>
          </cell>
          <cell r="B43" t="str">
            <v>MANSOUR</v>
          </cell>
          <cell r="C43" t="str">
            <v>ABDELMEJID</v>
          </cell>
          <cell r="D43" t="str">
            <v>MANSOUR ABDELMEJID</v>
          </cell>
        </row>
        <row r="44">
          <cell r="A44">
            <v>656</v>
          </cell>
          <cell r="B44" t="str">
            <v>CHEBIL</v>
          </cell>
          <cell r="C44" t="str">
            <v>MOHAMED MONCEF</v>
          </cell>
          <cell r="D44" t="str">
            <v>CHEBIL MOHAMED MONCEF</v>
          </cell>
        </row>
        <row r="45">
          <cell r="A45">
            <v>659</v>
          </cell>
          <cell r="B45" t="str">
            <v>NABLI</v>
          </cell>
          <cell r="C45" t="str">
            <v>SAYED</v>
          </cell>
          <cell r="D45" t="str">
            <v>NABLI SAYED</v>
          </cell>
        </row>
        <row r="46">
          <cell r="A46">
            <v>661</v>
          </cell>
          <cell r="B46" t="str">
            <v>BEN HMED</v>
          </cell>
          <cell r="C46" t="str">
            <v>MOHSEN</v>
          </cell>
          <cell r="D46" t="str">
            <v>BEN HMED MOHSEN</v>
          </cell>
        </row>
        <row r="47">
          <cell r="A47">
            <v>662</v>
          </cell>
          <cell r="B47" t="str">
            <v>BEN YOUSSEF</v>
          </cell>
          <cell r="C47" t="str">
            <v>RACHED</v>
          </cell>
          <cell r="D47" t="str">
            <v>BEN YOUSSEF RACHED</v>
          </cell>
        </row>
        <row r="48">
          <cell r="A48">
            <v>675</v>
          </cell>
          <cell r="B48" t="str">
            <v>BOUBAKER</v>
          </cell>
          <cell r="C48" t="str">
            <v>MAHER</v>
          </cell>
          <cell r="D48" t="str">
            <v>BOUBAKER MAHER</v>
          </cell>
        </row>
        <row r="49">
          <cell r="A49">
            <v>692</v>
          </cell>
          <cell r="B49" t="str">
            <v>ABDELLAH</v>
          </cell>
          <cell r="C49" t="str">
            <v>MOHAMED</v>
          </cell>
          <cell r="D49" t="str">
            <v>ABDELLAH MOHAMED</v>
          </cell>
        </row>
        <row r="50">
          <cell r="A50">
            <v>695</v>
          </cell>
          <cell r="B50" t="str">
            <v>LAAJILI</v>
          </cell>
          <cell r="C50" t="str">
            <v>ABDELHAMID</v>
          </cell>
          <cell r="D50" t="str">
            <v>LAAJILI ABDELHAMID</v>
          </cell>
        </row>
        <row r="51">
          <cell r="A51">
            <v>700</v>
          </cell>
          <cell r="B51" t="str">
            <v>ZORGATI</v>
          </cell>
          <cell r="C51" t="str">
            <v>ABDELFATTEH</v>
          </cell>
          <cell r="D51" t="str">
            <v>ZORGATI ABDELFATTEH</v>
          </cell>
        </row>
        <row r="52">
          <cell r="A52">
            <v>701</v>
          </cell>
          <cell r="B52" t="str">
            <v>BEN HASSINE</v>
          </cell>
          <cell r="C52" t="str">
            <v>ABDELHAKIM</v>
          </cell>
          <cell r="D52" t="str">
            <v>BEN HASSINE ABDELHAKIM</v>
          </cell>
        </row>
        <row r="53">
          <cell r="A53">
            <v>721</v>
          </cell>
          <cell r="B53" t="str">
            <v>BEN ABDELJELIL</v>
          </cell>
          <cell r="C53" t="str">
            <v>WAHID</v>
          </cell>
          <cell r="D53" t="str">
            <v>BEN ABDELJELIL WAHID</v>
          </cell>
        </row>
        <row r="54">
          <cell r="A54">
            <v>725</v>
          </cell>
          <cell r="B54" t="str">
            <v>BOUARGOUB</v>
          </cell>
          <cell r="C54" t="str">
            <v>MOURAD</v>
          </cell>
          <cell r="D54" t="str">
            <v>BOUARGOUB MOURAD</v>
          </cell>
        </row>
        <row r="55">
          <cell r="A55">
            <v>730</v>
          </cell>
          <cell r="B55" t="str">
            <v>KILANI</v>
          </cell>
          <cell r="C55" t="str">
            <v>MOUNIR</v>
          </cell>
          <cell r="D55" t="str">
            <v>KILANI MOUNIR</v>
          </cell>
        </row>
        <row r="56">
          <cell r="A56">
            <v>758</v>
          </cell>
          <cell r="B56" t="str">
            <v>BEN YAHIA</v>
          </cell>
          <cell r="C56" t="str">
            <v>KAMEL</v>
          </cell>
          <cell r="D56" t="str">
            <v>BEN YAHIA KAMEL</v>
          </cell>
        </row>
        <row r="57">
          <cell r="A57">
            <v>761</v>
          </cell>
          <cell r="B57" t="str">
            <v>SLIMENE</v>
          </cell>
          <cell r="C57" t="str">
            <v>RIDHA</v>
          </cell>
          <cell r="D57" t="str">
            <v>SLIMENE RIDHA</v>
          </cell>
        </row>
        <row r="58">
          <cell r="A58">
            <v>772</v>
          </cell>
          <cell r="B58" t="str">
            <v>BOUHLEL</v>
          </cell>
          <cell r="C58" t="str">
            <v>LOTFI</v>
          </cell>
          <cell r="D58" t="str">
            <v>BOUHLEL LOTFI</v>
          </cell>
        </row>
        <row r="59">
          <cell r="A59">
            <v>775</v>
          </cell>
          <cell r="B59" t="str">
            <v>ZORGATI</v>
          </cell>
          <cell r="C59" t="str">
            <v>MONDHER</v>
          </cell>
          <cell r="D59" t="str">
            <v>ZORGATI MONDHER</v>
          </cell>
        </row>
        <row r="60">
          <cell r="A60">
            <v>784</v>
          </cell>
          <cell r="B60" t="str">
            <v>BEN AMOR</v>
          </cell>
          <cell r="C60" t="str">
            <v>MED NEJIB</v>
          </cell>
          <cell r="D60" t="str">
            <v>BEN AMOR MED NEJIB</v>
          </cell>
        </row>
        <row r="61">
          <cell r="A61">
            <v>787</v>
          </cell>
          <cell r="B61" t="str">
            <v>SASSI</v>
          </cell>
          <cell r="C61" t="str">
            <v>HABIB</v>
          </cell>
          <cell r="D61" t="str">
            <v>SASSI HABIB</v>
          </cell>
        </row>
        <row r="62">
          <cell r="A62">
            <v>790</v>
          </cell>
          <cell r="B62" t="str">
            <v>ATTIA</v>
          </cell>
          <cell r="C62" t="str">
            <v>HAFEDH</v>
          </cell>
          <cell r="D62" t="str">
            <v>ATTIA HAFEDH</v>
          </cell>
        </row>
        <row r="63">
          <cell r="A63">
            <v>803</v>
          </cell>
          <cell r="B63" t="str">
            <v>KRIFA</v>
          </cell>
          <cell r="C63" t="str">
            <v>ALI</v>
          </cell>
          <cell r="D63" t="str">
            <v>KRIFA ALI</v>
          </cell>
        </row>
        <row r="64">
          <cell r="A64">
            <v>815</v>
          </cell>
          <cell r="B64" t="str">
            <v>DAHMANI</v>
          </cell>
          <cell r="C64" t="str">
            <v>HAFSI</v>
          </cell>
          <cell r="D64" t="str">
            <v>DAHMANI HAFSI</v>
          </cell>
        </row>
        <row r="65">
          <cell r="A65">
            <v>824</v>
          </cell>
          <cell r="B65" t="str">
            <v>MRIBAH</v>
          </cell>
          <cell r="C65" t="str">
            <v>NACEUR</v>
          </cell>
          <cell r="D65" t="str">
            <v>MRIBAH NACEUR</v>
          </cell>
        </row>
        <row r="66">
          <cell r="A66">
            <v>832</v>
          </cell>
          <cell r="B66" t="str">
            <v>ABBASSI</v>
          </cell>
          <cell r="C66" t="str">
            <v>LOTFI</v>
          </cell>
          <cell r="D66" t="str">
            <v>ABBASSI LOTFI</v>
          </cell>
        </row>
        <row r="67">
          <cell r="A67">
            <v>835</v>
          </cell>
          <cell r="B67" t="str">
            <v>LAGRAS</v>
          </cell>
          <cell r="C67" t="str">
            <v>SADOK</v>
          </cell>
          <cell r="D67" t="str">
            <v>LAGRAS SADOK</v>
          </cell>
        </row>
        <row r="68">
          <cell r="A68">
            <v>843</v>
          </cell>
          <cell r="B68" t="str">
            <v>IBN KHEBACHA</v>
          </cell>
          <cell r="C68" t="str">
            <v>ANOUAR</v>
          </cell>
          <cell r="D68" t="str">
            <v>IBN KHEBACHA ANOUAR</v>
          </cell>
        </row>
        <row r="69">
          <cell r="A69">
            <v>847</v>
          </cell>
          <cell r="B69" t="str">
            <v>BABAY ROUIS</v>
          </cell>
          <cell r="C69" t="str">
            <v>ABDERRAZEK</v>
          </cell>
          <cell r="D69" t="str">
            <v>BABAY ROUIS ABDERRAZEK</v>
          </cell>
        </row>
        <row r="70">
          <cell r="A70">
            <v>849</v>
          </cell>
          <cell r="B70" t="str">
            <v>KAIBI</v>
          </cell>
          <cell r="C70" t="str">
            <v>RIDHA</v>
          </cell>
          <cell r="D70" t="str">
            <v>KAIBI RIDHA</v>
          </cell>
        </row>
        <row r="71">
          <cell r="A71">
            <v>854</v>
          </cell>
          <cell r="B71" t="str">
            <v>SAHLI</v>
          </cell>
          <cell r="C71" t="str">
            <v>SAMIR</v>
          </cell>
          <cell r="D71" t="str">
            <v>SAHLI SAMIR</v>
          </cell>
        </row>
        <row r="72">
          <cell r="A72">
            <v>859</v>
          </cell>
          <cell r="B72" t="str">
            <v>ZRELLI</v>
          </cell>
          <cell r="C72" t="str">
            <v>MOHAMED</v>
          </cell>
          <cell r="D72" t="str">
            <v>ZRELLI MOHAMED</v>
          </cell>
        </row>
        <row r="73">
          <cell r="A73">
            <v>872</v>
          </cell>
          <cell r="B73" t="str">
            <v>BOUHLEL</v>
          </cell>
          <cell r="C73" t="str">
            <v>SAMIR</v>
          </cell>
          <cell r="D73" t="str">
            <v>BOUHLEL SAMIR</v>
          </cell>
        </row>
        <row r="74">
          <cell r="A74">
            <v>879</v>
          </cell>
          <cell r="B74" t="str">
            <v>MOUSSA</v>
          </cell>
          <cell r="C74" t="str">
            <v>ABDERRAZEK</v>
          </cell>
          <cell r="D74" t="str">
            <v>MOUSSA ABDERRAZEK</v>
          </cell>
        </row>
        <row r="75">
          <cell r="A75">
            <v>885</v>
          </cell>
          <cell r="B75" t="str">
            <v>LAYOUNI</v>
          </cell>
          <cell r="C75" t="str">
            <v>ABDELLATIF</v>
          </cell>
          <cell r="D75" t="str">
            <v>LAYOUNI ABDELLATIF</v>
          </cell>
        </row>
        <row r="76">
          <cell r="A76">
            <v>895</v>
          </cell>
          <cell r="B76" t="str">
            <v>HAMILA</v>
          </cell>
          <cell r="C76" t="str">
            <v>RAFIK</v>
          </cell>
          <cell r="D76" t="str">
            <v>HAMILA RAFIK</v>
          </cell>
        </row>
        <row r="77">
          <cell r="A77">
            <v>903</v>
          </cell>
          <cell r="B77" t="str">
            <v>BEL HADJ ALI</v>
          </cell>
          <cell r="C77" t="str">
            <v>JALEL</v>
          </cell>
          <cell r="D77" t="str">
            <v>BEL HADJ ALI JALEL</v>
          </cell>
        </row>
        <row r="78">
          <cell r="A78">
            <v>907</v>
          </cell>
          <cell r="B78" t="str">
            <v>NOUIRA</v>
          </cell>
          <cell r="C78" t="str">
            <v>KAMEL</v>
          </cell>
          <cell r="D78" t="str">
            <v>NOUIRA KAMEL</v>
          </cell>
        </row>
        <row r="79">
          <cell r="A79">
            <v>908</v>
          </cell>
          <cell r="B79" t="str">
            <v>YOUSSEF</v>
          </cell>
          <cell r="C79" t="str">
            <v>HEDI</v>
          </cell>
          <cell r="D79" t="str">
            <v>YOUSSEF HEDI</v>
          </cell>
        </row>
        <row r="80">
          <cell r="A80">
            <v>913</v>
          </cell>
          <cell r="B80" t="str">
            <v>MAOUA</v>
          </cell>
          <cell r="C80" t="str">
            <v>MED HEDI</v>
          </cell>
          <cell r="D80" t="str">
            <v>MAOUA MED HEDI</v>
          </cell>
        </row>
        <row r="81">
          <cell r="A81">
            <v>915</v>
          </cell>
          <cell r="B81" t="str">
            <v>AMARA</v>
          </cell>
          <cell r="C81" t="str">
            <v>HABIB</v>
          </cell>
          <cell r="D81" t="str">
            <v>AMARA HABIB</v>
          </cell>
        </row>
        <row r="82">
          <cell r="A82">
            <v>919</v>
          </cell>
          <cell r="B82" t="str">
            <v>KARMOUS</v>
          </cell>
          <cell r="C82" t="str">
            <v>TAREK</v>
          </cell>
          <cell r="D82" t="str">
            <v>KARMOUS TAREK</v>
          </cell>
        </row>
        <row r="83">
          <cell r="A83">
            <v>920</v>
          </cell>
          <cell r="B83" t="str">
            <v>BEL HADJ MEFTAH</v>
          </cell>
          <cell r="C83" t="str">
            <v>ABDERRAOUF</v>
          </cell>
          <cell r="D83" t="str">
            <v>BEL HADJ MEFTAH ABDERRAOUF</v>
          </cell>
        </row>
        <row r="84">
          <cell r="A84">
            <v>923</v>
          </cell>
          <cell r="B84" t="str">
            <v>BEN AZIZA</v>
          </cell>
          <cell r="C84" t="str">
            <v>SLAH</v>
          </cell>
          <cell r="D84" t="str">
            <v>BEN AZIZA SLAH</v>
          </cell>
        </row>
        <row r="85">
          <cell r="A85">
            <v>927</v>
          </cell>
          <cell r="B85" t="str">
            <v>ZIDI SAAFI</v>
          </cell>
          <cell r="C85" t="str">
            <v>MUSTAPHA</v>
          </cell>
          <cell r="D85" t="str">
            <v>ZIDI SAAFI MUSTAPHA</v>
          </cell>
        </row>
        <row r="86">
          <cell r="A86">
            <v>931</v>
          </cell>
          <cell r="B86" t="str">
            <v>KRIFA</v>
          </cell>
          <cell r="C86" t="str">
            <v>MOHAMED</v>
          </cell>
          <cell r="D86" t="str">
            <v>KRIFA MOHAMED</v>
          </cell>
        </row>
        <row r="87">
          <cell r="A87">
            <v>933</v>
          </cell>
          <cell r="B87" t="str">
            <v>ACHECH</v>
          </cell>
          <cell r="C87" t="str">
            <v>IMED</v>
          </cell>
          <cell r="D87" t="str">
            <v>ACHECH IMED</v>
          </cell>
        </row>
        <row r="88">
          <cell r="A88">
            <v>935</v>
          </cell>
          <cell r="B88" t="str">
            <v>HAOUAS ZAHOUANI</v>
          </cell>
          <cell r="C88" t="str">
            <v>MOHAMED AMEN</v>
          </cell>
          <cell r="D88" t="str">
            <v>HAOUAS ZAHOUANI MOHAMED AMEN</v>
          </cell>
        </row>
        <row r="89">
          <cell r="A89">
            <v>955</v>
          </cell>
          <cell r="B89" t="str">
            <v>MANSOUR</v>
          </cell>
          <cell r="C89" t="str">
            <v>NABIL</v>
          </cell>
          <cell r="D89" t="str">
            <v>MANSOUR NABIL</v>
          </cell>
        </row>
        <row r="90">
          <cell r="A90">
            <v>957</v>
          </cell>
          <cell r="B90" t="str">
            <v>GAZZAH</v>
          </cell>
          <cell r="C90" t="str">
            <v>NIZAR</v>
          </cell>
          <cell r="D90" t="str">
            <v>GAZZAH NIZAR</v>
          </cell>
        </row>
        <row r="91">
          <cell r="A91">
            <v>958</v>
          </cell>
          <cell r="B91" t="str">
            <v>LAMINE</v>
          </cell>
          <cell r="C91" t="str">
            <v>ABDELAZIZ</v>
          </cell>
          <cell r="D91" t="str">
            <v>LAMINE ABDELAZIZ</v>
          </cell>
        </row>
        <row r="92">
          <cell r="A92">
            <v>961</v>
          </cell>
          <cell r="B92" t="str">
            <v>REGAIEG</v>
          </cell>
          <cell r="C92" t="str">
            <v>HABIB</v>
          </cell>
          <cell r="D92" t="str">
            <v>REGAIEG HABIB</v>
          </cell>
        </row>
        <row r="93">
          <cell r="A93">
            <v>965</v>
          </cell>
          <cell r="B93" t="str">
            <v>BEN FREDJ</v>
          </cell>
          <cell r="C93" t="str">
            <v>ABDELKARIM</v>
          </cell>
          <cell r="D93" t="str">
            <v>BEN FREDJ ABDELKARIM</v>
          </cell>
        </row>
        <row r="94">
          <cell r="A94">
            <v>967</v>
          </cell>
          <cell r="B94" t="str">
            <v>SOUISSI</v>
          </cell>
          <cell r="C94" t="str">
            <v>MOHAMED</v>
          </cell>
          <cell r="D94" t="str">
            <v>SOUISSI MOHAMED</v>
          </cell>
        </row>
        <row r="95">
          <cell r="A95">
            <v>978</v>
          </cell>
          <cell r="B95" t="str">
            <v>GRAIET</v>
          </cell>
          <cell r="C95" t="str">
            <v>ADEL</v>
          </cell>
          <cell r="D95" t="str">
            <v>GRAIET ADEL</v>
          </cell>
        </row>
        <row r="96">
          <cell r="A96">
            <v>986</v>
          </cell>
          <cell r="B96" t="str">
            <v>BOUZIR</v>
          </cell>
          <cell r="C96" t="str">
            <v>SAMIR</v>
          </cell>
          <cell r="D96" t="str">
            <v>BOUZIR SAMIR</v>
          </cell>
        </row>
        <row r="97">
          <cell r="A97">
            <v>990</v>
          </cell>
          <cell r="B97" t="str">
            <v>GARDALLOU</v>
          </cell>
          <cell r="C97" t="str">
            <v>SAMIR</v>
          </cell>
          <cell r="D97" t="str">
            <v>GARDALLOU SAMIR</v>
          </cell>
        </row>
        <row r="98">
          <cell r="A98">
            <v>993</v>
          </cell>
          <cell r="B98" t="str">
            <v>LAADHARI</v>
          </cell>
          <cell r="C98" t="str">
            <v>SALEM</v>
          </cell>
          <cell r="D98" t="str">
            <v>LAADHARI SALEM</v>
          </cell>
        </row>
        <row r="99">
          <cell r="A99">
            <v>997</v>
          </cell>
          <cell r="B99" t="str">
            <v>KOIUISSAH MAHJOUB</v>
          </cell>
          <cell r="C99" t="str">
            <v>SLAH</v>
          </cell>
          <cell r="D99" t="str">
            <v>KOIUISSAH MAHJOUB SLAH</v>
          </cell>
        </row>
        <row r="100">
          <cell r="A100">
            <v>1504</v>
          </cell>
          <cell r="B100" t="str">
            <v>ABBADI</v>
          </cell>
          <cell r="C100" t="str">
            <v>HABIB</v>
          </cell>
          <cell r="D100" t="str">
            <v>ABBADI HABIB</v>
          </cell>
        </row>
        <row r="101">
          <cell r="A101">
            <v>1507</v>
          </cell>
          <cell r="B101" t="str">
            <v>MANSOUR</v>
          </cell>
          <cell r="C101" t="str">
            <v>AHMED</v>
          </cell>
          <cell r="D101" t="str">
            <v>MANSOUR AHMED</v>
          </cell>
        </row>
        <row r="102">
          <cell r="A102">
            <v>1510</v>
          </cell>
          <cell r="B102" t="str">
            <v>GAALOUL</v>
          </cell>
          <cell r="C102" t="str">
            <v>FETHI</v>
          </cell>
          <cell r="D102" t="str">
            <v>GAALOUL FETHI</v>
          </cell>
        </row>
        <row r="103">
          <cell r="A103">
            <v>1511</v>
          </cell>
          <cell r="B103" t="str">
            <v>SOYAH</v>
          </cell>
          <cell r="C103" t="str">
            <v>NEJIB</v>
          </cell>
          <cell r="D103" t="str">
            <v>SOYAH NEJIB</v>
          </cell>
        </row>
        <row r="104">
          <cell r="A104">
            <v>1514</v>
          </cell>
          <cell r="B104" t="str">
            <v>KHELIFI</v>
          </cell>
          <cell r="C104" t="str">
            <v>MOHSEN</v>
          </cell>
          <cell r="D104" t="str">
            <v>KHELIFI MOHSEN</v>
          </cell>
        </row>
        <row r="105">
          <cell r="A105">
            <v>1518</v>
          </cell>
          <cell r="B105" t="str">
            <v>HOUIJ</v>
          </cell>
          <cell r="C105" t="str">
            <v>CHIHEB</v>
          </cell>
          <cell r="D105" t="str">
            <v>HOUIJ CHIHEB</v>
          </cell>
        </row>
        <row r="106">
          <cell r="A106">
            <v>1524</v>
          </cell>
          <cell r="B106" t="str">
            <v>BABAY ROUIS</v>
          </cell>
          <cell r="C106" t="str">
            <v>LOTFI</v>
          </cell>
          <cell r="D106" t="str">
            <v>BABAY ROUIS LOTFI</v>
          </cell>
        </row>
        <row r="107">
          <cell r="A107">
            <v>1525</v>
          </cell>
          <cell r="B107" t="str">
            <v>HAMDAOUI</v>
          </cell>
          <cell r="C107" t="str">
            <v>MOKHTAR</v>
          </cell>
          <cell r="D107" t="str">
            <v>HAMDAOUI MOKHTAR</v>
          </cell>
        </row>
        <row r="108">
          <cell r="A108">
            <v>1526</v>
          </cell>
          <cell r="B108" t="str">
            <v>SASSI</v>
          </cell>
          <cell r="C108" t="str">
            <v>ZOUHAIER</v>
          </cell>
          <cell r="D108" t="str">
            <v>SASSI ZOUHAIER</v>
          </cell>
        </row>
        <row r="109">
          <cell r="A109">
            <v>1530</v>
          </cell>
          <cell r="B109" t="str">
            <v>MAHJOUB</v>
          </cell>
          <cell r="C109" t="str">
            <v>KHALED</v>
          </cell>
          <cell r="D109" t="str">
            <v>MAHJOUB KHALED</v>
          </cell>
        </row>
        <row r="110">
          <cell r="A110">
            <v>1535</v>
          </cell>
          <cell r="B110" t="str">
            <v>ROUIS</v>
          </cell>
          <cell r="C110" t="str">
            <v>LOTFI</v>
          </cell>
          <cell r="D110" t="str">
            <v>ROUIS LOTFI</v>
          </cell>
        </row>
        <row r="111">
          <cell r="A111">
            <v>1541</v>
          </cell>
          <cell r="B111" t="str">
            <v>MAHJOUB</v>
          </cell>
          <cell r="C111" t="str">
            <v>MOUNIR</v>
          </cell>
          <cell r="D111" t="str">
            <v>MAHJOUB MOUNIR</v>
          </cell>
        </row>
        <row r="112">
          <cell r="A112">
            <v>1542</v>
          </cell>
          <cell r="B112" t="str">
            <v>MABROUK</v>
          </cell>
          <cell r="C112" t="str">
            <v>JAMEL</v>
          </cell>
          <cell r="D112" t="str">
            <v>MABROUK JAMEL</v>
          </cell>
        </row>
        <row r="113">
          <cell r="A113">
            <v>1548</v>
          </cell>
          <cell r="B113" t="str">
            <v>YOUSSEF</v>
          </cell>
          <cell r="C113" t="str">
            <v>WAHID</v>
          </cell>
          <cell r="D113" t="str">
            <v>YOUSSEF WAHID</v>
          </cell>
        </row>
        <row r="114">
          <cell r="A114">
            <v>1549</v>
          </cell>
          <cell r="B114" t="str">
            <v>GUERRIDA</v>
          </cell>
          <cell r="C114" t="str">
            <v>JAOUHAR</v>
          </cell>
          <cell r="D114" t="str">
            <v>GUERRIDA JAOUHAR</v>
          </cell>
        </row>
        <row r="115">
          <cell r="A115">
            <v>1553</v>
          </cell>
          <cell r="B115" t="str">
            <v>BOUNEB</v>
          </cell>
          <cell r="C115" t="str">
            <v>MOHAMED</v>
          </cell>
          <cell r="D115" t="str">
            <v>BOUNEB MOHAMED</v>
          </cell>
        </row>
        <row r="116">
          <cell r="A116">
            <v>1555</v>
          </cell>
          <cell r="B116" t="str">
            <v>FHIMA</v>
          </cell>
          <cell r="C116" t="str">
            <v>HAMDI</v>
          </cell>
          <cell r="D116" t="str">
            <v>FHIMA HAMDI</v>
          </cell>
        </row>
        <row r="117">
          <cell r="A117">
            <v>1556</v>
          </cell>
          <cell r="B117" t="str">
            <v>LOGHMARI</v>
          </cell>
          <cell r="C117" t="str">
            <v>KHELIL</v>
          </cell>
          <cell r="D117" t="str">
            <v>LOGHMARI KHELIL</v>
          </cell>
        </row>
        <row r="118">
          <cell r="A118">
            <v>1558</v>
          </cell>
          <cell r="B118" t="str">
            <v>DRIDI</v>
          </cell>
          <cell r="C118" t="str">
            <v>KARIM</v>
          </cell>
          <cell r="D118" t="str">
            <v>DRIDI KARIM</v>
          </cell>
        </row>
        <row r="119">
          <cell r="A119">
            <v>1559</v>
          </cell>
          <cell r="B119" t="str">
            <v>BEN KHELIFA</v>
          </cell>
          <cell r="C119" t="str">
            <v>MED FREDJ</v>
          </cell>
          <cell r="D119" t="str">
            <v>BEN KHELIFA MED FREDJ</v>
          </cell>
        </row>
        <row r="120">
          <cell r="A120">
            <v>1561</v>
          </cell>
          <cell r="B120" t="str">
            <v>JMEGUER</v>
          </cell>
          <cell r="C120" t="str">
            <v>SAMI</v>
          </cell>
          <cell r="D120" t="str">
            <v>JMEGUER SAMI</v>
          </cell>
        </row>
        <row r="121">
          <cell r="A121">
            <v>1569</v>
          </cell>
          <cell r="B121" t="str">
            <v>BETTAIEB</v>
          </cell>
          <cell r="C121" t="str">
            <v>MOULDI</v>
          </cell>
          <cell r="D121" t="str">
            <v>BETTAIEB MOULDI</v>
          </cell>
        </row>
        <row r="122">
          <cell r="A122">
            <v>1572</v>
          </cell>
          <cell r="B122" t="str">
            <v>MIMOUNA</v>
          </cell>
          <cell r="C122" t="str">
            <v>MEHDI</v>
          </cell>
          <cell r="D122" t="str">
            <v>MIMOUNA MEHDI</v>
          </cell>
        </row>
        <row r="123">
          <cell r="A123">
            <v>1573</v>
          </cell>
          <cell r="B123" t="str">
            <v>SALLAH</v>
          </cell>
          <cell r="C123" t="str">
            <v>IMED</v>
          </cell>
          <cell r="D123" t="str">
            <v>SALLAH IMED</v>
          </cell>
        </row>
        <row r="124">
          <cell r="A124">
            <v>1575</v>
          </cell>
          <cell r="B124" t="str">
            <v>BEN ABDELJELIL</v>
          </cell>
          <cell r="C124" t="str">
            <v>ZOUHAIER</v>
          </cell>
          <cell r="D124" t="str">
            <v>BEN ABDELJELIL ZOUHAIER</v>
          </cell>
        </row>
        <row r="125">
          <cell r="A125">
            <v>1580</v>
          </cell>
          <cell r="B125" t="str">
            <v>ZARRAA</v>
          </cell>
          <cell r="C125" t="str">
            <v>MOHAMED</v>
          </cell>
          <cell r="D125" t="str">
            <v>ZARRAA MOHAMED</v>
          </cell>
        </row>
        <row r="126">
          <cell r="A126">
            <v>1589</v>
          </cell>
          <cell r="B126" t="str">
            <v>BAYA</v>
          </cell>
          <cell r="C126" t="str">
            <v>ADEL</v>
          </cell>
          <cell r="D126" t="str">
            <v>BAYA ADEL</v>
          </cell>
        </row>
        <row r="127">
          <cell r="A127">
            <v>1590</v>
          </cell>
          <cell r="B127" t="str">
            <v>ABDELLAH</v>
          </cell>
          <cell r="C127" t="str">
            <v>HASSINE</v>
          </cell>
          <cell r="D127" t="str">
            <v>ABDELLAH HASSINE</v>
          </cell>
        </row>
        <row r="128">
          <cell r="A128">
            <v>1591</v>
          </cell>
          <cell r="B128" t="str">
            <v>BDAY</v>
          </cell>
          <cell r="C128" t="str">
            <v>KARIM</v>
          </cell>
          <cell r="D128" t="str">
            <v>BDAY KARIM</v>
          </cell>
        </row>
        <row r="129">
          <cell r="A129">
            <v>1594</v>
          </cell>
          <cell r="B129" t="str">
            <v>MKHININI</v>
          </cell>
          <cell r="C129" t="str">
            <v>HABIB</v>
          </cell>
          <cell r="D129" t="str">
            <v>MKHININI HABIB</v>
          </cell>
        </row>
        <row r="130">
          <cell r="A130">
            <v>1595</v>
          </cell>
          <cell r="B130" t="str">
            <v>BEN SALEM</v>
          </cell>
          <cell r="C130" t="str">
            <v>FETHI</v>
          </cell>
          <cell r="D130" t="str">
            <v>BEN SALEM FETHI</v>
          </cell>
        </row>
        <row r="131">
          <cell r="A131">
            <v>1596</v>
          </cell>
          <cell r="B131" t="str">
            <v>GORCHENE</v>
          </cell>
          <cell r="C131" t="str">
            <v>NOUREDDINE</v>
          </cell>
          <cell r="D131" t="str">
            <v>GORCHENE NOUREDDINE</v>
          </cell>
        </row>
        <row r="132">
          <cell r="A132">
            <v>1597</v>
          </cell>
          <cell r="B132" t="str">
            <v>AMARA</v>
          </cell>
          <cell r="C132" t="str">
            <v>KARIM</v>
          </cell>
          <cell r="D132" t="str">
            <v>AMARA KARIM</v>
          </cell>
        </row>
        <row r="133">
          <cell r="A133">
            <v>1598</v>
          </cell>
          <cell r="B133" t="str">
            <v>SOUILEM</v>
          </cell>
          <cell r="C133" t="str">
            <v>FAKER</v>
          </cell>
          <cell r="D133" t="str">
            <v>SOUILEM FAKER</v>
          </cell>
        </row>
        <row r="134">
          <cell r="A134">
            <v>1599</v>
          </cell>
          <cell r="B134" t="str">
            <v>CHANTOU JMEGUER</v>
          </cell>
          <cell r="C134" t="str">
            <v>ADEL</v>
          </cell>
          <cell r="D134" t="str">
            <v>CHANTOU JMEGUER ADEL</v>
          </cell>
        </row>
        <row r="135">
          <cell r="A135">
            <v>1600</v>
          </cell>
          <cell r="B135" t="str">
            <v>MAOUA</v>
          </cell>
          <cell r="C135" t="str">
            <v>MOHAMED</v>
          </cell>
          <cell r="D135" t="str">
            <v>MAOUA MOHAMED</v>
          </cell>
        </row>
        <row r="136">
          <cell r="A136">
            <v>1601</v>
          </cell>
          <cell r="B136" t="str">
            <v>BOUKADIDA</v>
          </cell>
          <cell r="C136" t="str">
            <v>JAMEL</v>
          </cell>
          <cell r="D136" t="str">
            <v>BOUKADIDA JAMEL</v>
          </cell>
        </row>
        <row r="137">
          <cell r="A137">
            <v>1602</v>
          </cell>
          <cell r="B137" t="str">
            <v>MAMIA</v>
          </cell>
          <cell r="C137" t="str">
            <v>RAMZI</v>
          </cell>
          <cell r="D137" t="str">
            <v>MAMIA RAMZI</v>
          </cell>
        </row>
        <row r="138">
          <cell r="A138">
            <v>1603</v>
          </cell>
          <cell r="B138" t="str">
            <v>MANSOUR</v>
          </cell>
          <cell r="C138" t="str">
            <v>SALHA</v>
          </cell>
          <cell r="D138" t="str">
            <v>MANSOUR SALHA</v>
          </cell>
        </row>
        <row r="139">
          <cell r="A139">
            <v>1610</v>
          </cell>
          <cell r="B139" t="str">
            <v>BOUARGOUB</v>
          </cell>
          <cell r="C139" t="str">
            <v>KARIM</v>
          </cell>
          <cell r="D139" t="str">
            <v>BOUARGOUB KARIM</v>
          </cell>
        </row>
        <row r="140">
          <cell r="A140">
            <v>1611</v>
          </cell>
          <cell r="B140" t="str">
            <v>ATTIA</v>
          </cell>
          <cell r="C140" t="str">
            <v>KAMEL</v>
          </cell>
          <cell r="D140" t="str">
            <v>ATTIA KAMEL</v>
          </cell>
        </row>
        <row r="141">
          <cell r="A141">
            <v>1612</v>
          </cell>
          <cell r="B141" t="str">
            <v>LADHERI</v>
          </cell>
          <cell r="C141" t="str">
            <v>NAJEH</v>
          </cell>
          <cell r="D141" t="str">
            <v>LADHERI NAJEH</v>
          </cell>
        </row>
        <row r="142">
          <cell r="A142">
            <v>1614</v>
          </cell>
          <cell r="B142" t="str">
            <v>JMEGUER</v>
          </cell>
          <cell r="C142" t="str">
            <v>CHERIF</v>
          </cell>
          <cell r="D142" t="str">
            <v>JMEGUER CHERIF</v>
          </cell>
        </row>
        <row r="143">
          <cell r="A143">
            <v>1615</v>
          </cell>
          <cell r="B143" t="str">
            <v>EL GARES</v>
          </cell>
          <cell r="C143" t="str">
            <v>MONIA</v>
          </cell>
          <cell r="D143" t="str">
            <v>EL GARES MONIA</v>
          </cell>
        </row>
        <row r="144">
          <cell r="A144">
            <v>1616</v>
          </cell>
          <cell r="B144" t="str">
            <v>MOUSSA</v>
          </cell>
          <cell r="C144" t="str">
            <v>FETHI</v>
          </cell>
          <cell r="D144" t="str">
            <v>MOUSSA FETHI</v>
          </cell>
        </row>
        <row r="145">
          <cell r="A145">
            <v>1617</v>
          </cell>
          <cell r="B145" t="str">
            <v>BEN BEKRI</v>
          </cell>
          <cell r="C145" t="str">
            <v>MONCEF</v>
          </cell>
          <cell r="D145" t="str">
            <v>BEN BEKRI MONCEF</v>
          </cell>
        </row>
        <row r="146">
          <cell r="A146">
            <v>1618</v>
          </cell>
          <cell r="B146" t="str">
            <v>SLAMA</v>
          </cell>
          <cell r="C146" t="str">
            <v>MAHER</v>
          </cell>
          <cell r="D146" t="str">
            <v>SLAMA MAHER</v>
          </cell>
        </row>
        <row r="147">
          <cell r="A147">
            <v>1619</v>
          </cell>
          <cell r="B147" t="str">
            <v>CHTIOUI</v>
          </cell>
          <cell r="C147" t="str">
            <v>FETHI</v>
          </cell>
          <cell r="D147" t="str">
            <v>CHTIOUI FETHI</v>
          </cell>
        </row>
        <row r="148">
          <cell r="A148">
            <v>1621</v>
          </cell>
          <cell r="B148" t="str">
            <v>BEN HASSINE</v>
          </cell>
          <cell r="C148" t="str">
            <v>WASSEF</v>
          </cell>
          <cell r="D148" t="str">
            <v>BEN HASSINE WASSEF</v>
          </cell>
        </row>
        <row r="149">
          <cell r="A149">
            <v>1625</v>
          </cell>
          <cell r="B149" t="str">
            <v>HAMILA</v>
          </cell>
          <cell r="C149" t="str">
            <v>SAMIR</v>
          </cell>
          <cell r="D149" t="str">
            <v>HAMILA SAMIR</v>
          </cell>
        </row>
        <row r="150">
          <cell r="A150">
            <v>1626</v>
          </cell>
          <cell r="B150" t="str">
            <v>CHAARANA</v>
          </cell>
          <cell r="C150" t="str">
            <v>MOHAMED</v>
          </cell>
          <cell r="D150" t="str">
            <v>CHAARANA MOHAMED</v>
          </cell>
        </row>
        <row r="151">
          <cell r="A151">
            <v>1633</v>
          </cell>
          <cell r="B151" t="str">
            <v>ROMDHANE</v>
          </cell>
          <cell r="C151" t="str">
            <v>HEDI</v>
          </cell>
          <cell r="D151" t="str">
            <v>ROMDHANE HEDI</v>
          </cell>
        </row>
        <row r="152">
          <cell r="A152">
            <v>1634</v>
          </cell>
          <cell r="B152" t="str">
            <v>BEN AMOR</v>
          </cell>
          <cell r="C152" t="str">
            <v>RIADH</v>
          </cell>
          <cell r="D152" t="str">
            <v>BEN AMOR RIADH</v>
          </cell>
        </row>
        <row r="153">
          <cell r="A153">
            <v>1638</v>
          </cell>
          <cell r="B153" t="str">
            <v>ROMDHANE</v>
          </cell>
          <cell r="C153" t="str">
            <v>NAJEH</v>
          </cell>
          <cell r="D153" t="str">
            <v>ROMDHANE NAJEH</v>
          </cell>
        </row>
        <row r="154">
          <cell r="A154">
            <v>1639</v>
          </cell>
          <cell r="B154" t="str">
            <v>ZBIDI</v>
          </cell>
          <cell r="C154" t="str">
            <v>FAKHER</v>
          </cell>
          <cell r="D154" t="str">
            <v>ZBIDI FAKHER</v>
          </cell>
        </row>
        <row r="155">
          <cell r="A155">
            <v>1643</v>
          </cell>
          <cell r="B155" t="str">
            <v>HALLEB</v>
          </cell>
          <cell r="C155" t="str">
            <v>SALAH</v>
          </cell>
          <cell r="D155" t="str">
            <v>HALLEB SALAH</v>
          </cell>
        </row>
        <row r="156">
          <cell r="A156">
            <v>1644</v>
          </cell>
          <cell r="B156" t="str">
            <v>CHANTOU JMEGUER</v>
          </cell>
          <cell r="C156" t="str">
            <v>LOTFI</v>
          </cell>
          <cell r="D156" t="str">
            <v>CHANTOU JMEGUER LOTFI</v>
          </cell>
        </row>
        <row r="157">
          <cell r="A157">
            <v>1650</v>
          </cell>
          <cell r="B157" t="str">
            <v>OUAJA</v>
          </cell>
          <cell r="C157" t="str">
            <v>RAOUF</v>
          </cell>
          <cell r="D157" t="str">
            <v>OUAJA RAOUF</v>
          </cell>
        </row>
        <row r="158">
          <cell r="A158">
            <v>1651</v>
          </cell>
          <cell r="B158" t="str">
            <v>BEL HADJ</v>
          </cell>
          <cell r="C158" t="str">
            <v>MOHAMED</v>
          </cell>
          <cell r="D158" t="str">
            <v>BEL HADJ MOHAMED</v>
          </cell>
        </row>
        <row r="159">
          <cell r="A159">
            <v>1652</v>
          </cell>
          <cell r="B159" t="str">
            <v>BEN ABDALLAH</v>
          </cell>
          <cell r="C159" t="str">
            <v>KHELIL</v>
          </cell>
          <cell r="D159" t="str">
            <v>BEN ABDALLAH KHELIL</v>
          </cell>
        </row>
        <row r="160">
          <cell r="A160">
            <v>1657</v>
          </cell>
          <cell r="B160" t="str">
            <v>BELLALOUNA</v>
          </cell>
          <cell r="C160" t="str">
            <v>NIDHAL</v>
          </cell>
          <cell r="D160" t="str">
            <v>BELLALOUNA NIDHAL</v>
          </cell>
        </row>
        <row r="161">
          <cell r="A161">
            <v>1658</v>
          </cell>
          <cell r="B161" t="str">
            <v>SLAMA</v>
          </cell>
          <cell r="C161" t="str">
            <v>MOUNIR</v>
          </cell>
          <cell r="D161" t="str">
            <v>SLAMA MOUNIR</v>
          </cell>
        </row>
        <row r="162">
          <cell r="A162">
            <v>1659</v>
          </cell>
          <cell r="B162" t="str">
            <v>BEN ABDALLAH</v>
          </cell>
          <cell r="C162" t="str">
            <v>FAOUZI</v>
          </cell>
          <cell r="D162" t="str">
            <v>BEN ABDALLAH FAOUZI</v>
          </cell>
        </row>
        <row r="163">
          <cell r="A163">
            <v>1662</v>
          </cell>
          <cell r="B163" t="str">
            <v>BEN SAAD</v>
          </cell>
          <cell r="C163" t="str">
            <v>ZIED</v>
          </cell>
          <cell r="D163" t="str">
            <v>BEN SAAD ZIED</v>
          </cell>
        </row>
        <row r="164">
          <cell r="A164">
            <v>1663</v>
          </cell>
          <cell r="B164" t="str">
            <v>ACHOUR</v>
          </cell>
          <cell r="C164" t="str">
            <v>NAOUFEL</v>
          </cell>
          <cell r="D164" t="str">
            <v>ACHOUR NAOUFEL</v>
          </cell>
        </row>
        <row r="165">
          <cell r="A165">
            <v>1664</v>
          </cell>
          <cell r="B165" t="str">
            <v>BEN SAOUD</v>
          </cell>
          <cell r="C165" t="str">
            <v>SOFIANE</v>
          </cell>
          <cell r="D165" t="str">
            <v>BEN SAOUD SOFIANE</v>
          </cell>
        </row>
        <row r="166">
          <cell r="A166">
            <v>1665</v>
          </cell>
          <cell r="B166" t="str">
            <v>BOUHLEL</v>
          </cell>
          <cell r="C166" t="str">
            <v>ANIS</v>
          </cell>
          <cell r="D166" t="str">
            <v>BOUHLEL ANIS</v>
          </cell>
        </row>
        <row r="167">
          <cell r="A167">
            <v>1666</v>
          </cell>
          <cell r="B167" t="str">
            <v>BOUZIR</v>
          </cell>
          <cell r="C167" t="str">
            <v>SAHBI</v>
          </cell>
          <cell r="D167" t="str">
            <v>BOUZIR SAHBI</v>
          </cell>
        </row>
        <row r="168">
          <cell r="A168">
            <v>1667</v>
          </cell>
          <cell r="B168" t="str">
            <v>MRIZEK</v>
          </cell>
          <cell r="C168" t="str">
            <v>TAOUFIK</v>
          </cell>
          <cell r="D168" t="str">
            <v>MRIZEK TAOUFIK</v>
          </cell>
        </row>
        <row r="169">
          <cell r="A169">
            <v>1668</v>
          </cell>
          <cell r="B169" t="str">
            <v>BOUGADDOUHA</v>
          </cell>
          <cell r="C169" t="str">
            <v>MOURAD</v>
          </cell>
          <cell r="D169" t="str">
            <v>BOUGADDOUHA MOURAD</v>
          </cell>
        </row>
        <row r="170">
          <cell r="A170">
            <v>1671</v>
          </cell>
          <cell r="B170" t="str">
            <v>EL BACH</v>
          </cell>
          <cell r="C170" t="str">
            <v>ADEL</v>
          </cell>
          <cell r="D170" t="str">
            <v>EL BACH ADEL</v>
          </cell>
        </row>
        <row r="171">
          <cell r="A171">
            <v>1673</v>
          </cell>
          <cell r="B171" t="str">
            <v>ABBASSI</v>
          </cell>
          <cell r="C171" t="str">
            <v>MONDHER</v>
          </cell>
          <cell r="D171" t="str">
            <v>ABBASSI MONDHER</v>
          </cell>
        </row>
        <row r="172">
          <cell r="A172">
            <v>1676</v>
          </cell>
          <cell r="B172" t="str">
            <v>GUELLIM</v>
          </cell>
          <cell r="C172" t="str">
            <v>FETHI</v>
          </cell>
          <cell r="D172" t="str">
            <v>GUELLIM FETHI</v>
          </cell>
        </row>
        <row r="173">
          <cell r="A173">
            <v>1677</v>
          </cell>
          <cell r="B173" t="str">
            <v>HADJ AMMAR</v>
          </cell>
          <cell r="C173" t="str">
            <v>BRAHIM</v>
          </cell>
          <cell r="D173" t="str">
            <v>HADJ AMMAR BRAHIM</v>
          </cell>
        </row>
        <row r="174">
          <cell r="A174">
            <v>1679</v>
          </cell>
          <cell r="B174" t="str">
            <v>YOUSSEF</v>
          </cell>
          <cell r="C174" t="str">
            <v>ADEM</v>
          </cell>
          <cell r="D174" t="str">
            <v>YOUSSEF ADEM</v>
          </cell>
        </row>
        <row r="175">
          <cell r="A175">
            <v>1680</v>
          </cell>
          <cell r="B175" t="str">
            <v>SASSI</v>
          </cell>
          <cell r="C175" t="str">
            <v>WALID</v>
          </cell>
          <cell r="D175" t="str">
            <v>SASSI WALID</v>
          </cell>
        </row>
        <row r="176">
          <cell r="A176">
            <v>1681</v>
          </cell>
          <cell r="B176" t="str">
            <v>HAMILA</v>
          </cell>
          <cell r="C176" t="str">
            <v>NEBIL</v>
          </cell>
          <cell r="D176" t="str">
            <v>HAMILA NEBIL</v>
          </cell>
        </row>
        <row r="177">
          <cell r="A177">
            <v>1682</v>
          </cell>
          <cell r="B177" t="str">
            <v>LASSOUAD</v>
          </cell>
          <cell r="C177" t="str">
            <v>ABDELJELIL</v>
          </cell>
          <cell r="D177" t="str">
            <v>LASSOUAD ABDELJELIL</v>
          </cell>
        </row>
        <row r="178">
          <cell r="A178">
            <v>1683</v>
          </cell>
          <cell r="B178" t="str">
            <v>HEDHILI</v>
          </cell>
          <cell r="C178" t="str">
            <v>MOHAMED</v>
          </cell>
          <cell r="D178" t="str">
            <v>HEDHILI MOHAMED</v>
          </cell>
        </row>
        <row r="179">
          <cell r="A179">
            <v>1685</v>
          </cell>
          <cell r="B179" t="str">
            <v>MAHJOUB</v>
          </cell>
          <cell r="C179" t="str">
            <v>MOHAMED KARIM</v>
          </cell>
          <cell r="D179" t="str">
            <v>MAHJOUB MOHAMED KARIM</v>
          </cell>
        </row>
        <row r="180">
          <cell r="A180">
            <v>1687</v>
          </cell>
          <cell r="B180" t="str">
            <v>LACHHAB</v>
          </cell>
          <cell r="C180" t="str">
            <v>SAHBI</v>
          </cell>
          <cell r="D180" t="str">
            <v>LACHHAB SAHBI</v>
          </cell>
        </row>
        <row r="181">
          <cell r="A181">
            <v>1688</v>
          </cell>
          <cell r="B181" t="str">
            <v>BEN ABDELJELIL</v>
          </cell>
          <cell r="C181" t="str">
            <v>MED ANIS</v>
          </cell>
          <cell r="D181" t="str">
            <v>BEN ABDELJELIL MED ANIS</v>
          </cell>
        </row>
        <row r="182">
          <cell r="A182">
            <v>1689</v>
          </cell>
          <cell r="B182" t="str">
            <v>GRAA</v>
          </cell>
          <cell r="C182" t="str">
            <v>SKANDER</v>
          </cell>
          <cell r="D182" t="str">
            <v>GRAA SKANDER</v>
          </cell>
        </row>
        <row r="183">
          <cell r="A183">
            <v>1691</v>
          </cell>
          <cell r="B183" t="str">
            <v>GADHI</v>
          </cell>
          <cell r="C183" t="str">
            <v>MOHAMED</v>
          </cell>
          <cell r="D183" t="str">
            <v>GADHI MOHAMED</v>
          </cell>
        </row>
        <row r="184">
          <cell r="A184">
            <v>1693</v>
          </cell>
          <cell r="B184" t="str">
            <v>REBAI</v>
          </cell>
          <cell r="C184" t="str">
            <v>MOHAMED</v>
          </cell>
          <cell r="D184" t="str">
            <v>REBAI MOHAMED</v>
          </cell>
        </row>
        <row r="185">
          <cell r="A185">
            <v>1694</v>
          </cell>
          <cell r="B185" t="str">
            <v>ZRELLI</v>
          </cell>
          <cell r="C185" t="str">
            <v>KHALED</v>
          </cell>
          <cell r="D185" t="str">
            <v>ZRELLI KHALED</v>
          </cell>
        </row>
        <row r="186">
          <cell r="A186">
            <v>1695</v>
          </cell>
          <cell r="B186" t="str">
            <v>BEN AROUS</v>
          </cell>
          <cell r="C186" t="str">
            <v>FOUED</v>
          </cell>
          <cell r="D186" t="str">
            <v>BEN AROUS FOUED</v>
          </cell>
        </row>
        <row r="187">
          <cell r="A187">
            <v>1698</v>
          </cell>
          <cell r="B187" t="str">
            <v>BEL HADJ</v>
          </cell>
          <cell r="C187" t="str">
            <v>NABIL</v>
          </cell>
          <cell r="D187" t="str">
            <v>BEL HADJ NABIL</v>
          </cell>
        </row>
        <row r="188">
          <cell r="A188">
            <v>1699</v>
          </cell>
          <cell r="B188" t="str">
            <v>BEJAOUI</v>
          </cell>
          <cell r="C188" t="str">
            <v>NEBIL</v>
          </cell>
          <cell r="D188" t="str">
            <v>BEJAOUI NEBIL</v>
          </cell>
        </row>
        <row r="189">
          <cell r="A189">
            <v>1701</v>
          </cell>
          <cell r="B189" t="str">
            <v>SASSI</v>
          </cell>
          <cell r="C189" t="str">
            <v>KARIM</v>
          </cell>
          <cell r="D189" t="str">
            <v>SASSI KARIM</v>
          </cell>
        </row>
        <row r="190">
          <cell r="A190">
            <v>1702</v>
          </cell>
          <cell r="B190" t="str">
            <v>JAIET</v>
          </cell>
          <cell r="C190" t="str">
            <v>WALID</v>
          </cell>
          <cell r="D190" t="str">
            <v>JAIET WALID</v>
          </cell>
        </row>
        <row r="191">
          <cell r="A191">
            <v>1703</v>
          </cell>
          <cell r="B191" t="str">
            <v>EL GARES</v>
          </cell>
          <cell r="C191" t="str">
            <v>BRAHIM</v>
          </cell>
          <cell r="D191" t="str">
            <v>EL GARES BRAHIM</v>
          </cell>
        </row>
        <row r="192">
          <cell r="A192">
            <v>1704</v>
          </cell>
          <cell r="B192" t="str">
            <v>EL GAZZAH</v>
          </cell>
          <cell r="C192" t="str">
            <v>RIADH</v>
          </cell>
          <cell r="D192" t="str">
            <v>EL GAZZAH RIADH</v>
          </cell>
        </row>
        <row r="193">
          <cell r="A193">
            <v>1706</v>
          </cell>
          <cell r="B193" t="str">
            <v>GRIRA LOKHDHIRI</v>
          </cell>
          <cell r="C193" t="str">
            <v>FREDJ</v>
          </cell>
          <cell r="D193" t="str">
            <v>GRIRA LOKHDHIRI FREDJ</v>
          </cell>
        </row>
        <row r="194">
          <cell r="A194">
            <v>1707</v>
          </cell>
          <cell r="B194" t="str">
            <v>MKHININI</v>
          </cell>
          <cell r="C194" t="str">
            <v>MOHAMED BEN SALAH</v>
          </cell>
          <cell r="D194" t="str">
            <v>MKHININI MOHAMED BEN SALAH</v>
          </cell>
        </row>
        <row r="195">
          <cell r="A195">
            <v>1708</v>
          </cell>
          <cell r="B195" t="str">
            <v>EL HOTMANI</v>
          </cell>
          <cell r="C195" t="str">
            <v>SAMI</v>
          </cell>
          <cell r="D195" t="str">
            <v>EL HOTMANI SAMI</v>
          </cell>
        </row>
        <row r="196">
          <cell r="A196">
            <v>1709</v>
          </cell>
          <cell r="B196" t="str">
            <v>MAJDOUB</v>
          </cell>
          <cell r="C196" t="str">
            <v>SAMI</v>
          </cell>
          <cell r="D196" t="str">
            <v>MAJDOUB SAMI</v>
          </cell>
        </row>
        <row r="197">
          <cell r="A197">
            <v>1710</v>
          </cell>
          <cell r="B197" t="str">
            <v>AYADI</v>
          </cell>
          <cell r="C197" t="str">
            <v>NEBIL</v>
          </cell>
          <cell r="D197" t="str">
            <v>AYADI NEBIL</v>
          </cell>
        </row>
        <row r="198">
          <cell r="A198">
            <v>1711</v>
          </cell>
          <cell r="B198" t="str">
            <v>BEN ISMAIL</v>
          </cell>
          <cell r="C198" t="str">
            <v>HOSNI</v>
          </cell>
          <cell r="D198" t="str">
            <v>BEN ISMAIL HOSNI</v>
          </cell>
        </row>
        <row r="199">
          <cell r="A199">
            <v>1712</v>
          </cell>
          <cell r="B199" t="str">
            <v>MKHININI ZAATOUT</v>
          </cell>
          <cell r="C199" t="str">
            <v>MOHAMED</v>
          </cell>
          <cell r="D199" t="str">
            <v>MKHININI ZAATOUT MOHAMED</v>
          </cell>
        </row>
        <row r="200">
          <cell r="A200">
            <v>1714</v>
          </cell>
          <cell r="B200" t="str">
            <v>MATHLOUTHI</v>
          </cell>
          <cell r="C200" t="str">
            <v>MONDHER</v>
          </cell>
          <cell r="D200" t="str">
            <v>MATHLOUTHI MONDHER</v>
          </cell>
        </row>
        <row r="201">
          <cell r="A201">
            <v>1721</v>
          </cell>
          <cell r="B201" t="str">
            <v>CHAARANA</v>
          </cell>
          <cell r="C201" t="str">
            <v>ABDELKERIM</v>
          </cell>
          <cell r="D201" t="str">
            <v>CHAARANA ABDELKERIM</v>
          </cell>
        </row>
        <row r="202">
          <cell r="A202">
            <v>1723</v>
          </cell>
          <cell r="B202" t="str">
            <v>BAYA</v>
          </cell>
          <cell r="C202" t="str">
            <v>MEHDI</v>
          </cell>
          <cell r="D202" t="str">
            <v>BAYA MEHDI</v>
          </cell>
        </row>
        <row r="203">
          <cell r="A203">
            <v>1724</v>
          </cell>
          <cell r="B203" t="str">
            <v>KAIBI</v>
          </cell>
          <cell r="C203" t="str">
            <v>ANIS</v>
          </cell>
          <cell r="D203" t="str">
            <v>KAIBI ANIS</v>
          </cell>
        </row>
        <row r="204">
          <cell r="A204">
            <v>1726</v>
          </cell>
          <cell r="B204" t="str">
            <v>BEN FREDJ</v>
          </cell>
          <cell r="C204" t="str">
            <v>NOUREDDINE</v>
          </cell>
          <cell r="D204" t="str">
            <v>BEN FREDJ NOUREDDINE</v>
          </cell>
        </row>
        <row r="205">
          <cell r="A205">
            <v>1728</v>
          </cell>
          <cell r="B205" t="str">
            <v>SLAMA</v>
          </cell>
          <cell r="C205" t="str">
            <v>DHAFER</v>
          </cell>
          <cell r="D205" t="str">
            <v>SLAMA DHAFER</v>
          </cell>
        </row>
        <row r="206">
          <cell r="A206">
            <v>1730</v>
          </cell>
          <cell r="B206" t="str">
            <v>BEN SALMA</v>
          </cell>
          <cell r="C206" t="str">
            <v>ANIS</v>
          </cell>
          <cell r="D206" t="str">
            <v>BEN SALMA ANIS</v>
          </cell>
        </row>
        <row r="207">
          <cell r="A207">
            <v>1733</v>
          </cell>
          <cell r="B207" t="str">
            <v>BEN ABDELJELIL</v>
          </cell>
          <cell r="C207" t="str">
            <v>MED RIDHA</v>
          </cell>
          <cell r="D207" t="str">
            <v>BEN ABDELJELIL MED RIDHA</v>
          </cell>
        </row>
        <row r="208">
          <cell r="A208">
            <v>1735</v>
          </cell>
          <cell r="B208" t="str">
            <v>SAKKA ROUIS</v>
          </cell>
          <cell r="C208" t="str">
            <v>MED HAFEDH</v>
          </cell>
          <cell r="D208" t="str">
            <v>SAKKA ROUIS MED HAFEDH</v>
          </cell>
        </row>
        <row r="209">
          <cell r="A209">
            <v>1737</v>
          </cell>
          <cell r="B209" t="str">
            <v>ALOUANE</v>
          </cell>
          <cell r="C209" t="str">
            <v>ABDELKERIM</v>
          </cell>
          <cell r="D209" t="str">
            <v>ALOUANE ABDELKERIM</v>
          </cell>
        </row>
        <row r="210">
          <cell r="A210">
            <v>1738</v>
          </cell>
          <cell r="B210" t="str">
            <v>GAMHA</v>
          </cell>
          <cell r="C210" t="str">
            <v>KHALED</v>
          </cell>
          <cell r="D210" t="str">
            <v>GAMHA KHALED</v>
          </cell>
        </row>
        <row r="211">
          <cell r="A211">
            <v>1739</v>
          </cell>
          <cell r="B211" t="str">
            <v>ENGAZZOU</v>
          </cell>
          <cell r="C211" t="str">
            <v>SLAHEDDINE</v>
          </cell>
          <cell r="D211" t="str">
            <v>ENGAZZOU SLAHEDDINE</v>
          </cell>
        </row>
        <row r="212">
          <cell r="A212">
            <v>1740</v>
          </cell>
          <cell r="B212" t="str">
            <v>YOUSSEF</v>
          </cell>
          <cell r="C212" t="str">
            <v>LOTFI</v>
          </cell>
          <cell r="D212" t="str">
            <v>YOUSSEF LOTFI</v>
          </cell>
        </row>
        <row r="213">
          <cell r="A213">
            <v>1741</v>
          </cell>
          <cell r="B213" t="str">
            <v>HACHICHA</v>
          </cell>
          <cell r="C213" t="str">
            <v>ZIED</v>
          </cell>
          <cell r="D213" t="str">
            <v>HACHICHA ZIED</v>
          </cell>
        </row>
        <row r="214">
          <cell r="A214">
            <v>1742</v>
          </cell>
          <cell r="B214" t="str">
            <v>BEN AZIZA</v>
          </cell>
          <cell r="C214" t="str">
            <v>JAMEL</v>
          </cell>
          <cell r="D214" t="str">
            <v>BEN AZIZA JAMEL</v>
          </cell>
        </row>
        <row r="215">
          <cell r="A215">
            <v>1745</v>
          </cell>
          <cell r="B215" t="str">
            <v>CHATTI</v>
          </cell>
          <cell r="C215" t="str">
            <v>EZZEDDINE</v>
          </cell>
          <cell r="D215" t="str">
            <v>CHATTI EZZEDDINE</v>
          </cell>
        </row>
        <row r="216">
          <cell r="A216">
            <v>1746</v>
          </cell>
          <cell r="B216" t="str">
            <v>BEL ARBIA</v>
          </cell>
          <cell r="C216" t="str">
            <v>KAMEL</v>
          </cell>
          <cell r="D216" t="str">
            <v>BEL ARBIA KAMEL</v>
          </cell>
        </row>
        <row r="217">
          <cell r="A217">
            <v>1747</v>
          </cell>
          <cell r="B217" t="str">
            <v>BRAHIM</v>
          </cell>
          <cell r="C217" t="str">
            <v>THEMEUR</v>
          </cell>
          <cell r="D217" t="str">
            <v>BRAHIM THEMEUR</v>
          </cell>
        </row>
        <row r="218">
          <cell r="A218">
            <v>1752</v>
          </cell>
          <cell r="B218" t="str">
            <v>HEDHILI</v>
          </cell>
          <cell r="C218" t="str">
            <v>MUSTAPHA</v>
          </cell>
          <cell r="D218" t="str">
            <v>HEDHILI MUSTAPHA</v>
          </cell>
        </row>
        <row r="219">
          <cell r="A219">
            <v>1755</v>
          </cell>
          <cell r="B219" t="str">
            <v>REJEB</v>
          </cell>
          <cell r="C219" t="str">
            <v>NEJIB</v>
          </cell>
          <cell r="D219" t="str">
            <v>REJEB NEJIB</v>
          </cell>
        </row>
        <row r="220">
          <cell r="A220">
            <v>1756</v>
          </cell>
          <cell r="B220" t="str">
            <v>SOUA</v>
          </cell>
          <cell r="C220" t="str">
            <v>FOUED</v>
          </cell>
          <cell r="D220" t="str">
            <v>SOUA FOUED</v>
          </cell>
        </row>
        <row r="221">
          <cell r="A221">
            <v>1757</v>
          </cell>
          <cell r="B221" t="str">
            <v>EL HOTMANI</v>
          </cell>
          <cell r="C221" t="str">
            <v>BESSEM</v>
          </cell>
          <cell r="D221" t="str">
            <v>EL HOTMANI BESSEM</v>
          </cell>
        </row>
        <row r="222">
          <cell r="A222">
            <v>1759</v>
          </cell>
          <cell r="B222" t="str">
            <v>HNIA</v>
          </cell>
          <cell r="C222" t="str">
            <v>ISSAM</v>
          </cell>
          <cell r="D222" t="str">
            <v>HNIA ISSAM</v>
          </cell>
        </row>
        <row r="223">
          <cell r="A223">
            <v>1760</v>
          </cell>
          <cell r="B223" t="str">
            <v>SASSI</v>
          </cell>
          <cell r="C223" t="str">
            <v>SAMIR</v>
          </cell>
          <cell r="D223" t="str">
            <v>SASSI SAMIR</v>
          </cell>
        </row>
        <row r="224">
          <cell r="A224">
            <v>1761</v>
          </cell>
          <cell r="B224" t="str">
            <v>BEN SALEM</v>
          </cell>
          <cell r="C224" t="str">
            <v>KHELIL</v>
          </cell>
          <cell r="D224" t="str">
            <v>BEN SALEM KHELIL</v>
          </cell>
        </row>
        <row r="225">
          <cell r="A225">
            <v>1764</v>
          </cell>
          <cell r="B225" t="str">
            <v>RBEH</v>
          </cell>
          <cell r="C225" t="str">
            <v>MAHMOUD</v>
          </cell>
          <cell r="D225" t="str">
            <v>RBEH MAHMOUD</v>
          </cell>
        </row>
        <row r="226">
          <cell r="A226">
            <v>1765</v>
          </cell>
          <cell r="B226" t="str">
            <v>DAHMANI</v>
          </cell>
          <cell r="C226" t="str">
            <v>SALAH</v>
          </cell>
          <cell r="D226" t="str">
            <v>DAHMANI SALAH</v>
          </cell>
        </row>
        <row r="227">
          <cell r="A227">
            <v>1767</v>
          </cell>
          <cell r="B227" t="str">
            <v>B.H.SGHAIER</v>
          </cell>
          <cell r="C227" t="str">
            <v>NAOUFEL</v>
          </cell>
          <cell r="D227" t="str">
            <v>B.H.SGHAIER NAOUFEL</v>
          </cell>
        </row>
        <row r="228">
          <cell r="A228">
            <v>1768</v>
          </cell>
          <cell r="B228" t="str">
            <v>LADJIMI</v>
          </cell>
          <cell r="C228" t="str">
            <v>MAHER</v>
          </cell>
          <cell r="D228" t="str">
            <v>LADJIMI MAHER</v>
          </cell>
        </row>
        <row r="229">
          <cell r="A229">
            <v>1770</v>
          </cell>
          <cell r="B229" t="str">
            <v>ZANINA</v>
          </cell>
          <cell r="C229" t="str">
            <v>HICHEM</v>
          </cell>
          <cell r="D229" t="str">
            <v>ZANINA HICHEM</v>
          </cell>
        </row>
        <row r="230">
          <cell r="A230">
            <v>1771</v>
          </cell>
          <cell r="B230" t="str">
            <v>ATTIA</v>
          </cell>
          <cell r="C230" t="str">
            <v>KARIM</v>
          </cell>
          <cell r="D230" t="str">
            <v>ATTIA KARIM</v>
          </cell>
        </row>
        <row r="231">
          <cell r="A231">
            <v>1773</v>
          </cell>
          <cell r="B231" t="str">
            <v>GAIEB</v>
          </cell>
          <cell r="C231" t="str">
            <v>SAMI</v>
          </cell>
          <cell r="D231" t="str">
            <v>GAIEB SAMI</v>
          </cell>
        </row>
        <row r="232">
          <cell r="A232">
            <v>1774</v>
          </cell>
          <cell r="B232" t="str">
            <v>BEN SALEM</v>
          </cell>
          <cell r="C232" t="str">
            <v>FAOUZI</v>
          </cell>
          <cell r="D232" t="str">
            <v>BEN SALEM FAOUZI</v>
          </cell>
        </row>
        <row r="233">
          <cell r="A233">
            <v>1777</v>
          </cell>
          <cell r="B233" t="str">
            <v>JARRAR</v>
          </cell>
          <cell r="C233" t="str">
            <v>MOHAMED FAOUZI</v>
          </cell>
          <cell r="D233" t="str">
            <v>JARRAR MOHAMED FAOUZI</v>
          </cell>
        </row>
        <row r="234">
          <cell r="A234">
            <v>1779</v>
          </cell>
          <cell r="B234" t="str">
            <v>BEN FREDJ</v>
          </cell>
          <cell r="C234" t="str">
            <v>LOTFI</v>
          </cell>
          <cell r="D234" t="str">
            <v>BEN FREDJ LOTFI</v>
          </cell>
        </row>
        <row r="235">
          <cell r="A235">
            <v>1780</v>
          </cell>
          <cell r="B235" t="str">
            <v>SASSI</v>
          </cell>
          <cell r="C235" t="str">
            <v>SAIFELLAH</v>
          </cell>
          <cell r="D235" t="str">
            <v>SASSI SAIFELLAH</v>
          </cell>
        </row>
        <row r="236">
          <cell r="A236">
            <v>1781</v>
          </cell>
          <cell r="B236" t="str">
            <v>KEMIMECH</v>
          </cell>
          <cell r="C236" t="str">
            <v>MOHAMED</v>
          </cell>
          <cell r="D236" t="str">
            <v>KEMIMECH MOHAMED</v>
          </cell>
        </row>
        <row r="237">
          <cell r="A237">
            <v>1782</v>
          </cell>
          <cell r="B237" t="str">
            <v>IBRAHIM</v>
          </cell>
          <cell r="C237" t="str">
            <v>JAMEL</v>
          </cell>
          <cell r="D237" t="str">
            <v>IBRAHIM JAMEL</v>
          </cell>
        </row>
        <row r="238">
          <cell r="A238">
            <v>1784</v>
          </cell>
          <cell r="B238" t="str">
            <v>LAYOUNI</v>
          </cell>
          <cell r="C238" t="str">
            <v>KHALED</v>
          </cell>
          <cell r="D238" t="str">
            <v>LAYOUNI KHALED</v>
          </cell>
        </row>
        <row r="239">
          <cell r="A239">
            <v>1786</v>
          </cell>
          <cell r="B239" t="str">
            <v>GUIZANI</v>
          </cell>
          <cell r="C239" t="str">
            <v>MOHAMED</v>
          </cell>
          <cell r="D239" t="str">
            <v>GUIZANI MOHAMED</v>
          </cell>
        </row>
        <row r="240">
          <cell r="A240">
            <v>1787</v>
          </cell>
          <cell r="B240" t="str">
            <v>BEN ALITA</v>
          </cell>
          <cell r="C240" t="str">
            <v>NEBIL</v>
          </cell>
          <cell r="D240" t="str">
            <v>BEN ALITA NEBIL</v>
          </cell>
        </row>
        <row r="241">
          <cell r="A241">
            <v>1789</v>
          </cell>
          <cell r="B241" t="str">
            <v>CHIHI</v>
          </cell>
          <cell r="C241" t="str">
            <v>MOHAMED SALAH</v>
          </cell>
          <cell r="D241" t="str">
            <v>CHIHI MOHAMED SALAH</v>
          </cell>
        </row>
        <row r="242">
          <cell r="A242">
            <v>1793</v>
          </cell>
          <cell r="B242" t="str">
            <v>MIMOUNA</v>
          </cell>
          <cell r="C242" t="str">
            <v>RAOUF</v>
          </cell>
          <cell r="D242" t="str">
            <v>MIMOUNA RAOUF</v>
          </cell>
        </row>
        <row r="243">
          <cell r="A243">
            <v>1795</v>
          </cell>
          <cell r="B243" t="str">
            <v>SOUA</v>
          </cell>
          <cell r="C243" t="str">
            <v>MOHAMED</v>
          </cell>
          <cell r="D243" t="str">
            <v>SOUA MOHAMED</v>
          </cell>
        </row>
        <row r="244">
          <cell r="A244">
            <v>1796</v>
          </cell>
          <cell r="B244" t="str">
            <v>BEL HADJ HASSINE</v>
          </cell>
          <cell r="C244" t="str">
            <v>IMED</v>
          </cell>
          <cell r="D244" t="str">
            <v>BEL HADJ HASSINE IMED</v>
          </cell>
        </row>
        <row r="245">
          <cell r="A245">
            <v>1797</v>
          </cell>
          <cell r="B245" t="str">
            <v>ABBADI</v>
          </cell>
          <cell r="C245" t="str">
            <v>MOHAMED</v>
          </cell>
          <cell r="D245" t="str">
            <v>ABBADI MOHAMED</v>
          </cell>
        </row>
        <row r="246">
          <cell r="A246">
            <v>1800</v>
          </cell>
          <cell r="B246" t="str">
            <v>BEN CHAOUACHA</v>
          </cell>
          <cell r="C246" t="str">
            <v>WAHIB</v>
          </cell>
          <cell r="D246" t="str">
            <v>BEN CHAOUACHA WAHIB</v>
          </cell>
        </row>
        <row r="247">
          <cell r="A247">
            <v>1801</v>
          </cell>
          <cell r="B247" t="str">
            <v>MAHJOUB</v>
          </cell>
          <cell r="C247" t="str">
            <v>MOHAMED</v>
          </cell>
          <cell r="D247" t="str">
            <v>MAHJOUB MOHAMED</v>
          </cell>
        </row>
        <row r="248">
          <cell r="A248">
            <v>1802</v>
          </cell>
          <cell r="B248" t="str">
            <v>BHIRI</v>
          </cell>
          <cell r="C248" t="str">
            <v>SABEUR</v>
          </cell>
          <cell r="D248" t="str">
            <v>BHIRI SABEUR</v>
          </cell>
        </row>
        <row r="249">
          <cell r="A249">
            <v>1803</v>
          </cell>
          <cell r="B249" t="str">
            <v>GAM</v>
          </cell>
          <cell r="C249" t="str">
            <v>HAMDI</v>
          </cell>
          <cell r="D249" t="str">
            <v>GAM HAMDI</v>
          </cell>
        </row>
        <row r="250">
          <cell r="A250">
            <v>1808</v>
          </cell>
          <cell r="B250" t="str">
            <v>EL BAHLOUL</v>
          </cell>
          <cell r="C250" t="str">
            <v>HICHEM</v>
          </cell>
          <cell r="D250" t="str">
            <v>EL BAHLOUL HICHEM</v>
          </cell>
        </row>
        <row r="251">
          <cell r="A251">
            <v>1809</v>
          </cell>
          <cell r="B251" t="str">
            <v>JUILI</v>
          </cell>
          <cell r="C251" t="str">
            <v>AFIF</v>
          </cell>
          <cell r="D251" t="str">
            <v>JUILI AFIF</v>
          </cell>
        </row>
        <row r="252">
          <cell r="A252">
            <v>1810</v>
          </cell>
          <cell r="B252" t="str">
            <v>GHEZEL</v>
          </cell>
          <cell r="C252" t="str">
            <v>SOFIANE</v>
          </cell>
          <cell r="D252" t="str">
            <v>GHEZEL SOFIANE</v>
          </cell>
        </row>
        <row r="253">
          <cell r="A253">
            <v>1812</v>
          </cell>
          <cell r="B253" t="str">
            <v>BEN SALEM</v>
          </cell>
          <cell r="C253" t="str">
            <v>ZIED</v>
          </cell>
          <cell r="D253" t="str">
            <v>BEN SALEM ZIED</v>
          </cell>
        </row>
        <row r="254">
          <cell r="A254">
            <v>1813</v>
          </cell>
          <cell r="B254" t="str">
            <v>YOUSSEF</v>
          </cell>
          <cell r="C254" t="str">
            <v>HICHEM</v>
          </cell>
          <cell r="D254" t="str">
            <v>YOUSSEF HICHEM</v>
          </cell>
        </row>
        <row r="255">
          <cell r="A255">
            <v>1814</v>
          </cell>
          <cell r="B255" t="str">
            <v>BEL ARBIA</v>
          </cell>
          <cell r="C255" t="str">
            <v>SLAH</v>
          </cell>
          <cell r="D255" t="str">
            <v>BEL ARBIA SLAH</v>
          </cell>
        </row>
        <row r="256">
          <cell r="A256">
            <v>1815</v>
          </cell>
          <cell r="B256" t="str">
            <v>KHEDIMI</v>
          </cell>
          <cell r="C256" t="str">
            <v>IMED</v>
          </cell>
          <cell r="D256" t="str">
            <v>KHEDIMI IMED</v>
          </cell>
        </row>
        <row r="257">
          <cell r="A257">
            <v>1817</v>
          </cell>
          <cell r="B257" t="str">
            <v>ZOUITEN</v>
          </cell>
          <cell r="C257" t="str">
            <v>MUSTAPHA</v>
          </cell>
          <cell r="D257" t="str">
            <v>ZOUITEN MUSTAPHA</v>
          </cell>
        </row>
        <row r="258">
          <cell r="A258">
            <v>1819</v>
          </cell>
          <cell r="B258" t="str">
            <v>SASSI</v>
          </cell>
          <cell r="C258" t="str">
            <v>MOHAMED WALID</v>
          </cell>
          <cell r="D258" t="str">
            <v>SASSI MOHAMED WALID</v>
          </cell>
        </row>
        <row r="259">
          <cell r="A259">
            <v>1820</v>
          </cell>
          <cell r="B259" t="str">
            <v>MKHININI</v>
          </cell>
          <cell r="C259" t="str">
            <v>MOHAMED RIMEH</v>
          </cell>
          <cell r="D259" t="str">
            <v>MKHININI MOHAMED RIMEH</v>
          </cell>
        </row>
        <row r="260">
          <cell r="A260">
            <v>1821</v>
          </cell>
          <cell r="B260" t="str">
            <v>BOURIGUA</v>
          </cell>
          <cell r="C260" t="str">
            <v>MOHAMED</v>
          </cell>
          <cell r="D260" t="str">
            <v>BOURIGUA MOHAMED</v>
          </cell>
        </row>
        <row r="261">
          <cell r="A261">
            <v>1822</v>
          </cell>
          <cell r="B261" t="str">
            <v>BOUHLEL</v>
          </cell>
          <cell r="C261" t="str">
            <v>MEJDI</v>
          </cell>
          <cell r="D261" t="str">
            <v>BOUHLEL MEJDI</v>
          </cell>
        </row>
        <row r="262">
          <cell r="A262">
            <v>1823</v>
          </cell>
          <cell r="B262" t="str">
            <v>ACHOUR</v>
          </cell>
          <cell r="C262" t="str">
            <v>RAOUF</v>
          </cell>
          <cell r="D262" t="str">
            <v>ACHOUR RAOUF</v>
          </cell>
        </row>
        <row r="263">
          <cell r="A263">
            <v>1824</v>
          </cell>
          <cell r="B263" t="str">
            <v>ESSAFI</v>
          </cell>
          <cell r="C263" t="str">
            <v>BECHIR</v>
          </cell>
          <cell r="D263" t="str">
            <v>ESSAFI BECHIR</v>
          </cell>
        </row>
        <row r="264">
          <cell r="A264">
            <v>1825</v>
          </cell>
          <cell r="B264" t="str">
            <v>AIFA</v>
          </cell>
          <cell r="C264" t="str">
            <v>SADOK</v>
          </cell>
          <cell r="D264" t="str">
            <v>AIFA SADOK</v>
          </cell>
        </row>
        <row r="265">
          <cell r="A265">
            <v>1827</v>
          </cell>
          <cell r="B265" t="str">
            <v>CHTIOUI</v>
          </cell>
          <cell r="C265" t="str">
            <v>HAMADI</v>
          </cell>
          <cell r="D265" t="str">
            <v>CHTIOUI HAMADI</v>
          </cell>
        </row>
        <row r="266">
          <cell r="A266">
            <v>1828</v>
          </cell>
          <cell r="B266" t="str">
            <v>FNAYOU</v>
          </cell>
          <cell r="C266" t="str">
            <v>MOHAMED</v>
          </cell>
          <cell r="D266" t="str">
            <v>FNAYOU MOHAMED</v>
          </cell>
        </row>
        <row r="267">
          <cell r="A267">
            <v>1829</v>
          </cell>
          <cell r="B267" t="str">
            <v>ATROUS</v>
          </cell>
          <cell r="C267" t="str">
            <v>ANIS</v>
          </cell>
          <cell r="D267" t="str">
            <v>ATROUS ANIS</v>
          </cell>
        </row>
        <row r="268">
          <cell r="A268">
            <v>1830</v>
          </cell>
          <cell r="B268" t="str">
            <v>LOURIMI</v>
          </cell>
          <cell r="C268" t="str">
            <v>ABDALLAH</v>
          </cell>
          <cell r="D268" t="str">
            <v>LOURIMI ABDALLAH</v>
          </cell>
        </row>
        <row r="269">
          <cell r="A269">
            <v>1831</v>
          </cell>
          <cell r="B269" t="str">
            <v>KEMIMECH</v>
          </cell>
          <cell r="C269" t="str">
            <v>MOHAMED BEN MOHAMED</v>
          </cell>
          <cell r="D269" t="str">
            <v>KEMIMECH MOHAMED BEN MOHAMED</v>
          </cell>
        </row>
        <row r="270">
          <cell r="A270">
            <v>1832</v>
          </cell>
          <cell r="B270" t="str">
            <v>ERGUEZ</v>
          </cell>
          <cell r="C270" t="str">
            <v>MEJDI</v>
          </cell>
          <cell r="D270" t="str">
            <v>ERGUEZ MEJDI</v>
          </cell>
        </row>
        <row r="271">
          <cell r="A271">
            <v>1833</v>
          </cell>
          <cell r="B271" t="str">
            <v>BOUZAABIA</v>
          </cell>
          <cell r="C271" t="str">
            <v>MOHAMED</v>
          </cell>
          <cell r="D271" t="str">
            <v>BOUZAABIA MOHAMED</v>
          </cell>
        </row>
        <row r="272">
          <cell r="A272">
            <v>1834</v>
          </cell>
          <cell r="B272" t="str">
            <v>SMIDA</v>
          </cell>
          <cell r="C272" t="str">
            <v>ZIED</v>
          </cell>
          <cell r="D272" t="str">
            <v>SMIDA ZIED</v>
          </cell>
        </row>
        <row r="273">
          <cell r="A273">
            <v>1835</v>
          </cell>
          <cell r="B273" t="str">
            <v>KRIFA</v>
          </cell>
          <cell r="C273" t="str">
            <v>MOHAMED KAMEL</v>
          </cell>
          <cell r="D273" t="str">
            <v>KRIFA MOHAMED KAMEL</v>
          </cell>
        </row>
        <row r="274">
          <cell r="A274">
            <v>1836</v>
          </cell>
          <cell r="B274" t="str">
            <v>BEN KALIA</v>
          </cell>
          <cell r="C274" t="str">
            <v>LOTFI</v>
          </cell>
          <cell r="D274" t="str">
            <v>BEN KALIA LOTFI</v>
          </cell>
        </row>
        <row r="275">
          <cell r="A275">
            <v>1837</v>
          </cell>
          <cell r="B275" t="str">
            <v>SLAMA</v>
          </cell>
          <cell r="C275" t="str">
            <v>SALEM</v>
          </cell>
          <cell r="D275" t="str">
            <v>SLAMA SALEM</v>
          </cell>
        </row>
        <row r="276">
          <cell r="A276">
            <v>1839</v>
          </cell>
          <cell r="B276" t="str">
            <v>TERZEGUE</v>
          </cell>
          <cell r="C276" t="str">
            <v>FERID</v>
          </cell>
          <cell r="D276" t="str">
            <v>TERZEGUE FERID</v>
          </cell>
        </row>
        <row r="277">
          <cell r="A277">
            <v>1842</v>
          </cell>
          <cell r="B277" t="str">
            <v>SAKKA ROUIS</v>
          </cell>
          <cell r="C277" t="str">
            <v>SAMI</v>
          </cell>
          <cell r="D277" t="str">
            <v>SAKKA ROUIS SAMI</v>
          </cell>
        </row>
        <row r="278">
          <cell r="A278">
            <v>1846</v>
          </cell>
          <cell r="B278" t="str">
            <v>ROMDHANI</v>
          </cell>
          <cell r="C278" t="str">
            <v>SAMI</v>
          </cell>
          <cell r="D278" t="str">
            <v>ROMDHANI SAMI</v>
          </cell>
        </row>
        <row r="279">
          <cell r="A279">
            <v>1849</v>
          </cell>
          <cell r="B279" t="str">
            <v>GANHOUBA</v>
          </cell>
          <cell r="C279" t="str">
            <v>MEHDI</v>
          </cell>
          <cell r="D279" t="str">
            <v>GANHOUBA MEHDI</v>
          </cell>
        </row>
        <row r="280">
          <cell r="A280">
            <v>1851</v>
          </cell>
          <cell r="B280" t="str">
            <v>ATTIA</v>
          </cell>
          <cell r="C280" t="str">
            <v>FAYCAL</v>
          </cell>
          <cell r="D280" t="str">
            <v>ATTIA FAYCAL</v>
          </cell>
        </row>
        <row r="281">
          <cell r="A281">
            <v>1856</v>
          </cell>
          <cell r="B281" t="str">
            <v>ABDELLATIF</v>
          </cell>
          <cell r="C281" t="str">
            <v>MOHAMED ALI</v>
          </cell>
          <cell r="D281" t="str">
            <v>ABDELLATIF MOHAMED ALI</v>
          </cell>
        </row>
        <row r="282">
          <cell r="A282">
            <v>1857</v>
          </cell>
          <cell r="B282" t="str">
            <v>NOUIRA BOUJEBHA</v>
          </cell>
          <cell r="C282" t="str">
            <v>RAMZI</v>
          </cell>
          <cell r="D282" t="str">
            <v>NOUIRA BOUJEBHA RAMZI</v>
          </cell>
        </row>
        <row r="283">
          <cell r="A283">
            <v>1860</v>
          </cell>
          <cell r="B283" t="str">
            <v>KTAIEB</v>
          </cell>
          <cell r="C283" t="str">
            <v>FREDJ</v>
          </cell>
          <cell r="D283" t="str">
            <v>KTAIEB FREDJ</v>
          </cell>
        </row>
        <row r="284">
          <cell r="A284">
            <v>1861</v>
          </cell>
          <cell r="B284" t="str">
            <v>BOUHLEL</v>
          </cell>
          <cell r="C284" t="str">
            <v>ANIS BEN MUSTAPHA</v>
          </cell>
          <cell r="D284" t="str">
            <v>BOUHLEL ANIS BEN MUSTAPHA</v>
          </cell>
        </row>
        <row r="285">
          <cell r="A285">
            <v>1864</v>
          </cell>
          <cell r="B285" t="str">
            <v>BOUSOBINE</v>
          </cell>
          <cell r="C285" t="str">
            <v>SAFOUANE</v>
          </cell>
          <cell r="D285" t="str">
            <v>BOUSOBINE SAFOUANE</v>
          </cell>
        </row>
        <row r="286">
          <cell r="A286">
            <v>1867</v>
          </cell>
          <cell r="B286" t="str">
            <v>GAZZAH</v>
          </cell>
          <cell r="C286" t="str">
            <v>LOTFI</v>
          </cell>
          <cell r="D286" t="str">
            <v>GAZZAH LOTFI</v>
          </cell>
        </row>
        <row r="287">
          <cell r="A287">
            <v>1871</v>
          </cell>
          <cell r="B287" t="str">
            <v>LOGHMARI</v>
          </cell>
          <cell r="C287" t="str">
            <v>HICHEM</v>
          </cell>
          <cell r="D287" t="str">
            <v>LOGHMARI HICHEM</v>
          </cell>
        </row>
        <row r="288">
          <cell r="A288">
            <v>1872</v>
          </cell>
          <cell r="B288" t="str">
            <v>DAHAY CHATTI</v>
          </cell>
          <cell r="C288" t="str">
            <v>BECHIR</v>
          </cell>
          <cell r="D288" t="str">
            <v>DAHAY CHATTI BECHIR</v>
          </cell>
        </row>
        <row r="289">
          <cell r="A289">
            <v>1876</v>
          </cell>
          <cell r="B289" t="str">
            <v>LADHERI</v>
          </cell>
          <cell r="C289" t="str">
            <v>SAMI</v>
          </cell>
          <cell r="D289" t="str">
            <v>LADHERI SAMI</v>
          </cell>
        </row>
        <row r="290">
          <cell r="A290">
            <v>1877</v>
          </cell>
          <cell r="B290" t="str">
            <v>SOUSSI</v>
          </cell>
          <cell r="C290" t="str">
            <v>MAHER</v>
          </cell>
          <cell r="D290" t="str">
            <v>SOUSSI MAHER</v>
          </cell>
        </row>
        <row r="291">
          <cell r="A291">
            <v>1878</v>
          </cell>
          <cell r="B291" t="str">
            <v>BOUHLEL</v>
          </cell>
          <cell r="C291" t="str">
            <v>MED ALI</v>
          </cell>
          <cell r="D291" t="str">
            <v>BOUHLEL MED ALI</v>
          </cell>
        </row>
        <row r="292">
          <cell r="A292">
            <v>1881</v>
          </cell>
          <cell r="B292" t="str">
            <v>ARFAOUI</v>
          </cell>
          <cell r="C292" t="str">
            <v>BECHIR</v>
          </cell>
          <cell r="D292" t="str">
            <v>ARFAOUI BECHIR</v>
          </cell>
        </row>
        <row r="293">
          <cell r="A293">
            <v>1882</v>
          </cell>
          <cell r="B293" t="str">
            <v>AMARA</v>
          </cell>
          <cell r="C293" t="str">
            <v>SOFIANE</v>
          </cell>
          <cell r="D293" t="str">
            <v>AMARA SOFIANE</v>
          </cell>
        </row>
        <row r="294">
          <cell r="A294">
            <v>1884</v>
          </cell>
          <cell r="B294" t="str">
            <v>BELKHIRIA</v>
          </cell>
          <cell r="C294" t="str">
            <v>HAYKEL</v>
          </cell>
          <cell r="D294" t="str">
            <v>BELKHIRIA HAYKEL</v>
          </cell>
        </row>
        <row r="295">
          <cell r="A295">
            <v>1887</v>
          </cell>
          <cell r="B295" t="str">
            <v>BEN SALAH</v>
          </cell>
          <cell r="C295" t="str">
            <v>HATEM</v>
          </cell>
          <cell r="D295" t="str">
            <v>BEN SALAH HATEM</v>
          </cell>
        </row>
        <row r="296">
          <cell r="A296">
            <v>1896</v>
          </cell>
          <cell r="B296" t="str">
            <v>LAJIMI</v>
          </cell>
          <cell r="C296" t="str">
            <v>ABDELKADER</v>
          </cell>
          <cell r="D296" t="str">
            <v>LAJIMI ABDELKADER</v>
          </cell>
        </row>
        <row r="297">
          <cell r="A297">
            <v>1897</v>
          </cell>
          <cell r="B297" t="str">
            <v>BOHLI</v>
          </cell>
          <cell r="C297" t="str">
            <v>AMOR</v>
          </cell>
          <cell r="D297" t="str">
            <v>BOHLI AMOR</v>
          </cell>
        </row>
        <row r="298">
          <cell r="A298">
            <v>1898</v>
          </cell>
          <cell r="B298" t="str">
            <v>BOUHLEL</v>
          </cell>
          <cell r="C298" t="str">
            <v>BILEL</v>
          </cell>
          <cell r="D298" t="str">
            <v>BOUHLEL BILEL</v>
          </cell>
        </row>
        <row r="299">
          <cell r="A299">
            <v>1900</v>
          </cell>
          <cell r="B299" t="str">
            <v>BOUAZZA</v>
          </cell>
          <cell r="C299" t="str">
            <v>SALAH</v>
          </cell>
          <cell r="D299" t="str">
            <v>BOUAZZA SALAH</v>
          </cell>
        </row>
        <row r="300">
          <cell r="A300">
            <v>1901</v>
          </cell>
          <cell r="B300" t="str">
            <v>BACH</v>
          </cell>
          <cell r="C300" t="str">
            <v>ZOUHAIER</v>
          </cell>
          <cell r="D300" t="str">
            <v>BACH ZOUHAIER</v>
          </cell>
        </row>
        <row r="301">
          <cell r="A301">
            <v>1902</v>
          </cell>
          <cell r="B301" t="str">
            <v>BEN ABDALLAH</v>
          </cell>
          <cell r="C301" t="str">
            <v>HATEM</v>
          </cell>
          <cell r="D301" t="str">
            <v>BEN ABDALLAH HATEM</v>
          </cell>
        </row>
        <row r="302">
          <cell r="A302">
            <v>1904</v>
          </cell>
          <cell r="B302" t="str">
            <v>GLOULOU</v>
          </cell>
          <cell r="C302" t="str">
            <v>LOTFI</v>
          </cell>
          <cell r="D302" t="str">
            <v>GLOULOU LOTFI</v>
          </cell>
        </row>
        <row r="303">
          <cell r="A303">
            <v>1905</v>
          </cell>
          <cell r="B303" t="str">
            <v>LADHARI</v>
          </cell>
          <cell r="C303" t="str">
            <v>MOHAMED</v>
          </cell>
          <cell r="D303" t="str">
            <v>LADHARI MOHAMED</v>
          </cell>
        </row>
        <row r="304">
          <cell r="A304">
            <v>1907</v>
          </cell>
          <cell r="B304" t="str">
            <v>MAMIA</v>
          </cell>
          <cell r="C304" t="str">
            <v>NEJMEDDINE</v>
          </cell>
          <cell r="D304" t="str">
            <v>MAMIA NEJMEDDINE</v>
          </cell>
        </row>
        <row r="305">
          <cell r="A305">
            <v>1908</v>
          </cell>
          <cell r="B305" t="str">
            <v>ZMERLI</v>
          </cell>
          <cell r="C305" t="str">
            <v>JAOUHAR</v>
          </cell>
          <cell r="D305" t="str">
            <v>ZMERLI JAOUHAR</v>
          </cell>
        </row>
        <row r="306">
          <cell r="A306">
            <v>1909</v>
          </cell>
          <cell r="B306" t="str">
            <v>BHIRI</v>
          </cell>
          <cell r="C306" t="str">
            <v>ADLI</v>
          </cell>
          <cell r="D306" t="str">
            <v>BHIRI ADLI</v>
          </cell>
        </row>
        <row r="307">
          <cell r="A307">
            <v>1910</v>
          </cell>
          <cell r="B307" t="str">
            <v>YOUSFI</v>
          </cell>
          <cell r="C307" t="str">
            <v>MEHDI</v>
          </cell>
          <cell r="D307" t="str">
            <v>YOUSFI MEHDI</v>
          </cell>
        </row>
        <row r="308">
          <cell r="A308">
            <v>1911</v>
          </cell>
          <cell r="B308" t="str">
            <v>MEJRI</v>
          </cell>
          <cell r="C308" t="str">
            <v>KHELIL</v>
          </cell>
          <cell r="D308" t="str">
            <v>MEJRI KHELIL</v>
          </cell>
        </row>
        <row r="309">
          <cell r="A309">
            <v>1913</v>
          </cell>
          <cell r="B309" t="str">
            <v>SRIDI</v>
          </cell>
          <cell r="C309" t="str">
            <v>MOHAMED</v>
          </cell>
          <cell r="D309" t="str">
            <v>SRIDI MOHAMED</v>
          </cell>
        </row>
        <row r="310">
          <cell r="A310">
            <v>1914</v>
          </cell>
          <cell r="B310" t="str">
            <v>EL FKIH</v>
          </cell>
          <cell r="C310" t="str">
            <v>LAMJED</v>
          </cell>
          <cell r="D310" t="str">
            <v>EL FKIH LAMJED</v>
          </cell>
        </row>
        <row r="311">
          <cell r="A311">
            <v>1915</v>
          </cell>
          <cell r="B311" t="str">
            <v>BEN ABDALLAH</v>
          </cell>
          <cell r="C311" t="str">
            <v>MOHAMED SALAH</v>
          </cell>
          <cell r="D311" t="str">
            <v>BEN ABDALLAH MOHAMED SALAH</v>
          </cell>
        </row>
        <row r="312">
          <cell r="A312">
            <v>1916</v>
          </cell>
          <cell r="B312" t="str">
            <v>MANSOUR</v>
          </cell>
          <cell r="C312" t="str">
            <v>NEJI</v>
          </cell>
          <cell r="D312" t="str">
            <v>MANSOUR NEJI</v>
          </cell>
        </row>
        <row r="313">
          <cell r="A313">
            <v>1917</v>
          </cell>
          <cell r="B313" t="str">
            <v>HAMILA</v>
          </cell>
          <cell r="C313" t="str">
            <v>JAMEL</v>
          </cell>
          <cell r="D313" t="str">
            <v>HAMILA JAMEL</v>
          </cell>
        </row>
        <row r="314">
          <cell r="A314">
            <v>1918</v>
          </cell>
          <cell r="B314" t="str">
            <v>BOURIGUA</v>
          </cell>
          <cell r="C314" t="str">
            <v>MOHAMED ALI</v>
          </cell>
          <cell r="D314" t="str">
            <v>BOURIGUA MOHAMED ALI</v>
          </cell>
        </row>
        <row r="315">
          <cell r="A315">
            <v>1919</v>
          </cell>
          <cell r="B315" t="str">
            <v>SOUA LAYOUNI</v>
          </cell>
          <cell r="C315" t="str">
            <v>MOHAMED</v>
          </cell>
          <cell r="D315" t="str">
            <v>SOUA LAYOUNI MOHAMED</v>
          </cell>
        </row>
        <row r="316">
          <cell r="A316">
            <v>1921</v>
          </cell>
          <cell r="B316" t="str">
            <v>HNIA</v>
          </cell>
          <cell r="C316" t="str">
            <v>SAHNOUN</v>
          </cell>
          <cell r="D316" t="str">
            <v>HNIA SAHNOUN</v>
          </cell>
        </row>
        <row r="317">
          <cell r="A317">
            <v>1922</v>
          </cell>
          <cell r="B317" t="str">
            <v>MAHJOUB</v>
          </cell>
          <cell r="C317" t="str">
            <v>FAKER</v>
          </cell>
          <cell r="D317" t="str">
            <v>MAHJOUB FAKER</v>
          </cell>
        </row>
        <row r="318">
          <cell r="A318">
            <v>1923</v>
          </cell>
          <cell r="B318" t="str">
            <v>BOUAZZA</v>
          </cell>
          <cell r="C318" t="str">
            <v>WALID</v>
          </cell>
          <cell r="D318" t="str">
            <v>BOUAZZA WALID</v>
          </cell>
        </row>
        <row r="319">
          <cell r="A319">
            <v>1924</v>
          </cell>
          <cell r="B319" t="str">
            <v>BRAHIM</v>
          </cell>
          <cell r="C319" t="str">
            <v>Wahiba</v>
          </cell>
          <cell r="D319" t="str">
            <v>BRAHIM Wahiba</v>
          </cell>
        </row>
        <row r="320">
          <cell r="A320">
            <v>1925</v>
          </cell>
          <cell r="B320" t="str">
            <v>HACHICHA</v>
          </cell>
          <cell r="C320" t="str">
            <v>MOHAMED</v>
          </cell>
          <cell r="D320" t="str">
            <v>HACHICHA MOHAMED</v>
          </cell>
        </row>
        <row r="321">
          <cell r="A321">
            <v>1927</v>
          </cell>
          <cell r="B321" t="str">
            <v>BEN HAMMOUDA</v>
          </cell>
          <cell r="C321" t="str">
            <v>AYMEN</v>
          </cell>
          <cell r="D321" t="str">
            <v>BEN HAMMOUDA AYMEN</v>
          </cell>
        </row>
        <row r="322">
          <cell r="A322">
            <v>1928</v>
          </cell>
          <cell r="B322" t="str">
            <v>ZAGGAR</v>
          </cell>
          <cell r="C322" t="str">
            <v>JAMEL</v>
          </cell>
          <cell r="D322" t="str">
            <v>ZAGGAR JAMEL</v>
          </cell>
        </row>
        <row r="323">
          <cell r="A323">
            <v>1929</v>
          </cell>
          <cell r="B323" t="str">
            <v>DAHMANI</v>
          </cell>
          <cell r="C323" t="str">
            <v>HAMDI</v>
          </cell>
          <cell r="D323" t="str">
            <v>DAHMANI HAMDI</v>
          </cell>
        </row>
        <row r="324">
          <cell r="A324">
            <v>1930</v>
          </cell>
          <cell r="B324" t="str">
            <v>EL HAMDI</v>
          </cell>
          <cell r="C324" t="str">
            <v>AHMED</v>
          </cell>
          <cell r="D324" t="str">
            <v>EL HAMDI AHMED</v>
          </cell>
        </row>
        <row r="325">
          <cell r="A325">
            <v>1936</v>
          </cell>
          <cell r="B325" t="str">
            <v>JLASSI</v>
          </cell>
          <cell r="C325" t="str">
            <v>KHALED</v>
          </cell>
          <cell r="D325" t="str">
            <v>JLASSI KHALED</v>
          </cell>
        </row>
        <row r="326">
          <cell r="A326">
            <v>1938</v>
          </cell>
          <cell r="B326" t="str">
            <v>NAFFATI</v>
          </cell>
          <cell r="C326" t="str">
            <v>SOFIENE</v>
          </cell>
          <cell r="D326" t="str">
            <v>NAFFATI SOFIENE</v>
          </cell>
        </row>
        <row r="327">
          <cell r="A327">
            <v>1953</v>
          </cell>
          <cell r="B327" t="str">
            <v>SGHAIER</v>
          </cell>
          <cell r="C327" t="str">
            <v>SAMI</v>
          </cell>
          <cell r="D327" t="str">
            <v>SGHAIER SAMI</v>
          </cell>
        </row>
        <row r="328">
          <cell r="A328">
            <v>1954</v>
          </cell>
          <cell r="B328" t="str">
            <v>REGAIEG</v>
          </cell>
          <cell r="C328" t="str">
            <v>NADER</v>
          </cell>
          <cell r="D328" t="str">
            <v>REGAIEG NADER</v>
          </cell>
        </row>
        <row r="329">
          <cell r="A329">
            <v>1955</v>
          </cell>
          <cell r="B329" t="str">
            <v>OMRAMNE</v>
          </cell>
          <cell r="C329" t="str">
            <v>HAMMOUDA</v>
          </cell>
          <cell r="D329" t="str">
            <v>OMRAMNE HAMMOUDA</v>
          </cell>
        </row>
        <row r="330">
          <cell r="A330">
            <v>1956</v>
          </cell>
          <cell r="B330" t="str">
            <v>BEN AOUANA</v>
          </cell>
          <cell r="C330" t="str">
            <v>NEJI</v>
          </cell>
          <cell r="D330" t="str">
            <v>BEN AOUANA NEJI</v>
          </cell>
        </row>
        <row r="331">
          <cell r="A331">
            <v>1957</v>
          </cell>
          <cell r="B331" t="str">
            <v>ZID</v>
          </cell>
          <cell r="C331" t="str">
            <v>AHMED</v>
          </cell>
          <cell r="D331" t="str">
            <v>ZID AHMED</v>
          </cell>
        </row>
        <row r="332">
          <cell r="A332">
            <v>1961</v>
          </cell>
          <cell r="B332" t="str">
            <v>HEDFI</v>
          </cell>
          <cell r="C332" t="str">
            <v>ANIS</v>
          </cell>
          <cell r="D332" t="str">
            <v>HEDFI ANIS</v>
          </cell>
        </row>
        <row r="333">
          <cell r="A333">
            <v>1962</v>
          </cell>
          <cell r="B333" t="str">
            <v>HADDAJI</v>
          </cell>
          <cell r="C333" t="str">
            <v>ELYES</v>
          </cell>
          <cell r="D333" t="str">
            <v>HADDAJI ELYES</v>
          </cell>
        </row>
        <row r="334">
          <cell r="A334">
            <v>1969</v>
          </cell>
          <cell r="B334" t="str">
            <v>BOUKADDIDA</v>
          </cell>
          <cell r="C334" t="str">
            <v>MEHREZ</v>
          </cell>
          <cell r="D334" t="str">
            <v>BOUKADDIDA MEHREZ</v>
          </cell>
        </row>
        <row r="335">
          <cell r="A335">
            <v>1973</v>
          </cell>
          <cell r="B335" t="str">
            <v>EL ABED</v>
          </cell>
          <cell r="C335" t="str">
            <v>AMIRA</v>
          </cell>
          <cell r="D335" t="str">
            <v>EL ABED AMIRA</v>
          </cell>
        </row>
        <row r="336">
          <cell r="A336">
            <v>1974</v>
          </cell>
          <cell r="B336" t="str">
            <v>GUELLIME</v>
          </cell>
          <cell r="C336" t="str">
            <v>MONDHER</v>
          </cell>
          <cell r="D336" t="str">
            <v>GUELLIME MONDHER</v>
          </cell>
        </row>
        <row r="337">
          <cell r="A337">
            <v>1978</v>
          </cell>
          <cell r="B337" t="str">
            <v>MAHJOUB</v>
          </cell>
          <cell r="C337" t="str">
            <v>AHMED</v>
          </cell>
          <cell r="D337" t="str">
            <v>MAHJOUB AHMED</v>
          </cell>
        </row>
        <row r="338">
          <cell r="A338">
            <v>1979</v>
          </cell>
          <cell r="B338" t="str">
            <v>LANDOULSI</v>
          </cell>
          <cell r="C338" t="str">
            <v>MOHAMED SAHBI</v>
          </cell>
          <cell r="D338" t="str">
            <v>LANDOULSI MOHAMED SAHBI</v>
          </cell>
        </row>
        <row r="339">
          <cell r="A339">
            <v>1980</v>
          </cell>
          <cell r="B339" t="str">
            <v>MLAYEH</v>
          </cell>
          <cell r="C339" t="str">
            <v>YOUSSEF</v>
          </cell>
          <cell r="D339" t="str">
            <v>MLAYEH YOUSSEF</v>
          </cell>
        </row>
        <row r="340">
          <cell r="A340">
            <v>1981</v>
          </cell>
          <cell r="B340" t="str">
            <v>GAALOUL</v>
          </cell>
          <cell r="C340" t="str">
            <v>MAROUAN</v>
          </cell>
          <cell r="D340" t="str">
            <v>GAALOUL MAROUAN</v>
          </cell>
        </row>
        <row r="341">
          <cell r="A341">
            <v>1983</v>
          </cell>
          <cell r="B341" t="str">
            <v>GOUIDER</v>
          </cell>
          <cell r="C341" t="str">
            <v>SLAHEDDINE</v>
          </cell>
          <cell r="D341" t="str">
            <v>GOUIDER SLAHEDDINE</v>
          </cell>
        </row>
        <row r="342">
          <cell r="A342">
            <v>1985</v>
          </cell>
          <cell r="B342" t="str">
            <v>MAHJOUB</v>
          </cell>
          <cell r="C342" t="str">
            <v>HAMZA</v>
          </cell>
          <cell r="D342" t="str">
            <v>MAHJOUB HAMZA</v>
          </cell>
        </row>
        <row r="343">
          <cell r="A343">
            <v>1987</v>
          </cell>
          <cell r="B343" t="str">
            <v>BAYA</v>
          </cell>
          <cell r="C343" t="str">
            <v>SAIFEDDINE</v>
          </cell>
          <cell r="D343" t="str">
            <v>BAYA SAIFEDDINE</v>
          </cell>
        </row>
        <row r="344">
          <cell r="A344">
            <v>1989</v>
          </cell>
          <cell r="B344" t="str">
            <v>MZOUGHI</v>
          </cell>
          <cell r="C344" t="str">
            <v>MOHAMED</v>
          </cell>
          <cell r="D344" t="str">
            <v>MZOUGHI MOHAMED</v>
          </cell>
        </row>
        <row r="345">
          <cell r="A345">
            <v>1992</v>
          </cell>
          <cell r="B345" t="str">
            <v>EL ABED</v>
          </cell>
          <cell r="C345" t="str">
            <v>WALID</v>
          </cell>
          <cell r="D345" t="str">
            <v>EL ABED WALID</v>
          </cell>
        </row>
        <row r="346">
          <cell r="A346">
            <v>1993</v>
          </cell>
          <cell r="B346" t="str">
            <v>OUNI</v>
          </cell>
          <cell r="C346" t="str">
            <v>MEHDI</v>
          </cell>
          <cell r="D346" t="str">
            <v>OUNI MEHDI</v>
          </cell>
        </row>
        <row r="347">
          <cell r="A347">
            <v>1995</v>
          </cell>
          <cell r="B347" t="str">
            <v>ACHECHE</v>
          </cell>
          <cell r="C347" t="str">
            <v>HAMDA NACEUR</v>
          </cell>
          <cell r="D347" t="str">
            <v>ACHECHE HAMDA NACEUR</v>
          </cell>
        </row>
        <row r="348">
          <cell r="A348">
            <v>2004</v>
          </cell>
          <cell r="B348" t="str">
            <v>LAAJILI</v>
          </cell>
          <cell r="C348" t="str">
            <v>LOTFI</v>
          </cell>
          <cell r="D348" t="str">
            <v>LAAJILI LOTFI</v>
          </cell>
        </row>
        <row r="349">
          <cell r="A349">
            <v>2005</v>
          </cell>
          <cell r="B349" t="str">
            <v>ESSAFI</v>
          </cell>
          <cell r="C349" t="str">
            <v>FEHMI</v>
          </cell>
          <cell r="D349" t="str">
            <v>ESSAFI FEHMI</v>
          </cell>
        </row>
        <row r="350">
          <cell r="A350">
            <v>2008</v>
          </cell>
          <cell r="B350" t="str">
            <v>HAFSIA</v>
          </cell>
          <cell r="C350" t="str">
            <v>ANIS</v>
          </cell>
          <cell r="D350" t="str">
            <v>HAFSIA ANIS</v>
          </cell>
        </row>
        <row r="351">
          <cell r="A351">
            <v>2009</v>
          </cell>
          <cell r="B351" t="str">
            <v>BEN SAAD</v>
          </cell>
          <cell r="C351" t="str">
            <v>MOHAMED AMINE</v>
          </cell>
          <cell r="D351" t="str">
            <v>BEN SAAD MOHAMED AMINE</v>
          </cell>
        </row>
        <row r="352">
          <cell r="A352">
            <v>2013</v>
          </cell>
          <cell r="B352" t="str">
            <v>BEL HADJ ALI</v>
          </cell>
          <cell r="C352" t="str">
            <v>MOHAMED ALI</v>
          </cell>
          <cell r="D352" t="str">
            <v>BEL HADJ ALI MOHAMED ALI</v>
          </cell>
        </row>
        <row r="353">
          <cell r="A353">
            <v>2014</v>
          </cell>
          <cell r="B353" t="str">
            <v>JARRAR</v>
          </cell>
          <cell r="C353" t="str">
            <v>MEHDI</v>
          </cell>
          <cell r="D353" t="str">
            <v>JARRAR MEHDI</v>
          </cell>
        </row>
        <row r="354">
          <cell r="A354">
            <v>2022</v>
          </cell>
          <cell r="B354" t="str">
            <v>BOUHLEL</v>
          </cell>
          <cell r="C354" t="str">
            <v>YOUSSEF</v>
          </cell>
          <cell r="D354" t="str">
            <v>BOUHLEL YOUSSEF</v>
          </cell>
        </row>
        <row r="355">
          <cell r="A355">
            <v>2024</v>
          </cell>
          <cell r="B355" t="str">
            <v>GUEZGUEZ</v>
          </cell>
          <cell r="C355" t="str">
            <v>MOHAMED</v>
          </cell>
          <cell r="D355" t="str">
            <v>GUEZGUEZ MOHAMED</v>
          </cell>
        </row>
        <row r="356">
          <cell r="A356">
            <v>2025</v>
          </cell>
          <cell r="B356" t="str">
            <v>MAHJOUB</v>
          </cell>
          <cell r="C356" t="str">
            <v>MOHAMED RAMZI</v>
          </cell>
          <cell r="D356" t="str">
            <v>MAHJOUB MOHAMED RAMZI</v>
          </cell>
        </row>
        <row r="357">
          <cell r="A357">
            <v>2027</v>
          </cell>
          <cell r="B357" t="str">
            <v>KHELIFA</v>
          </cell>
          <cell r="C357" t="str">
            <v>ABDELLATIF</v>
          </cell>
          <cell r="D357" t="str">
            <v>KHELIFA ABDELLATIF</v>
          </cell>
        </row>
        <row r="358">
          <cell r="A358">
            <v>2032</v>
          </cell>
          <cell r="B358" t="str">
            <v>ELOUNI</v>
          </cell>
          <cell r="C358" t="str">
            <v>ABDELKERIM</v>
          </cell>
          <cell r="D358" t="str">
            <v>ELOUNI ABDELKERIM</v>
          </cell>
        </row>
        <row r="359">
          <cell r="A359">
            <v>2038</v>
          </cell>
          <cell r="B359" t="str">
            <v>ZID</v>
          </cell>
          <cell r="C359" t="str">
            <v>MOHAMED</v>
          </cell>
          <cell r="D359" t="str">
            <v>ZID MOHAMED</v>
          </cell>
        </row>
        <row r="360">
          <cell r="A360">
            <v>2040</v>
          </cell>
          <cell r="B360" t="str">
            <v>GHEZAL</v>
          </cell>
          <cell r="C360" t="str">
            <v>YOUSSEF</v>
          </cell>
          <cell r="D360" t="str">
            <v>GHEZAL YOUSSEF</v>
          </cell>
        </row>
        <row r="361">
          <cell r="A361">
            <v>2048</v>
          </cell>
          <cell r="B361" t="str">
            <v>BEL HADJ FREDJ</v>
          </cell>
          <cell r="C361" t="str">
            <v>NOUREDDINE</v>
          </cell>
          <cell r="D361" t="str">
            <v>BEL HADJ FREDJ NOUREDDINE</v>
          </cell>
        </row>
        <row r="362">
          <cell r="A362">
            <v>2050</v>
          </cell>
          <cell r="B362" t="str">
            <v>ATTIA</v>
          </cell>
          <cell r="C362" t="str">
            <v>WISSEM</v>
          </cell>
          <cell r="D362" t="str">
            <v>ATTIA WISSEM</v>
          </cell>
        </row>
        <row r="363">
          <cell r="A363">
            <v>2051</v>
          </cell>
          <cell r="B363" t="str">
            <v>SLIMENE</v>
          </cell>
          <cell r="C363" t="str">
            <v>ANIS</v>
          </cell>
          <cell r="D363" t="str">
            <v>SLIMENE ANIS</v>
          </cell>
        </row>
        <row r="364">
          <cell r="A364">
            <v>2052</v>
          </cell>
          <cell r="B364" t="str">
            <v>BEN RAJEH</v>
          </cell>
          <cell r="C364" t="str">
            <v>MOHAMED</v>
          </cell>
          <cell r="D364" t="str">
            <v>BEN RAJEH MOHAMED</v>
          </cell>
        </row>
        <row r="365">
          <cell r="A365">
            <v>2053</v>
          </cell>
          <cell r="B365" t="str">
            <v>SAID</v>
          </cell>
          <cell r="C365" t="str">
            <v>YASSINE</v>
          </cell>
          <cell r="D365" t="str">
            <v>SAID YASSINE</v>
          </cell>
        </row>
        <row r="366">
          <cell r="A366">
            <v>2054</v>
          </cell>
          <cell r="B366" t="str">
            <v>BAYA</v>
          </cell>
          <cell r="C366" t="str">
            <v>HASSINE</v>
          </cell>
          <cell r="D366" t="str">
            <v>BAYA HASSINE</v>
          </cell>
        </row>
        <row r="367">
          <cell r="A367">
            <v>2055</v>
          </cell>
          <cell r="B367" t="str">
            <v>BEN YAHIA</v>
          </cell>
          <cell r="C367" t="str">
            <v>AHMED</v>
          </cell>
          <cell r="D367" t="str">
            <v>BEN YAHIA AHMED</v>
          </cell>
        </row>
        <row r="368">
          <cell r="A368">
            <v>2058</v>
          </cell>
          <cell r="B368" t="str">
            <v>GUEZGUEZ</v>
          </cell>
          <cell r="C368" t="str">
            <v>HICHEM</v>
          </cell>
          <cell r="D368" t="str">
            <v>GUEZGUEZ HICHEM</v>
          </cell>
        </row>
        <row r="369">
          <cell r="A369">
            <v>2059</v>
          </cell>
          <cell r="B369" t="str">
            <v>LAHDHIRI</v>
          </cell>
          <cell r="C369" t="str">
            <v>KACEM</v>
          </cell>
          <cell r="D369" t="str">
            <v>LAHDHIRI KACEM</v>
          </cell>
        </row>
        <row r="370">
          <cell r="A370">
            <v>2061</v>
          </cell>
          <cell r="B370" t="str">
            <v>KECHCICHE</v>
          </cell>
          <cell r="C370" t="str">
            <v>YASSINE</v>
          </cell>
          <cell r="D370" t="str">
            <v>KECHCICHE YASSINE</v>
          </cell>
        </row>
        <row r="371">
          <cell r="A371">
            <v>2065</v>
          </cell>
          <cell r="B371" t="str">
            <v>CHIHAOUI</v>
          </cell>
          <cell r="C371" t="str">
            <v>ALAAEDDINE</v>
          </cell>
          <cell r="D371" t="str">
            <v>CHIHAOUI ALAAEDDINE</v>
          </cell>
        </row>
        <row r="372">
          <cell r="A372">
            <v>2066</v>
          </cell>
          <cell r="B372" t="str">
            <v>GRAA</v>
          </cell>
          <cell r="C372" t="str">
            <v>SAIFEDDINE</v>
          </cell>
          <cell r="D372" t="str">
            <v>GRAA SAIFEDDINE</v>
          </cell>
        </row>
        <row r="373">
          <cell r="A373">
            <v>2067</v>
          </cell>
          <cell r="B373" t="str">
            <v>CHOUAIEB</v>
          </cell>
          <cell r="C373" t="str">
            <v>MOUNIR</v>
          </cell>
          <cell r="D373" t="str">
            <v>CHOUAIEB MOUNIR</v>
          </cell>
        </row>
        <row r="374">
          <cell r="A374">
            <v>2071</v>
          </cell>
          <cell r="B374" t="str">
            <v>TRIAA</v>
          </cell>
          <cell r="C374" t="str">
            <v>FARES</v>
          </cell>
          <cell r="D374" t="str">
            <v>TRIAA FARES</v>
          </cell>
        </row>
        <row r="375">
          <cell r="A375">
            <v>2073</v>
          </cell>
          <cell r="B375" t="str">
            <v>LANDOLSI</v>
          </cell>
          <cell r="C375" t="str">
            <v>AFEF</v>
          </cell>
          <cell r="D375" t="str">
            <v>LANDOLSI AFEF</v>
          </cell>
        </row>
        <row r="376">
          <cell r="A376">
            <v>2074</v>
          </cell>
          <cell r="B376" t="str">
            <v>CHEHAIBI</v>
          </cell>
          <cell r="C376" t="str">
            <v>MOHAMED</v>
          </cell>
          <cell r="D376" t="str">
            <v>CHEHAIBI MOHAMED</v>
          </cell>
        </row>
        <row r="377">
          <cell r="A377">
            <v>2083</v>
          </cell>
          <cell r="B377" t="str">
            <v>BEN OTHMEN</v>
          </cell>
          <cell r="C377" t="str">
            <v>Mohamed Karim</v>
          </cell>
          <cell r="D377" t="str">
            <v>BEN OTHMEN Mohamed Karim</v>
          </cell>
        </row>
        <row r="378">
          <cell r="A378">
            <v>2084</v>
          </cell>
          <cell r="B378" t="str">
            <v>HELALI</v>
          </cell>
          <cell r="C378" t="str">
            <v>Emna</v>
          </cell>
          <cell r="D378" t="str">
            <v>HELALI Emna</v>
          </cell>
        </row>
        <row r="379">
          <cell r="A379">
            <v>2085</v>
          </cell>
          <cell r="B379" t="str">
            <v>Khaoula</v>
          </cell>
          <cell r="C379" t="str">
            <v>Jebali</v>
          </cell>
          <cell r="D379" t="str">
            <v>Khaoula Jebali</v>
          </cell>
        </row>
        <row r="380">
          <cell r="A380">
            <v>2086</v>
          </cell>
          <cell r="B380" t="str">
            <v>YASSINE</v>
          </cell>
          <cell r="C380" t="str">
            <v>JADLAOUI</v>
          </cell>
          <cell r="D380" t="str">
            <v>YASSINE JADLAOUI</v>
          </cell>
        </row>
        <row r="381">
          <cell r="A381">
            <v>2090</v>
          </cell>
          <cell r="B381" t="str">
            <v>WAJDI</v>
          </cell>
          <cell r="C381" t="str">
            <v>HMIDA</v>
          </cell>
          <cell r="D381" t="str">
            <v>WAJDI HMIDA</v>
          </cell>
        </row>
        <row r="382">
          <cell r="A382">
            <v>2092</v>
          </cell>
          <cell r="B382" t="str">
            <v>MOHAMED YASSINE</v>
          </cell>
          <cell r="C382" t="str">
            <v>SBAII</v>
          </cell>
          <cell r="D382" t="str">
            <v>MOHAMED YASSINE SBAII</v>
          </cell>
        </row>
        <row r="383">
          <cell r="A383">
            <v>2096</v>
          </cell>
          <cell r="B383" t="str">
            <v>GHASSEN</v>
          </cell>
          <cell r="C383" t="str">
            <v>TLILI</v>
          </cell>
          <cell r="D383" t="str">
            <v>GHASSEN TLILI</v>
          </cell>
        </row>
        <row r="384">
          <cell r="A384">
            <v>2100</v>
          </cell>
          <cell r="B384" t="str">
            <v>MLAYEH</v>
          </cell>
          <cell r="C384" t="str">
            <v>NEZIHA</v>
          </cell>
          <cell r="D384" t="str">
            <v>MLAYEH NEZIHA</v>
          </cell>
        </row>
        <row r="385">
          <cell r="A385">
            <v>2101</v>
          </cell>
          <cell r="B385" t="str">
            <v>KORTAS</v>
          </cell>
          <cell r="C385" t="str">
            <v>SAWSSEN</v>
          </cell>
          <cell r="D385" t="str">
            <v>KORTAS SAWSSEN</v>
          </cell>
        </row>
        <row r="386">
          <cell r="A386">
            <v>2102</v>
          </cell>
          <cell r="B386" t="str">
            <v>BENAMER</v>
          </cell>
          <cell r="C386" t="str">
            <v>MARWA</v>
          </cell>
          <cell r="D386" t="str">
            <v>BENAMER MARWA</v>
          </cell>
        </row>
        <row r="387">
          <cell r="A387">
            <v>2107</v>
          </cell>
          <cell r="B387" t="str">
            <v>TRIMECH</v>
          </cell>
          <cell r="C387" t="str">
            <v>RAHMA</v>
          </cell>
          <cell r="D387" t="str">
            <v>TRIMECH RAHMA</v>
          </cell>
        </row>
        <row r="388">
          <cell r="A388">
            <v>2109</v>
          </cell>
          <cell r="B388" t="str">
            <v>MANSOURI</v>
          </cell>
          <cell r="C388" t="str">
            <v>TAKOUA</v>
          </cell>
          <cell r="D388" t="str">
            <v>MANSOURI TAKOUA</v>
          </cell>
        </row>
        <row r="389">
          <cell r="A389">
            <v>2113</v>
          </cell>
          <cell r="B389" t="str">
            <v>BEN HADJ AMOR</v>
          </cell>
          <cell r="C389" t="str">
            <v>MOHAMED ALI</v>
          </cell>
          <cell r="D389" t="str">
            <v>BEN HADJ AMOR MOHAMED ALI</v>
          </cell>
        </row>
        <row r="390">
          <cell r="A390">
            <v>2115</v>
          </cell>
          <cell r="B390" t="str">
            <v>BAATI</v>
          </cell>
          <cell r="C390" t="str">
            <v>OTHMAN</v>
          </cell>
          <cell r="D390" t="str">
            <v>BAATI OTHMAN</v>
          </cell>
        </row>
        <row r="391">
          <cell r="A391">
            <v>2118</v>
          </cell>
          <cell r="B391" t="str">
            <v>HAMZA</v>
          </cell>
          <cell r="C391" t="str">
            <v>HAMILA</v>
          </cell>
          <cell r="D391" t="str">
            <v>HAMZA HAMILA</v>
          </cell>
        </row>
        <row r="392">
          <cell r="A392">
            <v>2120</v>
          </cell>
          <cell r="B392" t="str">
            <v>OMOR</v>
          </cell>
          <cell r="C392" t="str">
            <v>BEN AHMED</v>
          </cell>
          <cell r="D392" t="str">
            <v>OMOR BEN AHMED</v>
          </cell>
        </row>
        <row r="393">
          <cell r="A393">
            <v>2123</v>
          </cell>
          <cell r="B393" t="str">
            <v>HICHEM</v>
          </cell>
          <cell r="C393" t="str">
            <v>AFRIT</v>
          </cell>
          <cell r="D393" t="str">
            <v>HICHEM AFRIT</v>
          </cell>
        </row>
        <row r="394">
          <cell r="A394">
            <v>2124</v>
          </cell>
          <cell r="B394" t="str">
            <v>AHMED</v>
          </cell>
          <cell r="C394" t="str">
            <v>BEN HADJ MESSAOUD</v>
          </cell>
          <cell r="D394" t="str">
            <v>AHMED BEN HADJ MESSAOUD</v>
          </cell>
        </row>
        <row r="395">
          <cell r="A395">
            <v>2125</v>
          </cell>
          <cell r="B395" t="str">
            <v>ACHRAF</v>
          </cell>
          <cell r="C395" t="str">
            <v>HASSEN</v>
          </cell>
          <cell r="D395" t="str">
            <v>ACHRAF HASSEN</v>
          </cell>
        </row>
        <row r="396">
          <cell r="A396">
            <v>2128</v>
          </cell>
          <cell r="B396" t="str">
            <v>ILYES</v>
          </cell>
          <cell r="C396" t="str">
            <v>DHIFALLAH</v>
          </cell>
          <cell r="D396" t="str">
            <v>ILYES DHIFALLAH</v>
          </cell>
        </row>
        <row r="397">
          <cell r="A397">
            <v>2131</v>
          </cell>
          <cell r="B397" t="str">
            <v>HASSEN</v>
          </cell>
          <cell r="C397" t="str">
            <v>BAYA</v>
          </cell>
          <cell r="D397" t="str">
            <v>HASSEN BAYA</v>
          </cell>
        </row>
        <row r="398">
          <cell r="A398">
            <v>2136</v>
          </cell>
          <cell r="B398" t="str">
            <v>LOTFI</v>
          </cell>
          <cell r="C398" t="str">
            <v>NOURI</v>
          </cell>
          <cell r="D398" t="str">
            <v>LOTFI NOURI</v>
          </cell>
        </row>
        <row r="399">
          <cell r="A399">
            <v>2137</v>
          </cell>
          <cell r="B399" t="str">
            <v>MOHAMED</v>
          </cell>
          <cell r="C399" t="str">
            <v>BOUZAMOUCHA</v>
          </cell>
          <cell r="D399" t="str">
            <v>MOHAMED BOUZAMOUCHA</v>
          </cell>
        </row>
        <row r="400">
          <cell r="A400">
            <v>2138</v>
          </cell>
          <cell r="B400" t="str">
            <v>MOHAMED CHIHEB EDDIN</v>
          </cell>
          <cell r="C400" t="str">
            <v>HAMILA</v>
          </cell>
          <cell r="D400" t="str">
            <v>MOHAMED CHIHEB EDDIN HAMILA</v>
          </cell>
        </row>
        <row r="401">
          <cell r="A401">
            <v>2139</v>
          </cell>
          <cell r="B401" t="str">
            <v>HATEM</v>
          </cell>
          <cell r="C401" t="str">
            <v>NAMOUCHI</v>
          </cell>
          <cell r="D401" t="str">
            <v>HATEM NAMOUCHI</v>
          </cell>
        </row>
        <row r="402">
          <cell r="A402">
            <v>2141</v>
          </cell>
          <cell r="B402" t="str">
            <v>HAITHEM</v>
          </cell>
          <cell r="C402" t="str">
            <v>SRIDI</v>
          </cell>
          <cell r="D402" t="str">
            <v>HAITHEM SRIDI</v>
          </cell>
        </row>
        <row r="403">
          <cell r="A403">
            <v>2144</v>
          </cell>
          <cell r="B403" t="str">
            <v>OMRANE</v>
          </cell>
          <cell r="C403" t="str">
            <v>WAEL</v>
          </cell>
          <cell r="D403" t="str">
            <v>OMRANE WAEL</v>
          </cell>
        </row>
        <row r="404">
          <cell r="A404">
            <v>2145</v>
          </cell>
          <cell r="B404" t="str">
            <v>MRIBAH</v>
          </cell>
          <cell r="C404" t="str">
            <v>HAMZA</v>
          </cell>
          <cell r="D404" t="str">
            <v>MRIBAH HAMZA</v>
          </cell>
        </row>
        <row r="405">
          <cell r="A405">
            <v>2146</v>
          </cell>
          <cell r="B405" t="str">
            <v>SGHAIR</v>
          </cell>
          <cell r="C405" t="str">
            <v>AHMED</v>
          </cell>
          <cell r="D405" t="str">
            <v>SGHAIR AHMED</v>
          </cell>
        </row>
        <row r="406">
          <cell r="A406">
            <v>2147</v>
          </cell>
          <cell r="B406" t="str">
            <v>LAJMI</v>
          </cell>
          <cell r="C406" t="str">
            <v>OUSSAMA</v>
          </cell>
          <cell r="D406" t="str">
            <v>LAJMI OUSSAMA</v>
          </cell>
        </row>
        <row r="407">
          <cell r="A407">
            <v>2148</v>
          </cell>
          <cell r="B407" t="str">
            <v>CHIHI</v>
          </cell>
          <cell r="C407" t="str">
            <v>HOUSSEM</v>
          </cell>
          <cell r="D407" t="str">
            <v>CHIHI HOUSSEM</v>
          </cell>
        </row>
        <row r="408">
          <cell r="A408">
            <v>2149</v>
          </cell>
          <cell r="B408" t="str">
            <v>BERRIRI</v>
          </cell>
          <cell r="C408" t="str">
            <v>HOUSSEM</v>
          </cell>
          <cell r="D408" t="str">
            <v>BERRIRI HOUSSEM</v>
          </cell>
        </row>
        <row r="409">
          <cell r="A409">
            <v>2150</v>
          </cell>
          <cell r="B409" t="str">
            <v>GAZZAH</v>
          </cell>
          <cell r="C409" t="str">
            <v>MOHAMED AMINE</v>
          </cell>
          <cell r="D409" t="str">
            <v>GAZZAH MOHAMED AMINE</v>
          </cell>
        </row>
        <row r="410">
          <cell r="A410">
            <v>2151</v>
          </cell>
          <cell r="B410" t="str">
            <v>JELLITI</v>
          </cell>
          <cell r="C410" t="str">
            <v>MOHAMED</v>
          </cell>
          <cell r="D410" t="str">
            <v>JELLITI MOHAMED</v>
          </cell>
        </row>
        <row r="411">
          <cell r="A411">
            <v>2153</v>
          </cell>
          <cell r="B411" t="str">
            <v>BABAY ROUIS</v>
          </cell>
          <cell r="C411" t="str">
            <v>ANOIR</v>
          </cell>
          <cell r="D411" t="str">
            <v>BABAY ROUIS ANOIR</v>
          </cell>
        </row>
        <row r="412">
          <cell r="A412">
            <v>2154</v>
          </cell>
          <cell r="B412" t="str">
            <v>BEN AZIZA</v>
          </cell>
          <cell r="C412" t="str">
            <v>AYMEN</v>
          </cell>
          <cell r="D412" t="str">
            <v>BEN AZIZA AYMEN</v>
          </cell>
        </row>
        <row r="413">
          <cell r="A413">
            <v>2155</v>
          </cell>
          <cell r="B413" t="str">
            <v>MHIRI</v>
          </cell>
          <cell r="C413" t="str">
            <v>INES</v>
          </cell>
          <cell r="D413" t="str">
            <v>MHIRI INES</v>
          </cell>
        </row>
        <row r="414">
          <cell r="A414">
            <v>2158</v>
          </cell>
          <cell r="B414" t="str">
            <v>BEN MASSOUD</v>
          </cell>
          <cell r="C414" t="str">
            <v>MOHAMED ALI</v>
          </cell>
          <cell r="D414" t="str">
            <v>BEN MASSOUD MOHAMED ALI</v>
          </cell>
        </row>
        <row r="415">
          <cell r="A415">
            <v>2159</v>
          </cell>
          <cell r="B415" t="str">
            <v>HADDAJI</v>
          </cell>
          <cell r="C415" t="str">
            <v>SAMEH</v>
          </cell>
          <cell r="D415" t="str">
            <v>HADDAJI SAMEH</v>
          </cell>
        </row>
        <row r="416">
          <cell r="A416">
            <v>2160</v>
          </cell>
          <cell r="B416" t="str">
            <v>BEN HASSAN</v>
          </cell>
          <cell r="C416" t="str">
            <v>MAROUANE</v>
          </cell>
          <cell r="D416" t="str">
            <v>BEN HASSAN MAROUANE</v>
          </cell>
        </row>
        <row r="417">
          <cell r="A417">
            <v>2162</v>
          </cell>
          <cell r="B417" t="str">
            <v>BEN ATTIA</v>
          </cell>
          <cell r="C417" t="str">
            <v>HAMZA</v>
          </cell>
          <cell r="D417" t="str">
            <v>BEN ATTIA HAMZA</v>
          </cell>
        </row>
        <row r="418">
          <cell r="A418">
            <v>2166</v>
          </cell>
          <cell r="B418" t="str">
            <v>BEN CHIKH AMOR</v>
          </cell>
          <cell r="C418" t="str">
            <v>ADEL</v>
          </cell>
          <cell r="D418" t="str">
            <v>BEN CHIKH AMOR ADEL</v>
          </cell>
        </row>
        <row r="419">
          <cell r="A419">
            <v>2167</v>
          </cell>
          <cell r="B419" t="str">
            <v>BEN HASSINE</v>
          </cell>
          <cell r="C419" t="str">
            <v>JIHED</v>
          </cell>
          <cell r="D419" t="str">
            <v>BEN HASSINE JIHED</v>
          </cell>
        </row>
        <row r="420">
          <cell r="A420">
            <v>2170</v>
          </cell>
          <cell r="B420" t="str">
            <v>BEN AHMED</v>
          </cell>
          <cell r="C420" t="str">
            <v>ANOUAR</v>
          </cell>
          <cell r="D420" t="str">
            <v>BEN AHMED ANOUAR</v>
          </cell>
        </row>
        <row r="421">
          <cell r="A421">
            <v>2171</v>
          </cell>
          <cell r="B421" t="str">
            <v>BEN ELBAKRI</v>
          </cell>
          <cell r="C421" t="str">
            <v>HENI</v>
          </cell>
          <cell r="D421" t="str">
            <v>BEN ELBAKRI HENI</v>
          </cell>
        </row>
        <row r="422">
          <cell r="A422">
            <v>2172</v>
          </cell>
          <cell r="B422" t="str">
            <v>ACHECHE</v>
          </cell>
          <cell r="C422" t="str">
            <v>HABIB</v>
          </cell>
          <cell r="D422" t="str">
            <v>ACHECHE HABIB</v>
          </cell>
        </row>
        <row r="423">
          <cell r="A423">
            <v>2177</v>
          </cell>
          <cell r="B423" t="str">
            <v>KAHLOUN</v>
          </cell>
          <cell r="C423" t="str">
            <v>FREDJ</v>
          </cell>
          <cell r="D423" t="str">
            <v>KAHLOUN FREDJ</v>
          </cell>
        </row>
        <row r="424">
          <cell r="A424">
            <v>2178</v>
          </cell>
          <cell r="B424" t="str">
            <v>DHAOUADI</v>
          </cell>
          <cell r="C424" t="str">
            <v>MOHAMED HOSNI</v>
          </cell>
          <cell r="D424" t="str">
            <v>DHAOUADI MOHAMED HOSNI</v>
          </cell>
        </row>
        <row r="425">
          <cell r="A425">
            <v>2179</v>
          </cell>
          <cell r="B425" t="str">
            <v>BOUHLEL</v>
          </cell>
          <cell r="C425" t="str">
            <v>AHMED</v>
          </cell>
          <cell r="D425" t="str">
            <v>BOUHLEL AHMED</v>
          </cell>
        </row>
        <row r="426">
          <cell r="A426">
            <v>2183</v>
          </cell>
          <cell r="B426" t="str">
            <v>ISSAOUI</v>
          </cell>
          <cell r="C426" t="str">
            <v>RACHED</v>
          </cell>
          <cell r="D426" t="str">
            <v>ISSAOUI RACHED</v>
          </cell>
        </row>
        <row r="427">
          <cell r="A427">
            <v>2185</v>
          </cell>
          <cell r="B427" t="str">
            <v>BENYOUSSEF</v>
          </cell>
          <cell r="C427" t="str">
            <v>MOHAMED</v>
          </cell>
          <cell r="D427" t="str">
            <v>BENYOUSSEF MOHAMED</v>
          </cell>
        </row>
        <row r="428">
          <cell r="A428">
            <v>2187</v>
          </cell>
          <cell r="B428" t="str">
            <v>CHATTI</v>
          </cell>
          <cell r="C428" t="str">
            <v>ZIED</v>
          </cell>
          <cell r="D428" t="str">
            <v>CHATTI ZIED</v>
          </cell>
        </row>
        <row r="429">
          <cell r="A429">
            <v>2237</v>
          </cell>
          <cell r="B429" t="str">
            <v>LAKHAL</v>
          </cell>
          <cell r="C429" t="str">
            <v>MOHAMED NABIL</v>
          </cell>
          <cell r="D429" t="str">
            <v>LAKHAL MOHAMED NABIL</v>
          </cell>
        </row>
        <row r="430">
          <cell r="A430">
            <v>2238</v>
          </cell>
          <cell r="B430" t="str">
            <v>LOGHMARI</v>
          </cell>
          <cell r="C430" t="str">
            <v>MOHAMED BECHIR</v>
          </cell>
          <cell r="D430" t="str">
            <v>LOGHMARI MOHAMED BECHIR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Bd N°1"/>
      <sheetName val="Bd N°2"/>
      <sheetName val="Bd N°3"/>
      <sheetName val="Bd N°4"/>
      <sheetName val="Bd N°5"/>
      <sheetName val="Bd N°6"/>
      <sheetName val="Bd N°7"/>
      <sheetName val="Bd N°8"/>
      <sheetName val="Bd N°9"/>
      <sheetName val="Bd N°10"/>
      <sheetName val="Bd N°11"/>
      <sheetName val="Bd N°12"/>
      <sheetName val="Bd N°13"/>
      <sheetName val="Bd N°14"/>
      <sheetName val="Bd N°15"/>
      <sheetName val="Bd N°16"/>
      <sheetName val="Bd N°17"/>
      <sheetName val="Bd N°18"/>
      <sheetName val="Bd N°19"/>
      <sheetName val="Bd N°20"/>
      <sheetName val="Bd N°21"/>
      <sheetName val="Bd N°22"/>
      <sheetName val="Bd N°23"/>
      <sheetName val="Bd N°24"/>
      <sheetName val="Bd N°25"/>
      <sheetName val="Bd N°26"/>
      <sheetName val="Bd N°27"/>
      <sheetName val="Bd N°28"/>
      <sheetName val="Bd N°29"/>
      <sheetName val="Bd N°30"/>
      <sheetName val="Bd N°31"/>
      <sheetName val="Bd N°32"/>
      <sheetName val="Bd N°33"/>
      <sheetName val="Bd N°34"/>
      <sheetName val="Bd N°35"/>
      <sheetName val="Bd N°36"/>
      <sheetName val="Bd N°37"/>
      <sheetName val="Bd N°38"/>
      <sheetName val="39 BIS"/>
      <sheetName val="Bd N°39"/>
      <sheetName val="Bd N°40"/>
      <sheetName val="Bd N°41"/>
      <sheetName val="Bd N°42"/>
      <sheetName val="42 bis"/>
      <sheetName val="Bd N°43"/>
      <sheetName val="Bd N°44"/>
      <sheetName val="Bd N°45"/>
      <sheetName val="Feuil1"/>
      <sheetName val="INSTANCE 2"/>
      <sheetName val="JAM ASS"/>
      <sheetName val="Feuil10"/>
      <sheetName val="Feuil2"/>
      <sheetName val="ASSU FINAL "/>
      <sheetName val="Feuil7"/>
      <sheetName val="Bd Couple"/>
      <sheetName val="Feuil4"/>
    </sheetNames>
    <sheetDataSet>
      <sheetData sheetId="0" refreshError="1">
        <row r="1">
          <cell r="B1" t="str">
            <v>Nom &amp; Prénom</v>
          </cell>
        </row>
        <row r="2">
          <cell r="B2" t="str">
            <v>RAZGALLAH MOHAMED HABIB</v>
          </cell>
        </row>
        <row r="3">
          <cell r="B3" t="str">
            <v>KOUADA ABDERRAHMEN</v>
          </cell>
        </row>
        <row r="4">
          <cell r="B4" t="str">
            <v>BAYA ADEL</v>
          </cell>
        </row>
        <row r="5">
          <cell r="B5" t="str">
            <v>BOUGI SLAH</v>
          </cell>
        </row>
        <row r="6">
          <cell r="B6" t="str">
            <v>CHATTI RIDHA</v>
          </cell>
        </row>
        <row r="7">
          <cell r="B7" t="str">
            <v>GUEZGUEZ MUSTAHPA FAOUZI</v>
          </cell>
        </row>
        <row r="8">
          <cell r="B8" t="str">
            <v>MAJDOUB HABIB</v>
          </cell>
        </row>
        <row r="9">
          <cell r="B9" t="str">
            <v>BEN HAMOUDA MONDHER</v>
          </cell>
        </row>
        <row r="10">
          <cell r="B10" t="str">
            <v>BOUHLEL LOTFI</v>
          </cell>
        </row>
        <row r="11">
          <cell r="B11" t="str">
            <v>TRAD LOTFI</v>
          </cell>
        </row>
        <row r="12">
          <cell r="B12" t="str">
            <v>KHALIFA HAMED</v>
          </cell>
        </row>
        <row r="13">
          <cell r="B13" t="str">
            <v>GAZZAH ABDELKADER</v>
          </cell>
        </row>
        <row r="14">
          <cell r="B14" t="str">
            <v>ABID FATMA</v>
          </cell>
        </row>
        <row r="15">
          <cell r="B15" t="str">
            <v>GUIRAT ZOHRA</v>
          </cell>
        </row>
        <row r="16">
          <cell r="B16" t="str">
            <v>YOUSSEF HABIB</v>
          </cell>
        </row>
        <row r="17">
          <cell r="B17" t="str">
            <v>JARRAR JALEL BEN ALI</v>
          </cell>
        </row>
        <row r="18">
          <cell r="B18" t="str">
            <v>BABAY ROUIS HAMADI</v>
          </cell>
        </row>
        <row r="19">
          <cell r="B19" t="str">
            <v>ROUIS NACEUR</v>
          </cell>
        </row>
        <row r="20">
          <cell r="B20" t="str">
            <v>GUIRAT SALAH</v>
          </cell>
        </row>
        <row r="21">
          <cell r="B21" t="str">
            <v>BEN HAMOUDA SAIDA</v>
          </cell>
        </row>
        <row r="22">
          <cell r="B22" t="str">
            <v>MEDIMEGH HAYET</v>
          </cell>
        </row>
        <row r="23">
          <cell r="B23" t="str">
            <v>RAZGALLAH MOHAMED HABIB</v>
          </cell>
        </row>
        <row r="24">
          <cell r="B24" t="str">
            <v>BAYA ADEL</v>
          </cell>
        </row>
        <row r="25">
          <cell r="B25" t="str">
            <v>BOUGI SLAH</v>
          </cell>
        </row>
        <row r="26">
          <cell r="B26" t="str">
            <v>CHATTI RIDHA</v>
          </cell>
        </row>
        <row r="27">
          <cell r="B27" t="str">
            <v>GUEZGUEZ MUSTAHPA FAOUZI</v>
          </cell>
        </row>
        <row r="28">
          <cell r="B28" t="str">
            <v>MAJDOUB HABIB</v>
          </cell>
        </row>
        <row r="29">
          <cell r="B29" t="str">
            <v>BEN HAMOUDA MONDHER</v>
          </cell>
        </row>
        <row r="30">
          <cell r="B30" t="str">
            <v>BOUHLEL LOTFI</v>
          </cell>
        </row>
        <row r="31">
          <cell r="B31" t="str">
            <v>SKHIRI FAOUZI</v>
          </cell>
        </row>
        <row r="32">
          <cell r="B32" t="str">
            <v>TRAD LOTFI</v>
          </cell>
        </row>
        <row r="33">
          <cell r="B33" t="str">
            <v>KHALIFA HAMED</v>
          </cell>
        </row>
        <row r="34">
          <cell r="B34" t="str">
            <v>GAZZAH ABDELKADER</v>
          </cell>
        </row>
        <row r="35">
          <cell r="B35" t="str">
            <v>ABID FATMA</v>
          </cell>
        </row>
        <row r="36">
          <cell r="B36" t="str">
            <v>GUIRAT ZOHRA</v>
          </cell>
        </row>
        <row r="37">
          <cell r="B37" t="str">
            <v>JARRAR JALEL BEN ALI</v>
          </cell>
        </row>
        <row r="38">
          <cell r="B38" t="str">
            <v>BABAY ROUIS HAMADI</v>
          </cell>
        </row>
        <row r="39">
          <cell r="B39" t="str">
            <v>ROUIS NACEUR</v>
          </cell>
        </row>
        <row r="40">
          <cell r="B40" t="str">
            <v>GUIRAT SALAH</v>
          </cell>
        </row>
        <row r="41">
          <cell r="B41" t="str">
            <v>BEN HAMOUDA SAIDA</v>
          </cell>
        </row>
        <row r="42">
          <cell r="B42" t="str">
            <v>BOUKADDIDA MOHAMED</v>
          </cell>
        </row>
        <row r="43">
          <cell r="B43" t="str">
            <v>JARRAR JALEL</v>
          </cell>
        </row>
        <row r="44">
          <cell r="B44" t="str">
            <v>AMIMI ABDELMEJID</v>
          </cell>
        </row>
        <row r="45">
          <cell r="B45" t="str">
            <v>BEN SALEM ABDELWAHEB</v>
          </cell>
        </row>
        <row r="46">
          <cell r="B46" t="str">
            <v>DHIFALLAH MOHAMED</v>
          </cell>
        </row>
        <row r="47">
          <cell r="B47" t="str">
            <v>GAZZAH MAHMOUD</v>
          </cell>
        </row>
        <row r="48">
          <cell r="B48" t="str">
            <v>BAYA HABIB</v>
          </cell>
        </row>
        <row r="49">
          <cell r="B49" t="str">
            <v>LADHARI JAMEL</v>
          </cell>
        </row>
        <row r="50">
          <cell r="B50" t="str">
            <v>BEN HAMMOUDA NOURI</v>
          </cell>
        </row>
        <row r="51">
          <cell r="B51" t="str">
            <v>MRIZEK KAMEL</v>
          </cell>
        </row>
        <row r="52">
          <cell r="B52" t="str">
            <v>GRASSA ABDELHAMID</v>
          </cell>
        </row>
        <row r="53">
          <cell r="B53" t="str">
            <v>MLAYAH KHALED</v>
          </cell>
        </row>
        <row r="54">
          <cell r="B54" t="str">
            <v>BEN SALEM AHMED</v>
          </cell>
        </row>
        <row r="55">
          <cell r="B55" t="str">
            <v>GRAA RIADH</v>
          </cell>
        </row>
        <row r="56">
          <cell r="B56" t="str">
            <v>CHOUCHENE HAMILA AHMED</v>
          </cell>
        </row>
        <row r="57">
          <cell r="B57" t="str">
            <v>MOUSSA MOUNIR</v>
          </cell>
        </row>
        <row r="58">
          <cell r="B58" t="str">
            <v>MAHJOUB NOUIR MONCEF</v>
          </cell>
        </row>
        <row r="59">
          <cell r="B59" t="str">
            <v>MANSOURI FETHI</v>
          </cell>
        </row>
        <row r="60">
          <cell r="B60" t="str">
            <v>BEN ABDELJELIL ABDELJELIL</v>
          </cell>
        </row>
        <row r="61">
          <cell r="B61" t="str">
            <v>KRIFA KAMEL</v>
          </cell>
        </row>
        <row r="62">
          <cell r="B62" t="str">
            <v>MAJDOUB HEDI</v>
          </cell>
        </row>
        <row r="63">
          <cell r="B63" t="str">
            <v>REGAIEG SALEM</v>
          </cell>
        </row>
        <row r="64">
          <cell r="B64" t="str">
            <v>NAKOURI SAIDA</v>
          </cell>
        </row>
        <row r="65">
          <cell r="B65" t="str">
            <v>HAFSIA IMED</v>
          </cell>
        </row>
        <row r="66">
          <cell r="B66" t="str">
            <v>ROUIS NEJIB</v>
          </cell>
        </row>
        <row r="67">
          <cell r="B67" t="str">
            <v>HAFSIA HICHEM</v>
          </cell>
        </row>
        <row r="68">
          <cell r="B68" t="str">
            <v>BEN ABDELKERIM HAYET</v>
          </cell>
        </row>
        <row r="69">
          <cell r="B69" t="str">
            <v>BOUHLEL BECHIR</v>
          </cell>
        </row>
        <row r="70">
          <cell r="B70" t="str">
            <v>ACHOUR HABIB</v>
          </cell>
        </row>
        <row r="71">
          <cell r="B71" t="str">
            <v>ATTROUSSE NOUREDDINE</v>
          </cell>
        </row>
        <row r="72">
          <cell r="B72" t="str">
            <v>KNANI SAMIR</v>
          </cell>
        </row>
        <row r="73">
          <cell r="B73" t="str">
            <v>LAYOUNI ABDELKARIM</v>
          </cell>
        </row>
        <row r="74">
          <cell r="B74" t="str">
            <v>ZOUINI SOUAD</v>
          </cell>
        </row>
        <row r="75">
          <cell r="B75" t="str">
            <v>BOUZAMMOUCHA MOURAD</v>
          </cell>
        </row>
        <row r="76">
          <cell r="B76" t="str">
            <v>BEN SIK ALI FETHI</v>
          </cell>
        </row>
        <row r="77">
          <cell r="B77" t="str">
            <v>LADHARI TAIEB</v>
          </cell>
        </row>
        <row r="78">
          <cell r="B78" t="str">
            <v>MAHJOUB BRAHIM</v>
          </cell>
        </row>
        <row r="79">
          <cell r="B79" t="str">
            <v>EL HASSANI KHELIL</v>
          </cell>
        </row>
        <row r="80">
          <cell r="B80" t="str">
            <v>BEN HAMMOUDA TAOUFIK</v>
          </cell>
        </row>
        <row r="81">
          <cell r="B81" t="str">
            <v>BABAY AHMED</v>
          </cell>
        </row>
        <row r="82">
          <cell r="B82" t="str">
            <v>SOUSSI RIDHA</v>
          </cell>
        </row>
        <row r="83">
          <cell r="B83" t="str">
            <v>BOUGHATTAS CHOKRI</v>
          </cell>
        </row>
        <row r="84">
          <cell r="B84" t="str">
            <v>BAHLOUL FADHEL</v>
          </cell>
        </row>
        <row r="85">
          <cell r="B85" t="str">
            <v>GUEZGUEZ JALEL</v>
          </cell>
        </row>
        <row r="86">
          <cell r="B86" t="str">
            <v>LAYOUNI GHAZI</v>
          </cell>
        </row>
        <row r="87">
          <cell r="B87" t="str">
            <v>BEL HADJ ALI FETHI</v>
          </cell>
        </row>
        <row r="88">
          <cell r="B88" t="str">
            <v>MAOUA MOHAMED HABIB</v>
          </cell>
        </row>
        <row r="89">
          <cell r="B89" t="str">
            <v>BAHRI ADEL</v>
          </cell>
        </row>
        <row r="90">
          <cell r="B90" t="str">
            <v>BEN CHOUAIEB LOUSSAIEF</v>
          </cell>
        </row>
        <row r="91">
          <cell r="B91" t="str">
            <v>SAADAOUI RIDHA</v>
          </cell>
        </row>
        <row r="92">
          <cell r="B92" t="str">
            <v>SMA FAOUZI</v>
          </cell>
        </row>
        <row r="93">
          <cell r="B93" t="str">
            <v>NOUIGUES MOHAMED</v>
          </cell>
        </row>
        <row r="94">
          <cell r="B94" t="str">
            <v>GAIEB RAOUF</v>
          </cell>
        </row>
        <row r="95">
          <cell r="B95" t="str">
            <v>HMIDA KHEMAIES</v>
          </cell>
        </row>
        <row r="96">
          <cell r="B96" t="str">
            <v>LOGHMARI LOTFI</v>
          </cell>
        </row>
        <row r="97">
          <cell r="B97" t="str">
            <v>BAILI NEJMEDDINE</v>
          </cell>
        </row>
        <row r="98">
          <cell r="B98" t="str">
            <v>SAADAOUI MOHAMED</v>
          </cell>
        </row>
        <row r="99">
          <cell r="B99" t="str">
            <v>BEN ABDELJELIL HABIB</v>
          </cell>
        </row>
        <row r="100">
          <cell r="B100" t="str">
            <v>KRIFA LOTFI</v>
          </cell>
        </row>
        <row r="101">
          <cell r="B101" t="str">
            <v>GRASSA MOHSEN</v>
          </cell>
        </row>
        <row r="102">
          <cell r="B102" t="str">
            <v>TERZAG  BHIRI CHEDLY</v>
          </cell>
        </row>
        <row r="103">
          <cell r="B103" t="str">
            <v>KILANI KHEMAIES</v>
          </cell>
        </row>
        <row r="104">
          <cell r="B104" t="str">
            <v>BEL HADJ SGHAIER NOUREDDINE</v>
          </cell>
        </row>
        <row r="105">
          <cell r="B105" t="str">
            <v>BAYA TAOUFIK</v>
          </cell>
        </row>
        <row r="106">
          <cell r="B106" t="str">
            <v>BOUGADDOUHA HABIB</v>
          </cell>
        </row>
        <row r="107">
          <cell r="B107" t="str">
            <v>ROUIS HASSEN</v>
          </cell>
        </row>
        <row r="108">
          <cell r="B108" t="str">
            <v>AKKARI ALI</v>
          </cell>
        </row>
        <row r="109">
          <cell r="B109" t="str">
            <v>BEN KHELIFA RACHID</v>
          </cell>
        </row>
        <row r="110">
          <cell r="B110" t="str">
            <v>AJROUD RIDHA</v>
          </cell>
        </row>
        <row r="111">
          <cell r="B111" t="str">
            <v>KECHICHE BECHIR</v>
          </cell>
        </row>
        <row r="112">
          <cell r="B112" t="str">
            <v>JEBNOUN ADEL</v>
          </cell>
        </row>
        <row r="113">
          <cell r="B113" t="str">
            <v>BAYA RIADH</v>
          </cell>
        </row>
        <row r="114">
          <cell r="B114" t="str">
            <v>BHIRI ALI</v>
          </cell>
        </row>
        <row r="115">
          <cell r="B115" t="str">
            <v>ABDELJAOUAD HABIB</v>
          </cell>
        </row>
        <row r="116">
          <cell r="B116" t="str">
            <v>LADHARI ABDERRAZEK</v>
          </cell>
        </row>
        <row r="117">
          <cell r="B117" t="str">
            <v>CHATTI ZOMMIT SABEUR</v>
          </cell>
        </row>
        <row r="118">
          <cell r="B118" t="str">
            <v>HAMILA KHALED</v>
          </cell>
        </row>
        <row r="119">
          <cell r="B119" t="str">
            <v>NABLI MUSTAPHA</v>
          </cell>
        </row>
        <row r="120">
          <cell r="B120" t="str">
            <v>BEN TURKIA KHELIFA</v>
          </cell>
        </row>
        <row r="121">
          <cell r="B121" t="str">
            <v>NEFFATI ABDELAZIZ</v>
          </cell>
        </row>
        <row r="122">
          <cell r="B122" t="str">
            <v>LANDOULSI HABIB</v>
          </cell>
        </row>
        <row r="123">
          <cell r="B123" t="str">
            <v>JMEGEUR HEDI</v>
          </cell>
        </row>
        <row r="124">
          <cell r="B124" t="str">
            <v>GRAA JALEL</v>
          </cell>
        </row>
        <row r="125">
          <cell r="B125" t="str">
            <v>YOUSSEF AFIF</v>
          </cell>
        </row>
        <row r="126">
          <cell r="B126" t="str">
            <v>BEN ALAYA HAMADI</v>
          </cell>
        </row>
        <row r="127">
          <cell r="B127" t="str">
            <v>JLASSI ALI</v>
          </cell>
        </row>
        <row r="128">
          <cell r="B128" t="str">
            <v>TRIA MOHAMED</v>
          </cell>
        </row>
        <row r="129">
          <cell r="B129" t="str">
            <v>SASSI RIDHA</v>
          </cell>
        </row>
        <row r="130">
          <cell r="B130" t="str">
            <v>BEN TURKIA SAMIR</v>
          </cell>
        </row>
        <row r="131">
          <cell r="B131" t="str">
            <v>BOUKRAA ABDELHAFIDH</v>
          </cell>
        </row>
        <row r="132">
          <cell r="B132" t="str">
            <v>AFRIT RIDHA</v>
          </cell>
        </row>
        <row r="133">
          <cell r="B133" t="str">
            <v>BEL HADJ SGHAIER BECHIR</v>
          </cell>
        </row>
        <row r="134">
          <cell r="B134" t="str">
            <v>BERRIRI JAMEL</v>
          </cell>
        </row>
        <row r="135">
          <cell r="B135" t="str">
            <v>MOSBAH HABIB</v>
          </cell>
        </row>
        <row r="136">
          <cell r="B136" t="str">
            <v>CHEBIL WAHID</v>
          </cell>
        </row>
        <row r="137">
          <cell r="B137" t="str">
            <v>BEN ABDELJALIL MILED</v>
          </cell>
        </row>
        <row r="138">
          <cell r="B138" t="str">
            <v>CHTIOUI HABIB</v>
          </cell>
        </row>
        <row r="139">
          <cell r="B139" t="str">
            <v>HAMMAS AMMAR</v>
          </cell>
        </row>
        <row r="140">
          <cell r="B140" t="str">
            <v>BEN HASSINE RADHOUANE</v>
          </cell>
        </row>
        <row r="141">
          <cell r="B141" t="str">
            <v>LAHDHIRI AMOR</v>
          </cell>
        </row>
        <row r="142">
          <cell r="B142" t="str">
            <v>BOUZAMMOUCHA MOHAMED</v>
          </cell>
        </row>
        <row r="143">
          <cell r="B143" t="str">
            <v>BEN ABDELJAOUED SAMI</v>
          </cell>
        </row>
        <row r="144">
          <cell r="B144" t="str">
            <v>KOUADA HEDI</v>
          </cell>
        </row>
        <row r="145">
          <cell r="B145" t="str">
            <v>CHOUIKHA RACHED</v>
          </cell>
        </row>
        <row r="146">
          <cell r="B146" t="str">
            <v>BOUARGOUB MOHAMED</v>
          </cell>
        </row>
        <row r="147">
          <cell r="B147" t="str">
            <v>BEN HAFAIEDH MOHAMED</v>
          </cell>
        </row>
        <row r="148">
          <cell r="B148" t="str">
            <v>BEN HAMMOUDA SAMI</v>
          </cell>
        </row>
        <row r="149">
          <cell r="B149" t="str">
            <v>TOUMI CHOKRI</v>
          </cell>
        </row>
        <row r="150">
          <cell r="B150" t="str">
            <v>HAMDI RIDHA</v>
          </cell>
        </row>
        <row r="151">
          <cell r="B151" t="str">
            <v>MAATOUG HMAIED</v>
          </cell>
        </row>
        <row r="152">
          <cell r="B152" t="str">
            <v>JARRAR RIDHA</v>
          </cell>
        </row>
        <row r="153">
          <cell r="B153" t="str">
            <v>CHIBA FETIHA</v>
          </cell>
        </row>
        <row r="154">
          <cell r="B154" t="str">
            <v>HAFSIA ZOUHAIER</v>
          </cell>
        </row>
        <row r="155">
          <cell r="B155" t="str">
            <v>LAKHAL FETHI</v>
          </cell>
        </row>
        <row r="156">
          <cell r="B156" t="str">
            <v>BEN MARIEM MOHAMED</v>
          </cell>
        </row>
        <row r="157">
          <cell r="B157" t="str">
            <v>BEN ABDALLAH TAOUFIK</v>
          </cell>
        </row>
        <row r="158">
          <cell r="B158" t="str">
            <v>DHIB TAOUFIK</v>
          </cell>
        </row>
        <row r="159">
          <cell r="B159" t="str">
            <v>BOUHLEL ABDELHAFIDH</v>
          </cell>
        </row>
        <row r="160">
          <cell r="B160" t="str">
            <v>NOUREDDINE HEDI</v>
          </cell>
        </row>
        <row r="161">
          <cell r="B161" t="str">
            <v>EL GAZZEH CHIHEB</v>
          </cell>
        </row>
        <row r="162">
          <cell r="B162" t="str">
            <v>MAHFOUDH TAREK</v>
          </cell>
        </row>
        <row r="163">
          <cell r="B163" t="str">
            <v>BHIRI JAMEL</v>
          </cell>
        </row>
        <row r="164">
          <cell r="B164" t="str">
            <v>HAOUAS KAMEL</v>
          </cell>
        </row>
        <row r="165">
          <cell r="B165" t="str">
            <v>BEN AMMAR MOUNIR</v>
          </cell>
        </row>
        <row r="166">
          <cell r="B166" t="str">
            <v>BEN CHOUAIEB JOMAA</v>
          </cell>
        </row>
        <row r="167">
          <cell r="B167" t="str">
            <v>HASSEN MOHAMED</v>
          </cell>
        </row>
        <row r="168">
          <cell r="B168" t="str">
            <v>EL ABED FETHI</v>
          </cell>
        </row>
        <row r="169">
          <cell r="B169" t="str">
            <v>ATTIA TAOUFIK</v>
          </cell>
        </row>
        <row r="170">
          <cell r="B170" t="str">
            <v>EL GADHI SALAH</v>
          </cell>
        </row>
        <row r="171">
          <cell r="B171" t="str">
            <v>ACHOUR KAMEL</v>
          </cell>
        </row>
        <row r="172">
          <cell r="B172" t="str">
            <v>BEN SALEM ZOUHAIER</v>
          </cell>
        </row>
        <row r="173">
          <cell r="B173" t="str">
            <v>REGAIEG HABIB</v>
          </cell>
        </row>
        <row r="174">
          <cell r="B174" t="str">
            <v>BEN NAGLA AMOR</v>
          </cell>
        </row>
        <row r="175">
          <cell r="B175" t="str">
            <v>HADJ ALI FREDJ</v>
          </cell>
        </row>
        <row r="176">
          <cell r="B176" t="str">
            <v>MOSBAH ABDERRAZEK</v>
          </cell>
        </row>
        <row r="177">
          <cell r="B177" t="str">
            <v>SHAIEB ABDELMEJID</v>
          </cell>
        </row>
        <row r="178">
          <cell r="B178" t="str">
            <v>EL ABED MOHAMED</v>
          </cell>
        </row>
        <row r="179">
          <cell r="B179" t="str">
            <v>MATHLOUTHI TAIEB</v>
          </cell>
        </row>
        <row r="180">
          <cell r="B180" t="str">
            <v>CHAARANA HABIB</v>
          </cell>
        </row>
        <row r="181">
          <cell r="B181" t="str">
            <v>BRAHAM SALEM</v>
          </cell>
        </row>
        <row r="182">
          <cell r="B182" t="str">
            <v>GOUIDER HABIB</v>
          </cell>
        </row>
        <row r="183">
          <cell r="B183" t="str">
            <v>KHALFALLAH ABDELAZIZ</v>
          </cell>
        </row>
        <row r="184">
          <cell r="B184" t="str">
            <v>SMIDA ALI</v>
          </cell>
        </row>
        <row r="185">
          <cell r="B185" t="str">
            <v>LOGHMARI MOHAMED</v>
          </cell>
        </row>
        <row r="186">
          <cell r="B186" t="str">
            <v>RAZGALAH EZZEDDINE</v>
          </cell>
        </row>
        <row r="187">
          <cell r="B187" t="str">
            <v>MABROUK FREDJ</v>
          </cell>
        </row>
        <row r="188">
          <cell r="B188" t="str">
            <v>HAMILA JAMILA</v>
          </cell>
        </row>
        <row r="189">
          <cell r="B189" t="str">
            <v>BEN MBAREK JALEL</v>
          </cell>
        </row>
        <row r="190">
          <cell r="B190" t="str">
            <v>ATTROUSSE KAMEL</v>
          </cell>
        </row>
        <row r="191">
          <cell r="B191" t="str">
            <v>ETTOUNSI MOKHTAR</v>
          </cell>
        </row>
        <row r="192">
          <cell r="B192" t="str">
            <v>MAHJOUB KHEMAIES</v>
          </cell>
        </row>
        <row r="193">
          <cell r="B193" t="str">
            <v>GHRAIEB MED SALAH</v>
          </cell>
        </row>
        <row r="194">
          <cell r="B194" t="str">
            <v>GUEDRI MONCEF</v>
          </cell>
        </row>
        <row r="195">
          <cell r="B195" t="str">
            <v>JARRAR BECHIR</v>
          </cell>
        </row>
        <row r="196">
          <cell r="B196" t="str">
            <v>GUEZGUEZ AHMED KHAIREDDINE</v>
          </cell>
        </row>
        <row r="197">
          <cell r="B197" t="str">
            <v>HAMILA MOHAMED</v>
          </cell>
        </row>
        <row r="198">
          <cell r="B198" t="str">
            <v>MALLEH HATEM</v>
          </cell>
        </row>
        <row r="199">
          <cell r="B199" t="str">
            <v>LADHARI MOUNIR</v>
          </cell>
        </row>
        <row r="200">
          <cell r="B200" t="str">
            <v>KHALIFA NACEUR</v>
          </cell>
        </row>
        <row r="201">
          <cell r="B201" t="str">
            <v>MANSOUR ABDELMEJID</v>
          </cell>
        </row>
        <row r="202">
          <cell r="B202" t="str">
            <v>MATHLOUTHI TAHAR</v>
          </cell>
        </row>
        <row r="203">
          <cell r="B203" t="str">
            <v>AKKARI MOULDI</v>
          </cell>
        </row>
        <row r="204">
          <cell r="B204" t="str">
            <v>BOUARGOUB SLAHEDDINE</v>
          </cell>
        </row>
        <row r="205">
          <cell r="B205" t="str">
            <v>TOUMI FETHI</v>
          </cell>
        </row>
        <row r="206">
          <cell r="B206" t="str">
            <v>CHEBIL MOHAMED MONCEF</v>
          </cell>
        </row>
        <row r="207">
          <cell r="B207" t="str">
            <v>BOUNEB LOTFI</v>
          </cell>
        </row>
        <row r="208">
          <cell r="B208" t="str">
            <v>NABLI SAYED</v>
          </cell>
        </row>
        <row r="209">
          <cell r="B209" t="str">
            <v>BEN HADJ SGHAIER ABDELHEDI</v>
          </cell>
        </row>
        <row r="210">
          <cell r="B210" t="str">
            <v>BEN HMED MOHSEN</v>
          </cell>
        </row>
        <row r="211">
          <cell r="B211" t="str">
            <v>BEN YOUSSEF RACHED</v>
          </cell>
        </row>
        <row r="212">
          <cell r="B212" t="str">
            <v>ROMDHANE YOUSSEF</v>
          </cell>
        </row>
        <row r="213">
          <cell r="B213" t="str">
            <v>MABROUK FETHI</v>
          </cell>
        </row>
        <row r="214">
          <cell r="B214" t="str">
            <v>MATHLOUTHI KHALED</v>
          </cell>
        </row>
        <row r="215">
          <cell r="B215" t="str">
            <v>YOUSSEF MOHAMED</v>
          </cell>
        </row>
        <row r="216">
          <cell r="B216" t="str">
            <v>BOUBAKER MAHER</v>
          </cell>
        </row>
        <row r="217">
          <cell r="B217" t="str">
            <v>CHIHAOUI ALI</v>
          </cell>
        </row>
        <row r="218">
          <cell r="B218" t="str">
            <v>KOUIKI ABDERRAZEK</v>
          </cell>
        </row>
        <row r="219">
          <cell r="B219" t="str">
            <v>AOUISSI MOKHTAR</v>
          </cell>
        </row>
        <row r="220">
          <cell r="B220" t="str">
            <v>DAHMANI NACEUR</v>
          </cell>
        </row>
        <row r="221">
          <cell r="B221" t="str">
            <v>BELLAOU HASSINE</v>
          </cell>
        </row>
        <row r="222">
          <cell r="B222" t="str">
            <v>ABDELLAH MOHAMED</v>
          </cell>
        </row>
        <row r="223">
          <cell r="B223" t="str">
            <v>BEN SALEM MOHAMED</v>
          </cell>
        </row>
        <row r="224">
          <cell r="B224" t="str">
            <v>LAAJILI  ABDELHAMID</v>
          </cell>
        </row>
        <row r="225">
          <cell r="B225" t="str">
            <v>KHAYACHI SALEM</v>
          </cell>
        </row>
        <row r="226">
          <cell r="B226" t="str">
            <v>BEN FKIH ALI IMED</v>
          </cell>
        </row>
        <row r="227">
          <cell r="B227" t="str">
            <v>ZORGATI ABDELFATTEH</v>
          </cell>
        </row>
        <row r="228">
          <cell r="B228" t="str">
            <v>BEN HASSINE ABDELHAKIM</v>
          </cell>
        </row>
        <row r="229">
          <cell r="B229" t="str">
            <v>CHAOUR SKANDER</v>
          </cell>
        </row>
        <row r="230">
          <cell r="B230" t="str">
            <v>BEN SAAD SALEM</v>
          </cell>
        </row>
        <row r="231">
          <cell r="B231" t="str">
            <v>NAGARA SALEM</v>
          </cell>
        </row>
        <row r="232">
          <cell r="B232" t="str">
            <v>BEN LAHMEDI BOURAOUI</v>
          </cell>
        </row>
        <row r="233">
          <cell r="B233" t="str">
            <v>LAHDHIRI NEJMEDDINE</v>
          </cell>
        </row>
        <row r="234">
          <cell r="B234" t="str">
            <v>ESSAAFI SADOK</v>
          </cell>
        </row>
        <row r="235">
          <cell r="B235" t="str">
            <v>BOUSSOUIFA HABIB</v>
          </cell>
        </row>
        <row r="236">
          <cell r="B236" t="str">
            <v>BEN ABDELJELIL WAHID</v>
          </cell>
        </row>
        <row r="237">
          <cell r="B237" t="str">
            <v>BOUARGOUB MOURAD</v>
          </cell>
        </row>
        <row r="238">
          <cell r="B238" t="str">
            <v>KILANI MOUNIR</v>
          </cell>
        </row>
        <row r="239">
          <cell r="B239" t="str">
            <v>EL AMRI FAYCAL</v>
          </cell>
        </row>
        <row r="240">
          <cell r="B240" t="str">
            <v>BEN YAHIA KAMEL</v>
          </cell>
        </row>
        <row r="241">
          <cell r="B241" t="str">
            <v>BEN FKIH ALI MOHAMED</v>
          </cell>
        </row>
        <row r="242">
          <cell r="B242" t="str">
            <v>SLIMENE RIDHA</v>
          </cell>
        </row>
        <row r="243">
          <cell r="B243" t="str">
            <v>BEN FREDJ BOURAOUI</v>
          </cell>
        </row>
        <row r="244">
          <cell r="B244" t="str">
            <v>MFAREJ CHAFIK</v>
          </cell>
        </row>
        <row r="245">
          <cell r="B245" t="str">
            <v>BOUHLEL LOTFI</v>
          </cell>
        </row>
        <row r="246">
          <cell r="B246" t="str">
            <v>ATTIA NOUREDDINE</v>
          </cell>
        </row>
        <row r="247">
          <cell r="B247" t="str">
            <v>ZORGATI MONDHER</v>
          </cell>
        </row>
        <row r="248">
          <cell r="B248" t="str">
            <v>BEN AMOR MED NEJIB</v>
          </cell>
        </row>
        <row r="249">
          <cell r="B249" t="str">
            <v>FAYALA SALAH</v>
          </cell>
        </row>
        <row r="250">
          <cell r="B250" t="str">
            <v>SASSI HABIB</v>
          </cell>
        </row>
        <row r="251">
          <cell r="B251" t="str">
            <v>CHTIOUI FETHI</v>
          </cell>
        </row>
        <row r="252">
          <cell r="B252" t="str">
            <v>ATTIA HAFEDH</v>
          </cell>
        </row>
        <row r="253">
          <cell r="B253" t="str">
            <v>MLAYAH ALI</v>
          </cell>
        </row>
        <row r="254">
          <cell r="B254" t="str">
            <v>BEN FKIH AHMED HABIB</v>
          </cell>
        </row>
        <row r="255">
          <cell r="B255" t="str">
            <v>EL KALBI RACHID</v>
          </cell>
        </row>
        <row r="256">
          <cell r="B256" t="str">
            <v>DHRIR NACIR</v>
          </cell>
        </row>
        <row r="257">
          <cell r="B257" t="str">
            <v>BAYA SABEUR</v>
          </cell>
        </row>
        <row r="258">
          <cell r="B258" t="str">
            <v>KRIFA ALI</v>
          </cell>
        </row>
        <row r="259">
          <cell r="B259" t="str">
            <v>DAHMANI ABDELLATIF</v>
          </cell>
        </row>
        <row r="260">
          <cell r="B260" t="str">
            <v>REBAI AMOR</v>
          </cell>
        </row>
        <row r="261">
          <cell r="B261" t="str">
            <v>LAGRAS AMEUR</v>
          </cell>
        </row>
        <row r="262">
          <cell r="B262" t="str">
            <v>HADJ AMMAR KAMEL</v>
          </cell>
        </row>
        <row r="263">
          <cell r="B263" t="str">
            <v>REJEB TAHAR</v>
          </cell>
        </row>
        <row r="264">
          <cell r="B264" t="str">
            <v>DAHMANI HAFSI</v>
          </cell>
        </row>
        <row r="265">
          <cell r="B265" t="str">
            <v>BEN YOUSSEF ABDELMEJID</v>
          </cell>
        </row>
        <row r="266">
          <cell r="B266" t="str">
            <v>MRIBAH NACEUR</v>
          </cell>
        </row>
        <row r="267">
          <cell r="B267" t="str">
            <v>DOURA CHIHEB</v>
          </cell>
        </row>
        <row r="268">
          <cell r="B268" t="str">
            <v>BAILI DRISS</v>
          </cell>
        </row>
        <row r="269">
          <cell r="B269" t="str">
            <v>ABBASSI LOTFI</v>
          </cell>
        </row>
        <row r="270">
          <cell r="B270" t="str">
            <v>CHAIEB MOHAMED SALAH</v>
          </cell>
        </row>
        <row r="271">
          <cell r="B271" t="str">
            <v>LAGRAS SADOK</v>
          </cell>
        </row>
        <row r="272">
          <cell r="B272" t="str">
            <v>BEL HADJ HASSEN ABDELAZIZ</v>
          </cell>
        </row>
        <row r="273">
          <cell r="B273" t="str">
            <v>GAALOUL MAHFOUDH</v>
          </cell>
        </row>
        <row r="274">
          <cell r="B274" t="str">
            <v>IBN KHEBACHA ANOUAR</v>
          </cell>
        </row>
        <row r="275">
          <cell r="B275" t="str">
            <v>BEN MANSOUR HEDHILI</v>
          </cell>
        </row>
        <row r="276">
          <cell r="B276" t="str">
            <v>BABAY ROUIS ABDERRAZEK</v>
          </cell>
        </row>
        <row r="277">
          <cell r="B277" t="str">
            <v>KHADHRAOUI MOHAMED</v>
          </cell>
        </row>
        <row r="278">
          <cell r="B278" t="str">
            <v>KAIBI RIDHA</v>
          </cell>
        </row>
        <row r="279">
          <cell r="B279" t="str">
            <v>SAHLI SAMIR</v>
          </cell>
        </row>
        <row r="280">
          <cell r="B280" t="str">
            <v>LAMINE RIADH</v>
          </cell>
        </row>
        <row r="281">
          <cell r="B281" t="str">
            <v>ZRELLI MOHAMED</v>
          </cell>
        </row>
        <row r="282">
          <cell r="B282" t="str">
            <v>YOUSSEF MOHAMED</v>
          </cell>
        </row>
        <row r="283">
          <cell r="B283" t="str">
            <v>MANSOURI KHEMAIES</v>
          </cell>
        </row>
        <row r="284">
          <cell r="B284" t="str">
            <v>EL ABED TAOUFIK</v>
          </cell>
        </row>
        <row r="285">
          <cell r="B285" t="str">
            <v>BOUHLEL SAMIR</v>
          </cell>
        </row>
        <row r="286">
          <cell r="B286" t="str">
            <v>MOUSSA ABDERRAZEK</v>
          </cell>
        </row>
        <row r="287">
          <cell r="B287" t="str">
            <v>LAHDHIRI MOHAMED HEDI</v>
          </cell>
        </row>
        <row r="288">
          <cell r="B288" t="str">
            <v>LAYOUNI ABDELLATIF</v>
          </cell>
        </row>
        <row r="289">
          <cell r="B289" t="str">
            <v>MANSOUR KHEMAIES</v>
          </cell>
        </row>
        <row r="290">
          <cell r="B290" t="str">
            <v>MLISS ABDELWAHEB</v>
          </cell>
        </row>
        <row r="291">
          <cell r="B291" t="str">
            <v>HAMILA RAFIK</v>
          </cell>
        </row>
        <row r="292">
          <cell r="B292" t="str">
            <v>YAZIDI MOHAMED</v>
          </cell>
        </row>
        <row r="293">
          <cell r="B293" t="str">
            <v>BEL HADJ ALI JALEL</v>
          </cell>
        </row>
        <row r="294">
          <cell r="B294" t="str">
            <v>NOUIRA KAMEL</v>
          </cell>
        </row>
        <row r="295">
          <cell r="B295" t="str">
            <v>YOUSSEF HEDI</v>
          </cell>
        </row>
        <row r="296">
          <cell r="B296" t="str">
            <v>TOUMI BECHIR</v>
          </cell>
        </row>
        <row r="297">
          <cell r="B297" t="str">
            <v>OMRANE ZOUHAIER</v>
          </cell>
        </row>
        <row r="298">
          <cell r="B298" t="str">
            <v>MAOUA MED HEDI</v>
          </cell>
        </row>
        <row r="299">
          <cell r="B299" t="str">
            <v>AMARA HABIB</v>
          </cell>
        </row>
        <row r="300">
          <cell r="B300" t="str">
            <v>KARMOUS TAREK</v>
          </cell>
        </row>
        <row r="301">
          <cell r="B301" t="str">
            <v>BEL HADJ MEFTAH ABDERRAOUF</v>
          </cell>
        </row>
        <row r="302">
          <cell r="B302" t="str">
            <v>BEN AZIZA SLAH</v>
          </cell>
        </row>
        <row r="303">
          <cell r="B303" t="str">
            <v>GUIRAT HEDI</v>
          </cell>
        </row>
        <row r="304">
          <cell r="B304" t="str">
            <v>ZIDI SAAFI MUSTAPHA</v>
          </cell>
        </row>
        <row r="305">
          <cell r="B305" t="str">
            <v>KRIFA MOHAMED</v>
          </cell>
        </row>
        <row r="306">
          <cell r="B306" t="str">
            <v>SMIDA YOUSSEF</v>
          </cell>
        </row>
        <row r="307">
          <cell r="B307" t="str">
            <v>ACHECH IMED</v>
          </cell>
        </row>
        <row r="308">
          <cell r="B308" t="str">
            <v>EL AMRI HICHEM</v>
          </cell>
        </row>
        <row r="309">
          <cell r="B309" t="str">
            <v>HAOUAS ZAHOUANI MOHAMED AMEN</v>
          </cell>
        </row>
        <row r="310">
          <cell r="B310" t="str">
            <v>BEN ABDELJELIL AMEUR</v>
          </cell>
        </row>
        <row r="311">
          <cell r="B311" t="str">
            <v>SLIMENE MEHREZ</v>
          </cell>
        </row>
        <row r="312">
          <cell r="B312" t="str">
            <v>SASSI FREDJ</v>
          </cell>
        </row>
        <row r="313">
          <cell r="B313" t="str">
            <v>BOUHLEL ZOUHAIER</v>
          </cell>
        </row>
        <row r="314">
          <cell r="B314" t="str">
            <v>KILANI CHOUICHINE ADEL</v>
          </cell>
        </row>
        <row r="315">
          <cell r="B315" t="str">
            <v>MANSOUR NABIL</v>
          </cell>
        </row>
        <row r="316">
          <cell r="B316" t="str">
            <v>GAZZAH NIZAR</v>
          </cell>
        </row>
        <row r="317">
          <cell r="B317" t="str">
            <v>LAMINE ABDELAZIZ</v>
          </cell>
        </row>
        <row r="318">
          <cell r="B318" t="str">
            <v>DHRIR KHEMAIES</v>
          </cell>
        </row>
        <row r="319">
          <cell r="B319" t="str">
            <v>REGAIEG HABIB</v>
          </cell>
        </row>
        <row r="320">
          <cell r="B320" t="str">
            <v>ALOUANE MOHAMED</v>
          </cell>
        </row>
        <row r="321">
          <cell r="B321" t="str">
            <v>BEN FREDJ ABDELKARIM</v>
          </cell>
        </row>
        <row r="322">
          <cell r="B322" t="str">
            <v>SOUISSI MOHAMED</v>
          </cell>
        </row>
        <row r="323">
          <cell r="B323" t="str">
            <v>SOUSSI KHEMAIES</v>
          </cell>
        </row>
        <row r="324">
          <cell r="B324" t="str">
            <v>EL MLAYAH MOHAMED</v>
          </cell>
        </row>
        <row r="325">
          <cell r="B325" t="str">
            <v>GRAIET ADEL</v>
          </cell>
        </row>
        <row r="326">
          <cell r="B326" t="str">
            <v>BOUZIR SAMIR</v>
          </cell>
        </row>
        <row r="327">
          <cell r="B327" t="str">
            <v>GARDALLOU SAMIR</v>
          </cell>
        </row>
        <row r="328">
          <cell r="B328" t="str">
            <v>LAADHARI SALEM</v>
          </cell>
        </row>
        <row r="329">
          <cell r="B329" t="str">
            <v>BEN SAAD ADEL</v>
          </cell>
        </row>
        <row r="330">
          <cell r="B330" t="str">
            <v>KOIUISSAH MAHJOUB SLAH</v>
          </cell>
        </row>
        <row r="331">
          <cell r="B331" t="str">
            <v>SOUA ABDERRAZEK</v>
          </cell>
        </row>
        <row r="332">
          <cell r="B332" t="str">
            <v>ABBADI HABIB</v>
          </cell>
        </row>
        <row r="333">
          <cell r="B333" t="str">
            <v>GAZZAH RIDHA</v>
          </cell>
        </row>
        <row r="334">
          <cell r="B334" t="str">
            <v>MANSOUR AHMED</v>
          </cell>
        </row>
        <row r="335">
          <cell r="B335" t="str">
            <v>KARMOUS FEDJ</v>
          </cell>
        </row>
        <row r="336">
          <cell r="B336" t="str">
            <v>GAALOUL FETHI</v>
          </cell>
        </row>
        <row r="337">
          <cell r="B337" t="str">
            <v>SOYAH NEJIB</v>
          </cell>
        </row>
        <row r="338">
          <cell r="B338" t="str">
            <v>KHELIFI MOHSEN</v>
          </cell>
        </row>
        <row r="339">
          <cell r="B339" t="str">
            <v>ZORGATI ALI</v>
          </cell>
        </row>
        <row r="340">
          <cell r="B340" t="str">
            <v>JARRAR ADEL</v>
          </cell>
        </row>
        <row r="341">
          <cell r="B341" t="str">
            <v>HOUIJ CHIHEB</v>
          </cell>
        </row>
        <row r="342">
          <cell r="B342" t="str">
            <v>MRIZEK ABDERRAZZEK</v>
          </cell>
        </row>
        <row r="343">
          <cell r="B343" t="str">
            <v>REGAIEG NOUREDDINE</v>
          </cell>
        </row>
        <row r="344">
          <cell r="B344" t="str">
            <v>BABAY ROUIS LOTFI</v>
          </cell>
        </row>
        <row r="345">
          <cell r="B345" t="str">
            <v>HAMDAOUI MOKHTAR</v>
          </cell>
        </row>
        <row r="346">
          <cell r="B346" t="str">
            <v>SASSI ZOUHAIER</v>
          </cell>
        </row>
        <row r="347">
          <cell r="B347" t="str">
            <v>MAHJOUB KHALED</v>
          </cell>
        </row>
        <row r="348">
          <cell r="B348" t="str">
            <v>ROUIS LOTFI</v>
          </cell>
        </row>
        <row r="349">
          <cell r="B349" t="str">
            <v>HASSEN AHMED</v>
          </cell>
        </row>
        <row r="350">
          <cell r="B350" t="str">
            <v>MAHJOUB MOUNIR</v>
          </cell>
        </row>
        <row r="351">
          <cell r="B351" t="str">
            <v>MABROUK JAMEL</v>
          </cell>
        </row>
        <row r="352">
          <cell r="B352" t="str">
            <v>GAM HAFEDH</v>
          </cell>
        </row>
        <row r="353">
          <cell r="B353" t="str">
            <v>FHIMA KHELIFA</v>
          </cell>
        </row>
        <row r="354">
          <cell r="B354" t="str">
            <v>BOUHLEL CHEDLY</v>
          </cell>
        </row>
        <row r="355">
          <cell r="B355" t="str">
            <v>YOUSSEF WAHID</v>
          </cell>
        </row>
        <row r="356">
          <cell r="B356" t="str">
            <v>GUERRIDA JAOUHAR</v>
          </cell>
        </row>
        <row r="357">
          <cell r="B357" t="str">
            <v>BOUNEB MOHAMED</v>
          </cell>
        </row>
        <row r="358">
          <cell r="B358" t="str">
            <v>FHIMA HAMDI</v>
          </cell>
        </row>
        <row r="359">
          <cell r="B359" t="str">
            <v>LOGHMARI KHELIL</v>
          </cell>
        </row>
        <row r="360">
          <cell r="B360" t="str">
            <v>DRIDI KARIM</v>
          </cell>
        </row>
        <row r="361">
          <cell r="B361" t="str">
            <v>BEN KHELIFA MED FREDJ</v>
          </cell>
        </row>
        <row r="362">
          <cell r="B362" t="str">
            <v>LANDOULSI HICHEM</v>
          </cell>
        </row>
        <row r="363">
          <cell r="B363" t="str">
            <v>JMEGUER SAMI</v>
          </cell>
        </row>
        <row r="364">
          <cell r="B364" t="str">
            <v>KHEHDIRI HEDI</v>
          </cell>
        </row>
        <row r="365">
          <cell r="B365" t="str">
            <v>BETTAIEB MOULDI</v>
          </cell>
        </row>
        <row r="366">
          <cell r="B366" t="str">
            <v>MIMOUNA MEHDI</v>
          </cell>
        </row>
        <row r="367">
          <cell r="B367" t="str">
            <v>SALLAH IMED</v>
          </cell>
        </row>
        <row r="368">
          <cell r="B368" t="str">
            <v>BEN ABDELJELIL ZOUHAIER</v>
          </cell>
        </row>
        <row r="369">
          <cell r="B369" t="str">
            <v>MNED MOHAMED BEN AHMED</v>
          </cell>
        </row>
        <row r="370">
          <cell r="B370" t="str">
            <v>ZARRAA MOHAMED</v>
          </cell>
        </row>
        <row r="371">
          <cell r="B371" t="str">
            <v>BAYA ADEL</v>
          </cell>
        </row>
        <row r="372">
          <cell r="B372" t="str">
            <v>ABDELLAH HASSINE</v>
          </cell>
        </row>
        <row r="373">
          <cell r="B373" t="str">
            <v>BDAY KARIM</v>
          </cell>
        </row>
        <row r="374">
          <cell r="B374" t="str">
            <v>BRAHAM ALI</v>
          </cell>
        </row>
        <row r="375">
          <cell r="B375" t="str">
            <v>MKHININI HABIB</v>
          </cell>
        </row>
        <row r="376">
          <cell r="B376" t="str">
            <v>BEN SALEM FETHI</v>
          </cell>
        </row>
        <row r="377">
          <cell r="B377" t="str">
            <v>GORCHENE NOUREDDINE</v>
          </cell>
        </row>
        <row r="378">
          <cell r="B378" t="str">
            <v>AMARA KARIM</v>
          </cell>
        </row>
        <row r="379">
          <cell r="B379" t="str">
            <v>SOUILEM FAKER</v>
          </cell>
        </row>
        <row r="380">
          <cell r="B380" t="str">
            <v>CHANTOU JMEGUER ADEL</v>
          </cell>
        </row>
        <row r="381">
          <cell r="B381" t="str">
            <v>MAOUA MOHAMED</v>
          </cell>
        </row>
        <row r="382">
          <cell r="B382" t="str">
            <v>BOUKADIDA JAMEL</v>
          </cell>
        </row>
        <row r="383">
          <cell r="B383" t="str">
            <v>MAMIA RAMZI</v>
          </cell>
        </row>
        <row r="384">
          <cell r="B384" t="str">
            <v>MANSOUR SALHA</v>
          </cell>
        </row>
        <row r="385">
          <cell r="B385" t="str">
            <v>BOUARGOUB KARIM</v>
          </cell>
        </row>
        <row r="386">
          <cell r="B386" t="str">
            <v>ATTIA KAMEL</v>
          </cell>
        </row>
        <row r="387">
          <cell r="B387" t="str">
            <v>LADHERI NAJEH</v>
          </cell>
        </row>
        <row r="388">
          <cell r="B388" t="str">
            <v>BOUKADIDA MOHAMED LAMINE</v>
          </cell>
        </row>
        <row r="389">
          <cell r="B389" t="str">
            <v>JMEGUER CHERIF</v>
          </cell>
        </row>
        <row r="390">
          <cell r="B390" t="str">
            <v>EL GARES MONIA</v>
          </cell>
        </row>
        <row r="391">
          <cell r="B391" t="str">
            <v>MOUSSA FETHI</v>
          </cell>
        </row>
        <row r="392">
          <cell r="B392" t="str">
            <v>BEN BEKRI MONCEF</v>
          </cell>
        </row>
        <row r="393">
          <cell r="B393" t="str">
            <v>SLAMA MAHER</v>
          </cell>
        </row>
        <row r="394">
          <cell r="B394" t="str">
            <v>CHTIOUI FETHI</v>
          </cell>
        </row>
        <row r="395">
          <cell r="B395" t="str">
            <v>BEN ISMAIL MOHAMED ALI</v>
          </cell>
        </row>
        <row r="396">
          <cell r="B396" t="str">
            <v>BEN HASSINE WASSEF</v>
          </cell>
        </row>
        <row r="397">
          <cell r="B397" t="str">
            <v>SLIMANE ABDALLAH</v>
          </cell>
        </row>
        <row r="398">
          <cell r="B398" t="str">
            <v>MKHININI MOHAMED B BELGACEM</v>
          </cell>
        </row>
        <row r="399">
          <cell r="B399" t="str">
            <v>HAMILA SAMIR</v>
          </cell>
        </row>
        <row r="400">
          <cell r="B400" t="str">
            <v>CHAARANA MOHAMED</v>
          </cell>
        </row>
        <row r="401">
          <cell r="B401" t="str">
            <v>ROMDHANE HEDI</v>
          </cell>
        </row>
        <row r="402">
          <cell r="B402" t="str">
            <v>BEN AMOR RIADH</v>
          </cell>
        </row>
        <row r="403">
          <cell r="B403" t="str">
            <v>ROMDHANE NAJEH</v>
          </cell>
        </row>
        <row r="404">
          <cell r="B404" t="str">
            <v>ZBIDI FAKHER</v>
          </cell>
        </row>
        <row r="405">
          <cell r="B405" t="str">
            <v>GRAA NOUREDDINE</v>
          </cell>
        </row>
        <row r="406">
          <cell r="B406" t="str">
            <v>BAHRI KHLIFA</v>
          </cell>
        </row>
        <row r="407">
          <cell r="B407" t="str">
            <v>HALLEB SALAH</v>
          </cell>
        </row>
        <row r="408">
          <cell r="B408" t="str">
            <v>CHANTOU JMEGUER LOTFI</v>
          </cell>
        </row>
        <row r="409">
          <cell r="B409" t="str">
            <v>CHATTI WALID</v>
          </cell>
        </row>
        <row r="410">
          <cell r="B410" t="str">
            <v>MKHININI MEJDI</v>
          </cell>
        </row>
        <row r="411">
          <cell r="B411" t="str">
            <v>NASR JAOUHAR</v>
          </cell>
        </row>
        <row r="412">
          <cell r="B412" t="str">
            <v>OUAJA RAOUF</v>
          </cell>
        </row>
        <row r="413">
          <cell r="B413" t="str">
            <v>BEL HADJ MOHAMED</v>
          </cell>
        </row>
        <row r="414">
          <cell r="B414" t="str">
            <v>BEN ABDALLAH KHELIL</v>
          </cell>
        </row>
        <row r="415">
          <cell r="B415" t="str">
            <v>BELLALOUNA NIDHAL</v>
          </cell>
        </row>
        <row r="416">
          <cell r="B416" t="str">
            <v>SLAMA MOUNIR</v>
          </cell>
        </row>
        <row r="417">
          <cell r="B417" t="str">
            <v>BEN ABDALLAH FAOUZI</v>
          </cell>
        </row>
        <row r="418">
          <cell r="B418" t="str">
            <v>BOUCHAHDA MAKHLOUF</v>
          </cell>
        </row>
        <row r="419">
          <cell r="B419" t="str">
            <v>BEN SAAD ZIED</v>
          </cell>
        </row>
        <row r="420">
          <cell r="B420" t="str">
            <v>ACHOUR NAOUFEL</v>
          </cell>
        </row>
        <row r="421">
          <cell r="B421" t="str">
            <v>BEN SAOUD SOFIANE</v>
          </cell>
        </row>
        <row r="422">
          <cell r="B422" t="str">
            <v>BOUHLEL ANIS</v>
          </cell>
        </row>
        <row r="423">
          <cell r="B423" t="str">
            <v>BOUZIR SAHBI</v>
          </cell>
        </row>
        <row r="424">
          <cell r="B424" t="str">
            <v>MRIZEK TAOUFIK</v>
          </cell>
        </row>
        <row r="425">
          <cell r="B425" t="str">
            <v>BOUGADDOUHA MOURAD</v>
          </cell>
        </row>
        <row r="426">
          <cell r="B426" t="str">
            <v>EL BACH ADEL</v>
          </cell>
        </row>
        <row r="427">
          <cell r="B427" t="str">
            <v>ABBASSI MONDHER</v>
          </cell>
        </row>
        <row r="428">
          <cell r="B428" t="str">
            <v>GUELLIM FETHI</v>
          </cell>
        </row>
        <row r="429">
          <cell r="B429" t="str">
            <v>HADJ AMMAR BRAHIM</v>
          </cell>
        </row>
        <row r="430">
          <cell r="B430" t="str">
            <v>MNED MOHAMED NACEUR</v>
          </cell>
        </row>
        <row r="431">
          <cell r="B431" t="str">
            <v>YOUSSEF ADEM</v>
          </cell>
        </row>
        <row r="432">
          <cell r="B432" t="str">
            <v>SASSI WALID</v>
          </cell>
        </row>
        <row r="433">
          <cell r="B433" t="str">
            <v>HAMILA NEBIL</v>
          </cell>
        </row>
        <row r="434">
          <cell r="B434" t="str">
            <v>LASSOUAD ABDELJELIL</v>
          </cell>
        </row>
        <row r="435">
          <cell r="B435" t="str">
            <v>HEDHILI MOHAMED</v>
          </cell>
        </row>
        <row r="436">
          <cell r="B436" t="str">
            <v>GAIECH SAIED</v>
          </cell>
        </row>
        <row r="437">
          <cell r="B437" t="str">
            <v>MAHJOUB MOHAMED KARIM</v>
          </cell>
        </row>
        <row r="438">
          <cell r="B438" t="str">
            <v>JEBNOUN IMED</v>
          </cell>
        </row>
        <row r="439">
          <cell r="B439" t="str">
            <v>LACHHAB SAHBI</v>
          </cell>
        </row>
        <row r="440">
          <cell r="B440" t="str">
            <v>BEN ABDELJELIL MED ANIS</v>
          </cell>
        </row>
        <row r="441">
          <cell r="B441" t="str">
            <v>GRAA SKANDER</v>
          </cell>
        </row>
        <row r="442">
          <cell r="B442" t="str">
            <v>SGHAIER HOUCEM</v>
          </cell>
        </row>
        <row r="443">
          <cell r="B443" t="str">
            <v>GADHI MOHAMED</v>
          </cell>
        </row>
        <row r="444">
          <cell r="B444" t="str">
            <v>EL GUERGUEB HABIB</v>
          </cell>
        </row>
        <row r="445">
          <cell r="B445" t="str">
            <v>REBAI MOHAMED</v>
          </cell>
        </row>
        <row r="446">
          <cell r="B446" t="str">
            <v>ZRELLI KHALED</v>
          </cell>
        </row>
        <row r="447">
          <cell r="B447" t="str">
            <v>BEN AROUS FOUED</v>
          </cell>
        </row>
        <row r="448">
          <cell r="B448" t="str">
            <v>BEN AROUS JAWHAR</v>
          </cell>
        </row>
        <row r="449">
          <cell r="B449" t="str">
            <v>FATHALLAH WISSEM</v>
          </cell>
        </row>
        <row r="450">
          <cell r="B450" t="str">
            <v>BEL HADJ NABIL</v>
          </cell>
        </row>
        <row r="451">
          <cell r="B451" t="str">
            <v>BEJAOUI NEBIL</v>
          </cell>
        </row>
        <row r="452">
          <cell r="B452" t="str">
            <v>SASSI KARIM</v>
          </cell>
        </row>
        <row r="453">
          <cell r="B453" t="str">
            <v>JAIET WALID</v>
          </cell>
        </row>
        <row r="454">
          <cell r="B454" t="str">
            <v>EL GARES BRAHIM</v>
          </cell>
        </row>
        <row r="455">
          <cell r="B455" t="str">
            <v>EL GAZZAH RIADH</v>
          </cell>
        </row>
        <row r="456">
          <cell r="B456" t="str">
            <v>GRIRA LOKHDHIRI FREDJ</v>
          </cell>
        </row>
        <row r="457">
          <cell r="B457" t="str">
            <v>MKHININI MOHAMED BEN SALAH</v>
          </cell>
        </row>
        <row r="458">
          <cell r="B458" t="str">
            <v>EL HOTMANI SAMI</v>
          </cell>
        </row>
        <row r="459">
          <cell r="B459" t="str">
            <v>MAJDOUB SAMI</v>
          </cell>
        </row>
        <row r="460">
          <cell r="B460" t="str">
            <v>AYADI NEBIL</v>
          </cell>
        </row>
        <row r="461">
          <cell r="B461" t="str">
            <v>BEN ISMAIL HOSNI</v>
          </cell>
        </row>
        <row r="462">
          <cell r="B462" t="str">
            <v>MKHININI ZAATOUT MOHAMED</v>
          </cell>
        </row>
        <row r="463">
          <cell r="B463" t="str">
            <v>SAKKA ROUIS MOHAMED MAHER</v>
          </cell>
        </row>
        <row r="464">
          <cell r="B464" t="str">
            <v>MATHLOUTHI MONDHER</v>
          </cell>
        </row>
        <row r="465">
          <cell r="B465" t="str">
            <v>HADJ ABDALLAH NACEUR</v>
          </cell>
        </row>
        <row r="466">
          <cell r="B466" t="str">
            <v>CHAARANA ABDELKERIM</v>
          </cell>
        </row>
        <row r="467">
          <cell r="B467" t="str">
            <v>BAYA MEHDI</v>
          </cell>
        </row>
        <row r="468">
          <cell r="B468" t="str">
            <v>KAIBI ANIS</v>
          </cell>
        </row>
        <row r="469">
          <cell r="B469" t="str">
            <v>BEN FREDJ NOUREDDINE</v>
          </cell>
        </row>
        <row r="470">
          <cell r="B470" t="str">
            <v>AMMAR MOKHLAS</v>
          </cell>
        </row>
        <row r="471">
          <cell r="B471" t="str">
            <v>SLAMA DHAFER</v>
          </cell>
        </row>
        <row r="472">
          <cell r="B472" t="str">
            <v>BEN SALMA ANIS</v>
          </cell>
        </row>
        <row r="473">
          <cell r="B473" t="str">
            <v>BEN ABDELJELIL MED RIDHA</v>
          </cell>
        </row>
        <row r="474">
          <cell r="B474" t="str">
            <v>SAKKA ROUIS MED HAFEDH</v>
          </cell>
        </row>
        <row r="475">
          <cell r="B475" t="str">
            <v>HAMILA WISSEM</v>
          </cell>
        </row>
        <row r="476">
          <cell r="B476" t="str">
            <v>ALOUANE ABDELKERIM</v>
          </cell>
        </row>
        <row r="477">
          <cell r="B477" t="str">
            <v>GAMHA KHALED</v>
          </cell>
        </row>
        <row r="478">
          <cell r="B478" t="str">
            <v>ENGAZZOU SLAHEDDINE</v>
          </cell>
        </row>
        <row r="479">
          <cell r="B479" t="str">
            <v>YOUSSEF LOTFI</v>
          </cell>
        </row>
        <row r="480">
          <cell r="B480" t="str">
            <v>HACHICHA ZIED</v>
          </cell>
        </row>
        <row r="481">
          <cell r="B481" t="str">
            <v>BEN AZIZA JAMEL</v>
          </cell>
        </row>
        <row r="482">
          <cell r="B482" t="str">
            <v>ALI NACEUR</v>
          </cell>
        </row>
        <row r="483">
          <cell r="B483" t="str">
            <v>CHATTI EZZEDDINE</v>
          </cell>
        </row>
        <row r="484">
          <cell r="B484" t="str">
            <v>BEL ARBIA KAMEL</v>
          </cell>
        </row>
        <row r="485">
          <cell r="B485" t="str">
            <v>BRAHIM THEMEUR</v>
          </cell>
        </row>
        <row r="486">
          <cell r="B486" t="str">
            <v>BEN FKIH AHMED ABDERRAZEK</v>
          </cell>
        </row>
        <row r="487">
          <cell r="B487" t="str">
            <v>FKIH ALI ISSAM</v>
          </cell>
        </row>
        <row r="488">
          <cell r="B488" t="str">
            <v>HEDHILI MUSTAPHA</v>
          </cell>
        </row>
        <row r="489">
          <cell r="B489" t="str">
            <v>MAHJOUB RADHOUANE</v>
          </cell>
        </row>
        <row r="490">
          <cell r="B490" t="str">
            <v>REJEB NEJIB</v>
          </cell>
        </row>
        <row r="491">
          <cell r="B491" t="str">
            <v>SOUA FOUED</v>
          </cell>
        </row>
        <row r="492">
          <cell r="B492" t="str">
            <v>EL HOTMANI BESSEM</v>
          </cell>
        </row>
        <row r="493">
          <cell r="B493" t="str">
            <v>HNIA ISSAM</v>
          </cell>
        </row>
        <row r="494">
          <cell r="B494" t="str">
            <v>SASSI SAMIR</v>
          </cell>
        </row>
        <row r="495">
          <cell r="B495" t="str">
            <v>BEN SALEM KHELIL</v>
          </cell>
        </row>
        <row r="496">
          <cell r="B496" t="str">
            <v>RBEH MAHMOUD</v>
          </cell>
        </row>
        <row r="497">
          <cell r="B497" t="str">
            <v>DAHMANI SALAH</v>
          </cell>
        </row>
        <row r="498">
          <cell r="B498" t="str">
            <v>BEN SALEM KHALED</v>
          </cell>
        </row>
        <row r="499">
          <cell r="B499" t="str">
            <v>B.H.SGHAIER NAOUFEL</v>
          </cell>
        </row>
        <row r="500">
          <cell r="B500" t="str">
            <v>LADJIMI MAHER</v>
          </cell>
        </row>
        <row r="501">
          <cell r="B501" t="str">
            <v>BEN NASR ABDELLATIF</v>
          </cell>
        </row>
        <row r="502">
          <cell r="B502" t="str">
            <v>ZANINA HICHEM</v>
          </cell>
        </row>
        <row r="503">
          <cell r="B503" t="str">
            <v>ATTIA KARIM</v>
          </cell>
        </row>
        <row r="504">
          <cell r="B504" t="str">
            <v>BOUSOUIFA MOHAMED SABEUR</v>
          </cell>
        </row>
        <row r="505">
          <cell r="B505" t="str">
            <v>GAIEB SAMI</v>
          </cell>
        </row>
        <row r="506">
          <cell r="B506" t="str">
            <v>BEN SALEM FAOUZI</v>
          </cell>
        </row>
        <row r="507">
          <cell r="B507" t="str">
            <v>JARRAR MOHAMED FAOUZI</v>
          </cell>
        </row>
        <row r="508">
          <cell r="B508" t="str">
            <v>BEN FREDJ LOTFI</v>
          </cell>
        </row>
        <row r="509">
          <cell r="B509" t="str">
            <v>SASSI SAIFELLAH</v>
          </cell>
        </row>
        <row r="510">
          <cell r="B510" t="str">
            <v>KEMIMECH MOHAMED</v>
          </cell>
        </row>
        <row r="511">
          <cell r="B511" t="str">
            <v>IBRAHIM JAMEL</v>
          </cell>
        </row>
        <row r="512">
          <cell r="B512" t="str">
            <v>LAYOUNI KHALED</v>
          </cell>
        </row>
        <row r="513">
          <cell r="B513" t="str">
            <v>HMIDI SALEM</v>
          </cell>
        </row>
        <row r="514">
          <cell r="B514" t="str">
            <v>GUIZANI MOHAMED</v>
          </cell>
        </row>
        <row r="515">
          <cell r="B515" t="str">
            <v>BEN ALITA NEBIL</v>
          </cell>
        </row>
        <row r="516">
          <cell r="B516" t="str">
            <v>BERRIRI SALEM</v>
          </cell>
        </row>
        <row r="517">
          <cell r="B517" t="str">
            <v>CHIHI MOHAMED SALAH</v>
          </cell>
        </row>
        <row r="518">
          <cell r="B518" t="str">
            <v>GHEZEL YASSINE</v>
          </cell>
        </row>
        <row r="519">
          <cell r="B519" t="str">
            <v>MIMOUNA RAOUF</v>
          </cell>
        </row>
        <row r="520">
          <cell r="B520" t="str">
            <v>SOUA MOHAMED</v>
          </cell>
        </row>
        <row r="521">
          <cell r="B521" t="str">
            <v>BEL HADJ HASSINE  IMED</v>
          </cell>
        </row>
        <row r="522">
          <cell r="B522" t="str">
            <v>ABBADI MOHAMED</v>
          </cell>
        </row>
        <row r="523">
          <cell r="B523" t="str">
            <v>BEN CHAOUACHA WAHIB</v>
          </cell>
        </row>
        <row r="524">
          <cell r="B524" t="str">
            <v>MAHJOUB MOHAMED</v>
          </cell>
        </row>
        <row r="525">
          <cell r="B525" t="str">
            <v>BHIRI SABEUR</v>
          </cell>
        </row>
        <row r="526">
          <cell r="B526" t="str">
            <v>GAM HAMDI</v>
          </cell>
        </row>
        <row r="527">
          <cell r="B527" t="str">
            <v>BEL GADHA ABDENNACEUR</v>
          </cell>
        </row>
        <row r="528">
          <cell r="B528" t="str">
            <v>EL BAHLOUL HICHEM</v>
          </cell>
        </row>
        <row r="529">
          <cell r="B529" t="str">
            <v>JUILI AFIF</v>
          </cell>
        </row>
        <row r="530">
          <cell r="B530" t="str">
            <v>GHEZEL SOFIANE</v>
          </cell>
        </row>
        <row r="531">
          <cell r="B531" t="str">
            <v>BEN SALEM ZIED</v>
          </cell>
        </row>
        <row r="532">
          <cell r="B532" t="str">
            <v>YOUSSEF HICHEM</v>
          </cell>
        </row>
        <row r="533">
          <cell r="B533" t="str">
            <v>BEL ARBIA SLAH</v>
          </cell>
        </row>
        <row r="534">
          <cell r="B534" t="str">
            <v>KHEDIMI IMED</v>
          </cell>
        </row>
        <row r="535">
          <cell r="B535" t="str">
            <v>ZOUITEN MUSTAPHA</v>
          </cell>
        </row>
        <row r="536">
          <cell r="B536" t="str">
            <v>GUEZGUEZ MOUNIR</v>
          </cell>
        </row>
        <row r="537">
          <cell r="B537" t="str">
            <v>SASSI MOHAMED WALID</v>
          </cell>
        </row>
        <row r="538">
          <cell r="B538" t="str">
            <v>MKHININI MOHAMED RIMEH</v>
          </cell>
        </row>
        <row r="539">
          <cell r="B539" t="str">
            <v>BOURIGUA MOHAMED</v>
          </cell>
        </row>
        <row r="540">
          <cell r="B540" t="str">
            <v>BOUHLEL MEJDI</v>
          </cell>
        </row>
        <row r="541">
          <cell r="B541" t="str">
            <v>ACHOUR RAOUF</v>
          </cell>
        </row>
        <row r="542">
          <cell r="B542" t="str">
            <v>ESSAFI BECHIR</v>
          </cell>
        </row>
        <row r="543">
          <cell r="B543" t="str">
            <v>AIFA SADOK</v>
          </cell>
        </row>
        <row r="544">
          <cell r="B544" t="str">
            <v>KEMIMECH MOHAMED BEN ALI</v>
          </cell>
        </row>
        <row r="545">
          <cell r="B545" t="str">
            <v>CHTIOUI HAMADI</v>
          </cell>
        </row>
        <row r="546">
          <cell r="B546" t="str">
            <v>FNAYOU MOHAMED</v>
          </cell>
        </row>
        <row r="547">
          <cell r="B547" t="str">
            <v>ATROUS ANIS</v>
          </cell>
        </row>
        <row r="548">
          <cell r="B548" t="str">
            <v>LOURIMI ABDALLAH</v>
          </cell>
        </row>
        <row r="549">
          <cell r="B549" t="str">
            <v>KEMIMECH MOHAMED BEN MOHAMED</v>
          </cell>
        </row>
        <row r="550">
          <cell r="B550" t="str">
            <v>ERGUEZ MEJDI</v>
          </cell>
        </row>
        <row r="551">
          <cell r="B551" t="str">
            <v>BOUZAABIA MOHAMED</v>
          </cell>
        </row>
        <row r="552">
          <cell r="B552" t="str">
            <v>SMIDA ZIED</v>
          </cell>
        </row>
        <row r="553">
          <cell r="B553" t="str">
            <v>KRIFA MOHAMED KAMEL</v>
          </cell>
        </row>
        <row r="554">
          <cell r="B554" t="str">
            <v>BEN KALIA LOTFI</v>
          </cell>
        </row>
        <row r="555">
          <cell r="B555" t="str">
            <v>SLAMA SALEM</v>
          </cell>
        </row>
        <row r="556">
          <cell r="B556" t="str">
            <v>TERZEGUE FERID</v>
          </cell>
        </row>
        <row r="557">
          <cell r="B557" t="str">
            <v>SAKKA ROUIS SAMI</v>
          </cell>
        </row>
        <row r="558">
          <cell r="B558" t="str">
            <v>JAIET SAMI</v>
          </cell>
        </row>
        <row r="559">
          <cell r="B559" t="str">
            <v>ROMDHANI SAMI</v>
          </cell>
        </row>
        <row r="560">
          <cell r="B560" t="str">
            <v>GRAIET HAITHEM</v>
          </cell>
        </row>
        <row r="561">
          <cell r="B561" t="str">
            <v>GANHOUBA MEHDI</v>
          </cell>
        </row>
        <row r="562">
          <cell r="B562" t="str">
            <v>BOUHLEL BOUGHDIRA MOHAMED CHAKER</v>
          </cell>
        </row>
        <row r="563">
          <cell r="B563" t="str">
            <v>ATTIA FAYCAL</v>
          </cell>
        </row>
        <row r="564">
          <cell r="B564" t="str">
            <v>SMIDA HICHEM</v>
          </cell>
        </row>
        <row r="565">
          <cell r="B565" t="str">
            <v>ABDELLATIF MOHAMED ALI</v>
          </cell>
        </row>
        <row r="566">
          <cell r="B566" t="str">
            <v>NOUIRA BOUJEBHA RAMZI</v>
          </cell>
        </row>
        <row r="567">
          <cell r="B567" t="str">
            <v>KTAIEB FREDJ</v>
          </cell>
        </row>
        <row r="568">
          <cell r="B568" t="str">
            <v>BOUHLEL ANIS BEN MUSTAPHA</v>
          </cell>
        </row>
        <row r="569">
          <cell r="B569" t="str">
            <v>BOUSOBINE SAFOUANE</v>
          </cell>
        </row>
        <row r="570">
          <cell r="B570" t="str">
            <v>NOUIR MOHAMED</v>
          </cell>
        </row>
        <row r="571">
          <cell r="B571" t="str">
            <v>JEBALI MOHAMED</v>
          </cell>
        </row>
        <row r="572">
          <cell r="B572" t="str">
            <v>GAZZAH LOTFI</v>
          </cell>
        </row>
        <row r="573">
          <cell r="B573" t="str">
            <v>BEN HASSINE LAAROUSSI</v>
          </cell>
        </row>
        <row r="574">
          <cell r="B574" t="str">
            <v>MESSAOUD BELGACEM</v>
          </cell>
        </row>
        <row r="575">
          <cell r="B575" t="str">
            <v>HMIDA LOGHMARI HICHEM</v>
          </cell>
        </row>
        <row r="576">
          <cell r="B576" t="str">
            <v>DAHAY CHATTI BECHIR</v>
          </cell>
        </row>
        <row r="577">
          <cell r="B577" t="str">
            <v>GAIDA MAROUAN</v>
          </cell>
        </row>
        <row r="578">
          <cell r="B578" t="str">
            <v>EL GAZZAH HICHEM</v>
          </cell>
        </row>
        <row r="579">
          <cell r="B579" t="str">
            <v>LADHERI SAMI</v>
          </cell>
        </row>
        <row r="580">
          <cell r="B580" t="str">
            <v>SOUSSI MAHER</v>
          </cell>
        </row>
        <row r="581">
          <cell r="B581" t="str">
            <v>BOUHLEL MED ALI</v>
          </cell>
        </row>
        <row r="582">
          <cell r="B582" t="str">
            <v>KASRAOUI HATEM</v>
          </cell>
        </row>
        <row r="583">
          <cell r="B583" t="str">
            <v>GHEZAL CHEFIK</v>
          </cell>
        </row>
        <row r="584">
          <cell r="B584" t="str">
            <v>ARFAOUI BECHIR</v>
          </cell>
        </row>
        <row r="585">
          <cell r="B585" t="str">
            <v>AMARA SOFIANE</v>
          </cell>
        </row>
        <row r="586">
          <cell r="B586" t="str">
            <v>SOYAH JAMEL</v>
          </cell>
        </row>
        <row r="587">
          <cell r="B587" t="str">
            <v>BELKHIRIA HAYKEL</v>
          </cell>
        </row>
        <row r="588">
          <cell r="B588" t="str">
            <v>BEN SALAH HATEM</v>
          </cell>
        </row>
        <row r="589">
          <cell r="B589" t="str">
            <v>LAJIMI ABDELKADER</v>
          </cell>
        </row>
        <row r="590">
          <cell r="B590" t="str">
            <v>BOHLI AMOR</v>
          </cell>
        </row>
        <row r="591">
          <cell r="B591" t="str">
            <v>BOUHLEL BILEL</v>
          </cell>
        </row>
        <row r="592">
          <cell r="B592" t="str">
            <v>BOUAZZA SALAH</v>
          </cell>
        </row>
        <row r="593">
          <cell r="B593" t="str">
            <v>BACH ZOUHAIER</v>
          </cell>
        </row>
        <row r="594">
          <cell r="B594" t="str">
            <v>BEN ABDALLAH HATEM</v>
          </cell>
        </row>
        <row r="595">
          <cell r="B595" t="str">
            <v>BRAHAM ABDELAZIZ</v>
          </cell>
        </row>
        <row r="596">
          <cell r="B596" t="str">
            <v>GLOULOU LOTFI</v>
          </cell>
        </row>
        <row r="597">
          <cell r="B597" t="str">
            <v>LADHARI MOHAMED</v>
          </cell>
        </row>
        <row r="598">
          <cell r="B598" t="str">
            <v>BEN SALEM AHMED BEN MAHMOUD</v>
          </cell>
        </row>
        <row r="599">
          <cell r="B599" t="str">
            <v>MAMIA NEJMEDDINE</v>
          </cell>
        </row>
        <row r="600">
          <cell r="B600" t="str">
            <v>ZMERLI JAOUHAR</v>
          </cell>
        </row>
        <row r="601">
          <cell r="B601" t="str">
            <v>BHIRI ADLI</v>
          </cell>
        </row>
        <row r="602">
          <cell r="B602" t="str">
            <v>YOUSFI MEHDI</v>
          </cell>
        </row>
        <row r="603">
          <cell r="B603" t="str">
            <v>MEJRI KHELIL</v>
          </cell>
        </row>
        <row r="604">
          <cell r="B604" t="str">
            <v>DAHAY CHATTI HABIB</v>
          </cell>
        </row>
        <row r="605">
          <cell r="B605" t="str">
            <v>SRIDI MOHAMED</v>
          </cell>
        </row>
        <row r="606">
          <cell r="B606" t="str">
            <v>EL FKIH LAMJED</v>
          </cell>
        </row>
        <row r="607">
          <cell r="B607" t="str">
            <v>BEN ABDALLAH MOHAMED SALAH</v>
          </cell>
        </row>
        <row r="608">
          <cell r="B608" t="str">
            <v>MANSOUR NEJI</v>
          </cell>
        </row>
        <row r="609">
          <cell r="B609" t="str">
            <v>HAMILA JAMEL</v>
          </cell>
        </row>
        <row r="610">
          <cell r="B610" t="str">
            <v>BOURIGUA MOHAMED ALI</v>
          </cell>
        </row>
        <row r="611">
          <cell r="B611" t="str">
            <v>SOUA LAYOUNI MOHAMED</v>
          </cell>
        </row>
        <row r="612">
          <cell r="B612" t="str">
            <v>HNIA SAHNOUN</v>
          </cell>
        </row>
        <row r="613">
          <cell r="B613" t="str">
            <v>MAHJOUB FAKER</v>
          </cell>
        </row>
        <row r="614">
          <cell r="B614" t="str">
            <v>BOUAZZA WALID</v>
          </cell>
        </row>
        <row r="615">
          <cell r="B615" t="str">
            <v>BRAHIM WAHIBA</v>
          </cell>
        </row>
        <row r="616">
          <cell r="B616" t="str">
            <v>HACHICHA MOHAMED</v>
          </cell>
        </row>
        <row r="617">
          <cell r="B617" t="str">
            <v>BEN HAMMOUDA AYMEN</v>
          </cell>
        </row>
        <row r="618">
          <cell r="B618" t="str">
            <v>ZAGGAR JAMEL</v>
          </cell>
        </row>
        <row r="619">
          <cell r="B619" t="str">
            <v>DAHMANI HAMDI</v>
          </cell>
        </row>
        <row r="620">
          <cell r="B620" t="str">
            <v>EL HAMDI AHMED</v>
          </cell>
        </row>
        <row r="621">
          <cell r="B621" t="str">
            <v>BADROUCH HAMDI</v>
          </cell>
        </row>
        <row r="622">
          <cell r="B622" t="str">
            <v>BEN SALAH FETHI</v>
          </cell>
        </row>
        <row r="623">
          <cell r="B623" t="str">
            <v>ZID FAOUZI</v>
          </cell>
        </row>
        <row r="624">
          <cell r="B624" t="str">
            <v>KHEDHIRI MONCEF</v>
          </cell>
        </row>
        <row r="625">
          <cell r="B625" t="str">
            <v>JLASSI KHALED</v>
          </cell>
        </row>
        <row r="626">
          <cell r="B626" t="str">
            <v>BADROUCH MAROUAN</v>
          </cell>
        </row>
        <row r="627">
          <cell r="B627" t="str">
            <v>NAFFATI SOFIENE</v>
          </cell>
        </row>
        <row r="628">
          <cell r="B628" t="str">
            <v>EL YAZIDI DRISS</v>
          </cell>
        </row>
        <row r="629">
          <cell r="B629" t="str">
            <v>YOUSSEF ALI</v>
          </cell>
        </row>
        <row r="630">
          <cell r="B630" t="str">
            <v>SGHAIER SAMI</v>
          </cell>
        </row>
        <row r="631">
          <cell r="B631" t="str">
            <v>REGAIEG NADER</v>
          </cell>
        </row>
        <row r="632">
          <cell r="B632" t="str">
            <v>OMRAMNE HAMMOUDA</v>
          </cell>
        </row>
        <row r="633">
          <cell r="B633" t="str">
            <v>BEN AOUANA NEJI</v>
          </cell>
        </row>
        <row r="634">
          <cell r="B634" t="str">
            <v>ZID AHMED</v>
          </cell>
        </row>
        <row r="635">
          <cell r="B635" t="str">
            <v>EL AMRI TAIEB</v>
          </cell>
        </row>
        <row r="636">
          <cell r="B636" t="str">
            <v>ROMDHANE RACHID</v>
          </cell>
        </row>
        <row r="637">
          <cell r="B637" t="str">
            <v>HEDFI ANIS</v>
          </cell>
        </row>
        <row r="638">
          <cell r="B638" t="str">
            <v>HADDAJI ELYES</v>
          </cell>
        </row>
        <row r="639">
          <cell r="B639" t="str">
            <v>BOUHLEL ILYES</v>
          </cell>
        </row>
        <row r="640">
          <cell r="B640" t="str">
            <v>BEN ABDELJELIL AYMEN</v>
          </cell>
        </row>
        <row r="641">
          <cell r="B641" t="str">
            <v>ALIBI SOFIENE</v>
          </cell>
        </row>
        <row r="642">
          <cell r="B642" t="str">
            <v>ZARROUK KAIS</v>
          </cell>
        </row>
        <row r="643">
          <cell r="B643" t="str">
            <v>BERGUIGA AMINE</v>
          </cell>
        </row>
        <row r="644">
          <cell r="B644" t="str">
            <v>BOUKADDIDA MEHREZ</v>
          </cell>
        </row>
        <row r="645">
          <cell r="B645" t="str">
            <v>KERKENI MOHAMED AMINE</v>
          </cell>
        </row>
        <row r="646">
          <cell r="B646" t="str">
            <v>BEN ABDALLAH ISMAIL</v>
          </cell>
        </row>
        <row r="647">
          <cell r="B647" t="str">
            <v>EL ABED AMIRA</v>
          </cell>
        </row>
        <row r="648">
          <cell r="B648" t="str">
            <v>GUELLIME MONDHER</v>
          </cell>
        </row>
        <row r="649">
          <cell r="B649" t="str">
            <v>GORCHENE HAMDI</v>
          </cell>
        </row>
        <row r="650">
          <cell r="B650" t="str">
            <v>BOUHLEL ASMA</v>
          </cell>
        </row>
        <row r="651">
          <cell r="B651" t="str">
            <v>MAHJOUB AHMED</v>
          </cell>
        </row>
        <row r="652">
          <cell r="B652" t="str">
            <v>LANDOULSI SAHBI</v>
          </cell>
        </row>
        <row r="653">
          <cell r="B653" t="str">
            <v>MLAYEH YOUSSEF</v>
          </cell>
        </row>
        <row r="654">
          <cell r="B654" t="str">
            <v>GAALOUL MAROUAN</v>
          </cell>
        </row>
        <row r="655">
          <cell r="B655" t="str">
            <v>KHADHROUI SAMI</v>
          </cell>
        </row>
        <row r="656">
          <cell r="B656" t="str">
            <v>GOUIDER SLAHEDDINE</v>
          </cell>
        </row>
        <row r="657">
          <cell r="B657" t="str">
            <v>SASSI AHMED AMINE</v>
          </cell>
        </row>
        <row r="658">
          <cell r="B658" t="str">
            <v>MAHJOUB HAMZA</v>
          </cell>
        </row>
        <row r="659">
          <cell r="B659" t="str">
            <v>GAZZAH YOUSSEF</v>
          </cell>
        </row>
        <row r="660">
          <cell r="B660" t="str">
            <v>BAYA SAIFEDDINE</v>
          </cell>
        </row>
        <row r="661">
          <cell r="B661" t="str">
            <v>MZOUGHI MOHAMED</v>
          </cell>
        </row>
        <row r="662">
          <cell r="B662" t="str">
            <v>HEDHILI ZIED</v>
          </cell>
        </row>
        <row r="663">
          <cell r="B663" t="str">
            <v>BALTI RABII</v>
          </cell>
        </row>
        <row r="664">
          <cell r="B664" t="str">
            <v>EL ABED WALID</v>
          </cell>
        </row>
        <row r="665">
          <cell r="B665" t="str">
            <v>OUNI MEHDI</v>
          </cell>
        </row>
        <row r="666">
          <cell r="B666" t="str">
            <v>BOUJNEH MOHAMED BILEL</v>
          </cell>
        </row>
        <row r="667">
          <cell r="B667" t="str">
            <v>ACHECHE HAMDA NACEUR</v>
          </cell>
        </row>
        <row r="668">
          <cell r="B668" t="str">
            <v>BEN SALEM MOURAD</v>
          </cell>
        </row>
        <row r="669">
          <cell r="B669" t="str">
            <v>ABID BOUKADDIDA FETHI</v>
          </cell>
        </row>
        <row r="670">
          <cell r="B670" t="str">
            <v>BEN LAMINE KAMEL</v>
          </cell>
        </row>
        <row r="671">
          <cell r="B671" t="str">
            <v>AJILI LOTFI</v>
          </cell>
        </row>
        <row r="672">
          <cell r="B672" t="str">
            <v>ZANINA MED AYMEN</v>
          </cell>
        </row>
        <row r="673">
          <cell r="B673" t="str">
            <v>BEL HADJ ALI MOHAMED ALI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Bdn°1"/>
      <sheetName val="Bd n°2"/>
      <sheetName val="Bd n° 3"/>
      <sheetName val="Bd n°5"/>
      <sheetName val="Bd n°4"/>
      <sheetName val="Bd n°6"/>
      <sheetName val="Bd n°7"/>
      <sheetName val="Bd n°8"/>
      <sheetName val="Bd n°9"/>
      <sheetName val="Bd n°10"/>
      <sheetName val="Bd n°11"/>
      <sheetName val="Bd n°12"/>
      <sheetName val="Bd n°13"/>
      <sheetName val="Bd n°14"/>
      <sheetName val="Bd n°15"/>
      <sheetName val="Bd n°16"/>
      <sheetName val="Bd n°17"/>
      <sheetName val="Bd n°18"/>
      <sheetName val="Bd n°19"/>
      <sheetName val="Bd n°20"/>
      <sheetName val="Bd n°21"/>
      <sheetName val="Bd n°22"/>
      <sheetName val="Bd n°23"/>
      <sheetName val="Bd n°24"/>
      <sheetName val="Bd N°25"/>
      <sheetName val="Bd N°26"/>
      <sheetName val="Bd N°27"/>
      <sheetName val="Bd N°28"/>
      <sheetName val="Bd N°29"/>
      <sheetName val="Bd N°30"/>
      <sheetName val="Bd N°31"/>
      <sheetName val="Bd N°32"/>
      <sheetName val="Bd N°33"/>
      <sheetName val="Bd N°34"/>
      <sheetName val="Bd N°35"/>
      <sheetName val="Bd N°36"/>
      <sheetName val="Bd N°37"/>
      <sheetName val="Bd N°38"/>
      <sheetName val="Bd N°39"/>
      <sheetName val="Bd N°40"/>
      <sheetName val="Bd N°41"/>
      <sheetName val="Bd N°42"/>
      <sheetName val="Bd N°43"/>
      <sheetName val="Bd N°44"/>
      <sheetName val="Bd N°45"/>
      <sheetName val="Bd N°46"/>
      <sheetName val="Bd N°47"/>
      <sheetName val="Bd N°48"/>
      <sheetName val="Bd N°49"/>
      <sheetName val="Bd N°50"/>
      <sheetName val="Feuil2"/>
      <sheetName val="Bd inst"/>
      <sheetName val="JAM ASS"/>
      <sheetName val="ASSU FINAL"/>
      <sheetName val="Feuil7"/>
      <sheetName val="Feuil10"/>
      <sheetName val="INST"/>
      <sheetName val="Feuil3"/>
      <sheetName val="Remb"/>
      <sheetName val="Feuil4"/>
      <sheetName val="Feuil1"/>
      <sheetName val="Feuil6"/>
      <sheetName val="Bd Couple"/>
      <sheetName val="mai 16"/>
    </sheetNames>
    <sheetDataSet>
      <sheetData sheetId="0">
        <row r="1">
          <cell r="A1" t="str">
            <v>Mle</v>
          </cell>
        </row>
        <row r="2">
          <cell r="A2">
            <v>23</v>
          </cell>
        </row>
        <row r="3">
          <cell r="A3">
            <v>31</v>
          </cell>
        </row>
        <row r="4">
          <cell r="A4">
            <v>36</v>
          </cell>
        </row>
        <row r="5">
          <cell r="A5">
            <v>37</v>
          </cell>
        </row>
        <row r="6">
          <cell r="A6">
            <v>38</v>
          </cell>
        </row>
        <row r="7">
          <cell r="A7">
            <v>39</v>
          </cell>
        </row>
        <row r="8">
          <cell r="A8">
            <v>40</v>
          </cell>
        </row>
        <row r="9">
          <cell r="A9">
            <v>58</v>
          </cell>
        </row>
        <row r="10">
          <cell r="A10">
            <v>60</v>
          </cell>
        </row>
        <row r="11">
          <cell r="A11">
            <v>75</v>
          </cell>
        </row>
        <row r="12">
          <cell r="A12">
            <v>78</v>
          </cell>
        </row>
        <row r="13">
          <cell r="A13">
            <v>85</v>
          </cell>
        </row>
        <row r="14">
          <cell r="A14">
            <v>86</v>
          </cell>
        </row>
        <row r="15">
          <cell r="A15">
            <v>91</v>
          </cell>
        </row>
        <row r="16">
          <cell r="A16">
            <v>92</v>
          </cell>
        </row>
        <row r="17">
          <cell r="A17">
            <v>100</v>
          </cell>
        </row>
        <row r="18">
          <cell r="A18">
            <v>103</v>
          </cell>
        </row>
        <row r="19">
          <cell r="A19">
            <v>106</v>
          </cell>
        </row>
        <row r="20">
          <cell r="A20">
            <v>115</v>
          </cell>
        </row>
        <row r="21">
          <cell r="A21">
            <v>116</v>
          </cell>
        </row>
        <row r="22">
          <cell r="A22">
            <v>117</v>
          </cell>
        </row>
        <row r="23">
          <cell r="A23">
            <v>23</v>
          </cell>
        </row>
        <row r="24">
          <cell r="A24">
            <v>36</v>
          </cell>
        </row>
        <row r="25">
          <cell r="A25">
            <v>37</v>
          </cell>
        </row>
        <row r="26">
          <cell r="A26">
            <v>38</v>
          </cell>
        </row>
        <row r="27">
          <cell r="A27">
            <v>39</v>
          </cell>
        </row>
        <row r="28">
          <cell r="A28">
            <v>40</v>
          </cell>
        </row>
        <row r="29">
          <cell r="A29">
            <v>58</v>
          </cell>
        </row>
        <row r="30">
          <cell r="A30">
            <v>60</v>
          </cell>
        </row>
        <row r="31">
          <cell r="A31">
            <v>75</v>
          </cell>
        </row>
        <row r="32">
          <cell r="A32">
            <v>78</v>
          </cell>
        </row>
        <row r="33">
          <cell r="A33">
            <v>85</v>
          </cell>
        </row>
        <row r="34">
          <cell r="A34">
            <v>86</v>
          </cell>
        </row>
        <row r="35">
          <cell r="A35">
            <v>91</v>
          </cell>
        </row>
        <row r="36">
          <cell r="A36">
            <v>100</v>
          </cell>
        </row>
        <row r="37">
          <cell r="A37">
            <v>103</v>
          </cell>
        </row>
        <row r="38">
          <cell r="A38">
            <v>106</v>
          </cell>
        </row>
        <row r="39">
          <cell r="A39">
            <v>115</v>
          </cell>
        </row>
        <row r="40">
          <cell r="A40">
            <v>116</v>
          </cell>
        </row>
        <row r="41">
          <cell r="A41">
            <v>117</v>
          </cell>
        </row>
        <row r="42">
          <cell r="A42">
            <v>118</v>
          </cell>
        </row>
        <row r="43">
          <cell r="A43">
            <v>134</v>
          </cell>
        </row>
        <row r="44">
          <cell r="A44">
            <v>141</v>
          </cell>
        </row>
        <row r="45">
          <cell r="A45">
            <v>143</v>
          </cell>
        </row>
        <row r="46">
          <cell r="A46">
            <v>144</v>
          </cell>
        </row>
        <row r="47">
          <cell r="A47">
            <v>145</v>
          </cell>
        </row>
        <row r="48">
          <cell r="A48">
            <v>149</v>
          </cell>
        </row>
        <row r="49">
          <cell r="A49">
            <v>155</v>
          </cell>
        </row>
        <row r="50">
          <cell r="A50">
            <v>156</v>
          </cell>
        </row>
        <row r="51">
          <cell r="A51">
            <v>161</v>
          </cell>
        </row>
        <row r="52">
          <cell r="A52">
            <v>166</v>
          </cell>
        </row>
        <row r="53">
          <cell r="A53">
            <v>167</v>
          </cell>
        </row>
        <row r="54">
          <cell r="A54">
            <v>171</v>
          </cell>
        </row>
        <row r="55">
          <cell r="A55">
            <v>181</v>
          </cell>
        </row>
        <row r="56">
          <cell r="A56">
            <v>183</v>
          </cell>
        </row>
        <row r="57">
          <cell r="A57">
            <v>184</v>
          </cell>
        </row>
        <row r="58">
          <cell r="A58">
            <v>185</v>
          </cell>
        </row>
        <row r="59">
          <cell r="A59">
            <v>187</v>
          </cell>
        </row>
        <row r="60">
          <cell r="A60">
            <v>192</v>
          </cell>
        </row>
        <row r="61">
          <cell r="A61">
            <v>194</v>
          </cell>
        </row>
        <row r="62">
          <cell r="A62">
            <v>195</v>
          </cell>
        </row>
        <row r="63">
          <cell r="A63">
            <v>197</v>
          </cell>
        </row>
        <row r="64">
          <cell r="A64">
            <v>199</v>
          </cell>
        </row>
        <row r="65">
          <cell r="A65">
            <v>201</v>
          </cell>
        </row>
        <row r="66">
          <cell r="A66">
            <v>202</v>
          </cell>
        </row>
        <row r="67">
          <cell r="A67">
            <v>206</v>
          </cell>
        </row>
        <row r="68">
          <cell r="A68">
            <v>208</v>
          </cell>
        </row>
        <row r="69">
          <cell r="A69">
            <v>212</v>
          </cell>
        </row>
        <row r="70">
          <cell r="A70">
            <v>213</v>
          </cell>
        </row>
        <row r="71">
          <cell r="A71">
            <v>217</v>
          </cell>
        </row>
        <row r="72">
          <cell r="A72">
            <v>220</v>
          </cell>
        </row>
        <row r="73">
          <cell r="A73">
            <v>225</v>
          </cell>
        </row>
        <row r="74">
          <cell r="A74">
            <v>229</v>
          </cell>
        </row>
        <row r="75">
          <cell r="A75">
            <v>247</v>
          </cell>
        </row>
        <row r="76">
          <cell r="A76">
            <v>254</v>
          </cell>
        </row>
        <row r="77">
          <cell r="A77">
            <v>256</v>
          </cell>
        </row>
        <row r="78">
          <cell r="A78">
            <v>258</v>
          </cell>
        </row>
        <row r="79">
          <cell r="A79">
            <v>261</v>
          </cell>
        </row>
        <row r="80">
          <cell r="A80">
            <v>262</v>
          </cell>
        </row>
        <row r="81">
          <cell r="A81">
            <v>263</v>
          </cell>
        </row>
        <row r="82">
          <cell r="A82">
            <v>264</v>
          </cell>
        </row>
        <row r="83">
          <cell r="A83">
            <v>265</v>
          </cell>
        </row>
        <row r="84">
          <cell r="A84">
            <v>272</v>
          </cell>
        </row>
        <row r="85">
          <cell r="A85">
            <v>279</v>
          </cell>
        </row>
        <row r="86">
          <cell r="A86">
            <v>280</v>
          </cell>
        </row>
        <row r="87">
          <cell r="A87">
            <v>284</v>
          </cell>
        </row>
        <row r="88">
          <cell r="A88">
            <v>294</v>
          </cell>
        </row>
        <row r="89">
          <cell r="A89">
            <v>300</v>
          </cell>
        </row>
        <row r="90">
          <cell r="A90">
            <v>303</v>
          </cell>
        </row>
        <row r="91">
          <cell r="A91">
            <v>313</v>
          </cell>
        </row>
        <row r="92">
          <cell r="A92">
            <v>315</v>
          </cell>
        </row>
        <row r="93">
          <cell r="A93">
            <v>322</v>
          </cell>
        </row>
        <row r="94">
          <cell r="A94">
            <v>324</v>
          </cell>
        </row>
        <row r="95">
          <cell r="A95">
            <v>325</v>
          </cell>
        </row>
        <row r="96">
          <cell r="A96">
            <v>326</v>
          </cell>
        </row>
        <row r="97">
          <cell r="A97">
            <v>328</v>
          </cell>
        </row>
        <row r="98">
          <cell r="A98">
            <v>332</v>
          </cell>
        </row>
        <row r="99">
          <cell r="A99">
            <v>333</v>
          </cell>
        </row>
        <row r="100">
          <cell r="A100">
            <v>342</v>
          </cell>
        </row>
        <row r="101">
          <cell r="A101">
            <v>343</v>
          </cell>
        </row>
        <row r="102">
          <cell r="A102">
            <v>344</v>
          </cell>
        </row>
        <row r="103">
          <cell r="A103">
            <v>345</v>
          </cell>
        </row>
        <row r="104">
          <cell r="A104">
            <v>346</v>
          </cell>
        </row>
        <row r="105">
          <cell r="A105">
            <v>356</v>
          </cell>
        </row>
        <row r="106">
          <cell r="A106">
            <v>357</v>
          </cell>
        </row>
        <row r="107">
          <cell r="A107">
            <v>359</v>
          </cell>
        </row>
        <row r="108">
          <cell r="A108">
            <v>360</v>
          </cell>
        </row>
        <row r="109">
          <cell r="A109">
            <v>361</v>
          </cell>
        </row>
        <row r="110">
          <cell r="A110">
            <v>368</v>
          </cell>
        </row>
        <row r="111">
          <cell r="A111">
            <v>369</v>
          </cell>
        </row>
        <row r="112">
          <cell r="A112">
            <v>370</v>
          </cell>
        </row>
        <row r="113">
          <cell r="A113">
            <v>372</v>
          </cell>
        </row>
        <row r="114">
          <cell r="A114">
            <v>376</v>
          </cell>
        </row>
        <row r="115">
          <cell r="A115">
            <v>377</v>
          </cell>
        </row>
        <row r="116">
          <cell r="A116">
            <v>379</v>
          </cell>
        </row>
        <row r="117">
          <cell r="A117">
            <v>381</v>
          </cell>
        </row>
        <row r="118">
          <cell r="A118">
            <v>382</v>
          </cell>
        </row>
        <row r="119">
          <cell r="A119">
            <v>385</v>
          </cell>
        </row>
        <row r="120">
          <cell r="A120">
            <v>392</v>
          </cell>
        </row>
        <row r="121">
          <cell r="A121">
            <v>397</v>
          </cell>
        </row>
        <row r="122">
          <cell r="A122">
            <v>398</v>
          </cell>
        </row>
        <row r="123">
          <cell r="A123">
            <v>402</v>
          </cell>
        </row>
        <row r="124">
          <cell r="A124">
            <v>404</v>
          </cell>
        </row>
        <row r="125">
          <cell r="A125">
            <v>408</v>
          </cell>
        </row>
        <row r="126">
          <cell r="A126">
            <v>411</v>
          </cell>
        </row>
        <row r="127">
          <cell r="A127">
            <v>413</v>
          </cell>
        </row>
        <row r="128">
          <cell r="A128">
            <v>416</v>
          </cell>
        </row>
        <row r="129">
          <cell r="A129">
            <v>417</v>
          </cell>
        </row>
        <row r="130">
          <cell r="A130">
            <v>418</v>
          </cell>
        </row>
        <row r="131">
          <cell r="A131">
            <v>423</v>
          </cell>
        </row>
        <row r="132">
          <cell r="A132">
            <v>424</v>
          </cell>
        </row>
        <row r="133">
          <cell r="A133">
            <v>426</v>
          </cell>
        </row>
        <row r="134">
          <cell r="A134">
            <v>427</v>
          </cell>
        </row>
        <row r="135">
          <cell r="A135">
            <v>430</v>
          </cell>
        </row>
        <row r="136">
          <cell r="A136">
            <v>434</v>
          </cell>
        </row>
        <row r="137">
          <cell r="A137">
            <v>441</v>
          </cell>
        </row>
        <row r="138">
          <cell r="A138">
            <v>442</v>
          </cell>
        </row>
        <row r="139">
          <cell r="A139">
            <v>444</v>
          </cell>
        </row>
        <row r="140">
          <cell r="A140">
            <v>446</v>
          </cell>
        </row>
        <row r="141">
          <cell r="A141">
            <v>448</v>
          </cell>
        </row>
        <row r="142">
          <cell r="A142">
            <v>449</v>
          </cell>
        </row>
        <row r="143">
          <cell r="A143">
            <v>452</v>
          </cell>
        </row>
        <row r="144">
          <cell r="A144">
            <v>453</v>
          </cell>
        </row>
        <row r="145">
          <cell r="A145">
            <v>454</v>
          </cell>
        </row>
        <row r="146">
          <cell r="A146">
            <v>455</v>
          </cell>
        </row>
        <row r="147">
          <cell r="A147">
            <v>460</v>
          </cell>
        </row>
        <row r="148">
          <cell r="A148">
            <v>465</v>
          </cell>
        </row>
        <row r="149">
          <cell r="A149">
            <v>477</v>
          </cell>
        </row>
        <row r="150">
          <cell r="A150">
            <v>480</v>
          </cell>
        </row>
        <row r="151">
          <cell r="A151">
            <v>481</v>
          </cell>
        </row>
        <row r="152">
          <cell r="A152">
            <v>482</v>
          </cell>
        </row>
        <row r="153">
          <cell r="A153">
            <v>486</v>
          </cell>
        </row>
        <row r="154">
          <cell r="A154">
            <v>488</v>
          </cell>
        </row>
        <row r="155">
          <cell r="A155">
            <v>492</v>
          </cell>
        </row>
        <row r="156">
          <cell r="A156">
            <v>495</v>
          </cell>
        </row>
        <row r="157">
          <cell r="A157">
            <v>496</v>
          </cell>
        </row>
        <row r="158">
          <cell r="A158">
            <v>497</v>
          </cell>
        </row>
        <row r="159">
          <cell r="A159">
            <v>498</v>
          </cell>
        </row>
        <row r="160">
          <cell r="A160">
            <v>503</v>
          </cell>
        </row>
        <row r="161">
          <cell r="A161">
            <v>507</v>
          </cell>
        </row>
        <row r="162">
          <cell r="A162">
            <v>515</v>
          </cell>
        </row>
        <row r="163">
          <cell r="A163">
            <v>524</v>
          </cell>
        </row>
        <row r="164">
          <cell r="A164">
            <v>526</v>
          </cell>
        </row>
        <row r="165">
          <cell r="A165">
            <v>532</v>
          </cell>
        </row>
        <row r="166">
          <cell r="A166">
            <v>534</v>
          </cell>
        </row>
        <row r="167">
          <cell r="A167">
            <v>536</v>
          </cell>
        </row>
        <row r="168">
          <cell r="A168">
            <v>537</v>
          </cell>
        </row>
        <row r="169">
          <cell r="A169">
            <v>540</v>
          </cell>
        </row>
        <row r="170">
          <cell r="A170">
            <v>545</v>
          </cell>
        </row>
        <row r="171">
          <cell r="A171">
            <v>546</v>
          </cell>
        </row>
        <row r="172">
          <cell r="A172">
            <v>551</v>
          </cell>
        </row>
        <row r="173">
          <cell r="A173">
            <v>552</v>
          </cell>
        </row>
        <row r="174">
          <cell r="A174">
            <v>555</v>
          </cell>
        </row>
        <row r="175">
          <cell r="A175">
            <v>561</v>
          </cell>
        </row>
        <row r="176">
          <cell r="A176">
            <v>562</v>
          </cell>
        </row>
        <row r="177">
          <cell r="A177">
            <v>569</v>
          </cell>
        </row>
        <row r="178">
          <cell r="A178">
            <v>570</v>
          </cell>
        </row>
        <row r="179">
          <cell r="A179">
            <v>572</v>
          </cell>
        </row>
        <row r="180">
          <cell r="A180">
            <v>576</v>
          </cell>
        </row>
        <row r="181">
          <cell r="A181">
            <v>582</v>
          </cell>
        </row>
        <row r="182">
          <cell r="A182">
            <v>583</v>
          </cell>
        </row>
        <row r="183">
          <cell r="A183">
            <v>585</v>
          </cell>
        </row>
        <row r="184">
          <cell r="A184">
            <v>588</v>
          </cell>
        </row>
        <row r="185">
          <cell r="A185">
            <v>590</v>
          </cell>
        </row>
        <row r="186">
          <cell r="A186">
            <v>596</v>
          </cell>
        </row>
        <row r="187">
          <cell r="A187">
            <v>599</v>
          </cell>
        </row>
        <row r="188">
          <cell r="A188">
            <v>605</v>
          </cell>
        </row>
        <row r="189">
          <cell r="A189">
            <v>606</v>
          </cell>
        </row>
        <row r="190">
          <cell r="A190">
            <v>612</v>
          </cell>
        </row>
        <row r="191">
          <cell r="A191">
            <v>618</v>
          </cell>
        </row>
        <row r="192">
          <cell r="A192">
            <v>619</v>
          </cell>
        </row>
        <row r="193">
          <cell r="A193">
            <v>623</v>
          </cell>
        </row>
        <row r="194">
          <cell r="A194">
            <v>626</v>
          </cell>
        </row>
        <row r="195">
          <cell r="A195">
            <v>630</v>
          </cell>
        </row>
        <row r="196">
          <cell r="A196">
            <v>631</v>
          </cell>
        </row>
        <row r="197">
          <cell r="A197">
            <v>640</v>
          </cell>
        </row>
        <row r="198">
          <cell r="A198">
            <v>643</v>
          </cell>
        </row>
        <row r="199">
          <cell r="A199">
            <v>644</v>
          </cell>
        </row>
        <row r="200">
          <cell r="A200">
            <v>645</v>
          </cell>
        </row>
        <row r="201">
          <cell r="A201">
            <v>646</v>
          </cell>
        </row>
        <row r="202">
          <cell r="A202">
            <v>647</v>
          </cell>
        </row>
        <row r="203">
          <cell r="A203">
            <v>648</v>
          </cell>
        </row>
        <row r="204">
          <cell r="A204">
            <v>651</v>
          </cell>
        </row>
        <row r="205">
          <cell r="A205">
            <v>653</v>
          </cell>
        </row>
        <row r="206">
          <cell r="A206">
            <v>654</v>
          </cell>
        </row>
        <row r="207">
          <cell r="A207">
            <v>655</v>
          </cell>
        </row>
        <row r="208">
          <cell r="A208">
            <v>656</v>
          </cell>
        </row>
        <row r="209">
          <cell r="A209">
            <v>657</v>
          </cell>
        </row>
        <row r="210">
          <cell r="A210">
            <v>659</v>
          </cell>
        </row>
        <row r="211">
          <cell r="A211">
            <v>660</v>
          </cell>
        </row>
        <row r="212">
          <cell r="A212">
            <v>661</v>
          </cell>
        </row>
        <row r="213">
          <cell r="A213">
            <v>662</v>
          </cell>
        </row>
        <row r="214">
          <cell r="A214">
            <v>665</v>
          </cell>
        </row>
        <row r="215">
          <cell r="A215">
            <v>668</v>
          </cell>
        </row>
        <row r="216">
          <cell r="A216">
            <v>670</v>
          </cell>
        </row>
        <row r="217">
          <cell r="A217">
            <v>673</v>
          </cell>
        </row>
        <row r="218">
          <cell r="A218">
            <v>675</v>
          </cell>
        </row>
        <row r="219">
          <cell r="A219">
            <v>679</v>
          </cell>
        </row>
        <row r="220">
          <cell r="A220">
            <v>682</v>
          </cell>
        </row>
        <row r="221">
          <cell r="A221">
            <v>685</v>
          </cell>
        </row>
        <row r="222">
          <cell r="A222">
            <v>686</v>
          </cell>
        </row>
        <row r="223">
          <cell r="A223">
            <v>691</v>
          </cell>
        </row>
        <row r="224">
          <cell r="A224">
            <v>692</v>
          </cell>
        </row>
        <row r="225">
          <cell r="A225">
            <v>693</v>
          </cell>
        </row>
        <row r="226">
          <cell r="A226">
            <v>695</v>
          </cell>
        </row>
        <row r="227">
          <cell r="A227">
            <v>697</v>
          </cell>
        </row>
        <row r="228">
          <cell r="A228">
            <v>699</v>
          </cell>
        </row>
        <row r="229">
          <cell r="A229">
            <v>700</v>
          </cell>
        </row>
        <row r="230">
          <cell r="A230">
            <v>701</v>
          </cell>
        </row>
        <row r="231">
          <cell r="A231">
            <v>706</v>
          </cell>
        </row>
        <row r="232">
          <cell r="A232">
            <v>707</v>
          </cell>
        </row>
        <row r="233">
          <cell r="A233">
            <v>711</v>
          </cell>
        </row>
        <row r="234">
          <cell r="A234">
            <v>715</v>
          </cell>
        </row>
        <row r="235">
          <cell r="A235">
            <v>716</v>
          </cell>
        </row>
        <row r="236">
          <cell r="A236">
            <v>719</v>
          </cell>
        </row>
        <row r="237">
          <cell r="A237">
            <v>720</v>
          </cell>
        </row>
        <row r="238">
          <cell r="A238">
            <v>721</v>
          </cell>
        </row>
        <row r="239">
          <cell r="A239">
            <v>725</v>
          </cell>
        </row>
        <row r="240">
          <cell r="A240">
            <v>730</v>
          </cell>
        </row>
        <row r="241">
          <cell r="A241">
            <v>742</v>
          </cell>
        </row>
        <row r="242">
          <cell r="A242">
            <v>745</v>
          </cell>
        </row>
        <row r="243">
          <cell r="A243">
            <v>758</v>
          </cell>
        </row>
        <row r="244">
          <cell r="A244">
            <v>759</v>
          </cell>
        </row>
        <row r="245">
          <cell r="A245">
            <v>761</v>
          </cell>
        </row>
        <row r="246">
          <cell r="A246">
            <v>762</v>
          </cell>
        </row>
        <row r="247">
          <cell r="A247">
            <v>769</v>
          </cell>
        </row>
        <row r="248">
          <cell r="A248">
            <v>772</v>
          </cell>
        </row>
        <row r="249">
          <cell r="A249">
            <v>774</v>
          </cell>
        </row>
        <row r="250">
          <cell r="A250">
            <v>775</v>
          </cell>
        </row>
        <row r="251">
          <cell r="A251">
            <v>784</v>
          </cell>
        </row>
        <row r="252">
          <cell r="A252">
            <v>785</v>
          </cell>
        </row>
        <row r="253">
          <cell r="A253">
            <v>787</v>
          </cell>
        </row>
        <row r="254">
          <cell r="A254">
            <v>788</v>
          </cell>
        </row>
        <row r="255">
          <cell r="A255">
            <v>790</v>
          </cell>
        </row>
        <row r="256">
          <cell r="A256">
            <v>795</v>
          </cell>
        </row>
        <row r="257">
          <cell r="A257">
            <v>796</v>
          </cell>
        </row>
        <row r="258">
          <cell r="A258">
            <v>799</v>
          </cell>
        </row>
        <row r="259">
          <cell r="A259">
            <v>801</v>
          </cell>
        </row>
        <row r="260">
          <cell r="A260">
            <v>802</v>
          </cell>
        </row>
        <row r="261">
          <cell r="A261">
            <v>803</v>
          </cell>
        </row>
        <row r="262">
          <cell r="A262">
            <v>804</v>
          </cell>
        </row>
        <row r="263">
          <cell r="A263">
            <v>805</v>
          </cell>
        </row>
        <row r="264">
          <cell r="A264">
            <v>806</v>
          </cell>
        </row>
        <row r="265">
          <cell r="A265">
            <v>809</v>
          </cell>
        </row>
        <row r="266">
          <cell r="A266">
            <v>810</v>
          </cell>
        </row>
        <row r="267">
          <cell r="A267">
            <v>815</v>
          </cell>
        </row>
        <row r="268">
          <cell r="A268">
            <v>823</v>
          </cell>
        </row>
        <row r="269">
          <cell r="A269">
            <v>824</v>
          </cell>
        </row>
        <row r="270">
          <cell r="A270">
            <v>830</v>
          </cell>
        </row>
        <row r="271">
          <cell r="A271">
            <v>831</v>
          </cell>
        </row>
        <row r="272">
          <cell r="A272">
            <v>832</v>
          </cell>
        </row>
        <row r="273">
          <cell r="A273">
            <v>833</v>
          </cell>
        </row>
        <row r="274">
          <cell r="A274">
            <v>835</v>
          </cell>
        </row>
        <row r="275">
          <cell r="A275">
            <v>837</v>
          </cell>
        </row>
        <row r="276">
          <cell r="A276">
            <v>841</v>
          </cell>
        </row>
        <row r="277">
          <cell r="A277">
            <v>843</v>
          </cell>
        </row>
        <row r="278">
          <cell r="A278">
            <v>846</v>
          </cell>
        </row>
        <row r="279">
          <cell r="A279">
            <v>847</v>
          </cell>
        </row>
        <row r="280">
          <cell r="A280">
            <v>848</v>
          </cell>
        </row>
        <row r="281">
          <cell r="A281">
            <v>849</v>
          </cell>
        </row>
        <row r="282">
          <cell r="A282">
            <v>854</v>
          </cell>
        </row>
        <row r="283">
          <cell r="A283">
            <v>855</v>
          </cell>
        </row>
        <row r="284">
          <cell r="A284">
            <v>859</v>
          </cell>
        </row>
        <row r="285">
          <cell r="A285">
            <v>863</v>
          </cell>
        </row>
        <row r="286">
          <cell r="A286">
            <v>868</v>
          </cell>
        </row>
        <row r="287">
          <cell r="A287">
            <v>869</v>
          </cell>
        </row>
        <row r="288">
          <cell r="A288">
            <v>872</v>
          </cell>
        </row>
        <row r="289">
          <cell r="A289">
            <v>879</v>
          </cell>
        </row>
        <row r="290">
          <cell r="A290">
            <v>884</v>
          </cell>
        </row>
        <row r="291">
          <cell r="A291">
            <v>885</v>
          </cell>
        </row>
        <row r="292">
          <cell r="A292">
            <v>889</v>
          </cell>
        </row>
        <row r="293">
          <cell r="A293">
            <v>890</v>
          </cell>
        </row>
        <row r="294">
          <cell r="A294">
            <v>895</v>
          </cell>
        </row>
        <row r="295">
          <cell r="A295">
            <v>900</v>
          </cell>
        </row>
        <row r="296">
          <cell r="A296">
            <v>903</v>
          </cell>
        </row>
        <row r="297">
          <cell r="A297">
            <v>907</v>
          </cell>
        </row>
        <row r="298">
          <cell r="A298">
            <v>908</v>
          </cell>
        </row>
        <row r="299">
          <cell r="A299">
            <v>909</v>
          </cell>
        </row>
        <row r="300">
          <cell r="A300">
            <v>910</v>
          </cell>
        </row>
        <row r="301">
          <cell r="A301">
            <v>913</v>
          </cell>
        </row>
        <row r="302">
          <cell r="A302">
            <v>915</v>
          </cell>
        </row>
        <row r="303">
          <cell r="A303">
            <v>919</v>
          </cell>
        </row>
        <row r="304">
          <cell r="A304">
            <v>920</v>
          </cell>
        </row>
        <row r="305">
          <cell r="A305">
            <v>923</v>
          </cell>
        </row>
        <row r="306">
          <cell r="A306">
            <v>924</v>
          </cell>
        </row>
        <row r="307">
          <cell r="A307">
            <v>927</v>
          </cell>
        </row>
        <row r="308">
          <cell r="A308">
            <v>931</v>
          </cell>
        </row>
        <row r="309">
          <cell r="A309">
            <v>932</v>
          </cell>
        </row>
        <row r="310">
          <cell r="A310">
            <v>933</v>
          </cell>
        </row>
        <row r="311">
          <cell r="A311">
            <v>934</v>
          </cell>
        </row>
        <row r="312">
          <cell r="A312">
            <v>935</v>
          </cell>
        </row>
        <row r="313">
          <cell r="A313">
            <v>938</v>
          </cell>
        </row>
        <row r="314">
          <cell r="A314">
            <v>939</v>
          </cell>
        </row>
        <row r="315">
          <cell r="A315">
            <v>940</v>
          </cell>
        </row>
        <row r="316">
          <cell r="A316">
            <v>951</v>
          </cell>
        </row>
        <row r="317">
          <cell r="A317">
            <v>954</v>
          </cell>
        </row>
        <row r="318">
          <cell r="A318">
            <v>955</v>
          </cell>
        </row>
        <row r="319">
          <cell r="A319">
            <v>957</v>
          </cell>
        </row>
        <row r="320">
          <cell r="A320">
            <v>958</v>
          </cell>
        </row>
        <row r="321">
          <cell r="A321">
            <v>960</v>
          </cell>
        </row>
        <row r="322">
          <cell r="A322">
            <v>961</v>
          </cell>
        </row>
        <row r="323">
          <cell r="A323">
            <v>962</v>
          </cell>
        </row>
        <row r="324">
          <cell r="A324">
            <v>965</v>
          </cell>
        </row>
        <row r="325">
          <cell r="A325">
            <v>967</v>
          </cell>
        </row>
        <row r="326">
          <cell r="A326">
            <v>972</v>
          </cell>
        </row>
        <row r="327">
          <cell r="A327">
            <v>973</v>
          </cell>
        </row>
        <row r="328">
          <cell r="A328">
            <v>978</v>
          </cell>
        </row>
        <row r="329">
          <cell r="A329">
            <v>986</v>
          </cell>
        </row>
        <row r="330">
          <cell r="A330">
            <v>990</v>
          </cell>
        </row>
        <row r="331">
          <cell r="A331">
            <v>993</v>
          </cell>
        </row>
        <row r="332">
          <cell r="A332">
            <v>995</v>
          </cell>
        </row>
        <row r="333">
          <cell r="A333">
            <v>997</v>
          </cell>
        </row>
        <row r="334">
          <cell r="A334">
            <v>1503</v>
          </cell>
        </row>
        <row r="335">
          <cell r="A335">
            <v>1504</v>
          </cell>
        </row>
        <row r="336">
          <cell r="A336">
            <v>1506</v>
          </cell>
        </row>
        <row r="337">
          <cell r="A337">
            <v>1507</v>
          </cell>
        </row>
        <row r="338">
          <cell r="A338">
            <v>1509</v>
          </cell>
        </row>
        <row r="339">
          <cell r="A339">
            <v>1510</v>
          </cell>
        </row>
        <row r="340">
          <cell r="A340">
            <v>1511</v>
          </cell>
        </row>
        <row r="341">
          <cell r="A341">
            <v>1514</v>
          </cell>
        </row>
        <row r="342">
          <cell r="A342">
            <v>1515</v>
          </cell>
        </row>
        <row r="343">
          <cell r="A343">
            <v>1517</v>
          </cell>
        </row>
        <row r="344">
          <cell r="A344">
            <v>1518</v>
          </cell>
        </row>
        <row r="345">
          <cell r="A345">
            <v>1522</v>
          </cell>
        </row>
        <row r="346">
          <cell r="A346">
            <v>1523</v>
          </cell>
        </row>
        <row r="347">
          <cell r="A347">
            <v>1524</v>
          </cell>
        </row>
        <row r="348">
          <cell r="A348">
            <v>1525</v>
          </cell>
        </row>
        <row r="349">
          <cell r="A349">
            <v>1526</v>
          </cell>
        </row>
        <row r="350">
          <cell r="A350">
            <v>1530</v>
          </cell>
        </row>
        <row r="351">
          <cell r="A351">
            <v>1535</v>
          </cell>
        </row>
        <row r="352">
          <cell r="A352">
            <v>1539</v>
          </cell>
        </row>
        <row r="353">
          <cell r="A353">
            <v>1541</v>
          </cell>
        </row>
        <row r="354">
          <cell r="A354">
            <v>1542</v>
          </cell>
        </row>
        <row r="355">
          <cell r="A355">
            <v>1543</v>
          </cell>
        </row>
        <row r="356">
          <cell r="A356">
            <v>1544</v>
          </cell>
        </row>
        <row r="357">
          <cell r="A357">
            <v>1545</v>
          </cell>
        </row>
        <row r="358">
          <cell r="A358">
            <v>1548</v>
          </cell>
        </row>
        <row r="359">
          <cell r="A359">
            <v>1549</v>
          </cell>
        </row>
        <row r="360">
          <cell r="A360">
            <v>1553</v>
          </cell>
        </row>
        <row r="361">
          <cell r="A361">
            <v>1555</v>
          </cell>
        </row>
        <row r="362">
          <cell r="A362">
            <v>1556</v>
          </cell>
        </row>
        <row r="363">
          <cell r="A363">
            <v>1558</v>
          </cell>
        </row>
        <row r="364">
          <cell r="A364">
            <v>1559</v>
          </cell>
        </row>
        <row r="365">
          <cell r="A365">
            <v>1560</v>
          </cell>
        </row>
        <row r="366">
          <cell r="A366">
            <v>1561</v>
          </cell>
        </row>
        <row r="367">
          <cell r="A367">
            <v>1566</v>
          </cell>
        </row>
        <row r="368">
          <cell r="A368">
            <v>1569</v>
          </cell>
        </row>
        <row r="369">
          <cell r="A369">
            <v>1572</v>
          </cell>
        </row>
        <row r="370">
          <cell r="A370">
            <v>1573</v>
          </cell>
        </row>
        <row r="371">
          <cell r="A371">
            <v>1575</v>
          </cell>
        </row>
        <row r="372">
          <cell r="A372">
            <v>1576</v>
          </cell>
        </row>
        <row r="373">
          <cell r="A373">
            <v>1580</v>
          </cell>
        </row>
        <row r="374">
          <cell r="A374">
            <v>1589</v>
          </cell>
        </row>
        <row r="375">
          <cell r="A375">
            <v>1590</v>
          </cell>
        </row>
        <row r="376">
          <cell r="A376">
            <v>1591</v>
          </cell>
        </row>
        <row r="377">
          <cell r="A377">
            <v>1592</v>
          </cell>
        </row>
        <row r="378">
          <cell r="A378">
            <v>1594</v>
          </cell>
        </row>
        <row r="379">
          <cell r="A379">
            <v>1595</v>
          </cell>
        </row>
        <row r="380">
          <cell r="A380">
            <v>1596</v>
          </cell>
        </row>
        <row r="381">
          <cell r="A381">
            <v>1597</v>
          </cell>
        </row>
        <row r="382">
          <cell r="A382">
            <v>1598</v>
          </cell>
        </row>
        <row r="383">
          <cell r="A383">
            <v>1599</v>
          </cell>
        </row>
        <row r="384">
          <cell r="A384">
            <v>1600</v>
          </cell>
        </row>
        <row r="385">
          <cell r="A385">
            <v>1601</v>
          </cell>
        </row>
        <row r="386">
          <cell r="A386">
            <v>1602</v>
          </cell>
        </row>
        <row r="387">
          <cell r="A387">
            <v>1603</v>
          </cell>
        </row>
        <row r="388">
          <cell r="A388">
            <v>1610</v>
          </cell>
        </row>
        <row r="389">
          <cell r="A389">
            <v>1611</v>
          </cell>
        </row>
        <row r="390">
          <cell r="A390">
            <v>1612</v>
          </cell>
        </row>
        <row r="391">
          <cell r="A391">
            <v>1613</v>
          </cell>
        </row>
        <row r="392">
          <cell r="A392">
            <v>1614</v>
          </cell>
        </row>
        <row r="393">
          <cell r="A393">
            <v>1615</v>
          </cell>
        </row>
        <row r="394">
          <cell r="A394">
            <v>1616</v>
          </cell>
        </row>
        <row r="395">
          <cell r="A395">
            <v>1617</v>
          </cell>
        </row>
        <row r="396">
          <cell r="A396">
            <v>1618</v>
          </cell>
        </row>
        <row r="397">
          <cell r="A397">
            <v>1619</v>
          </cell>
        </row>
        <row r="398">
          <cell r="A398">
            <v>1620</v>
          </cell>
        </row>
        <row r="399">
          <cell r="A399">
            <v>1621</v>
          </cell>
        </row>
        <row r="400">
          <cell r="A400">
            <v>1623</v>
          </cell>
        </row>
        <row r="401">
          <cell r="A401">
            <v>1624</v>
          </cell>
        </row>
        <row r="402">
          <cell r="A402">
            <v>1625</v>
          </cell>
        </row>
        <row r="403">
          <cell r="A403">
            <v>1626</v>
          </cell>
        </row>
        <row r="404">
          <cell r="A404">
            <v>1633</v>
          </cell>
        </row>
        <row r="405">
          <cell r="A405">
            <v>1634</v>
          </cell>
        </row>
        <row r="406">
          <cell r="A406">
            <v>1638</v>
          </cell>
        </row>
        <row r="407">
          <cell r="A407">
            <v>1639</v>
          </cell>
        </row>
        <row r="408">
          <cell r="A408">
            <v>1641</v>
          </cell>
        </row>
        <row r="409">
          <cell r="A409">
            <v>1642</v>
          </cell>
        </row>
        <row r="410">
          <cell r="A410">
            <v>1643</v>
          </cell>
        </row>
        <row r="411">
          <cell r="A411">
            <v>1644</v>
          </cell>
        </row>
        <row r="412">
          <cell r="A412">
            <v>1646</v>
          </cell>
        </row>
        <row r="413">
          <cell r="A413">
            <v>1647</v>
          </cell>
        </row>
        <row r="414">
          <cell r="A414">
            <v>1649</v>
          </cell>
        </row>
        <row r="415">
          <cell r="A415">
            <v>1650</v>
          </cell>
        </row>
        <row r="416">
          <cell r="A416">
            <v>1651</v>
          </cell>
        </row>
        <row r="417">
          <cell r="A417">
            <v>1652</v>
          </cell>
        </row>
        <row r="418">
          <cell r="A418">
            <v>1657</v>
          </cell>
        </row>
        <row r="419">
          <cell r="A419">
            <v>1658</v>
          </cell>
        </row>
        <row r="420">
          <cell r="A420">
            <v>1659</v>
          </cell>
        </row>
        <row r="421">
          <cell r="A421">
            <v>1661</v>
          </cell>
        </row>
        <row r="422">
          <cell r="A422">
            <v>1662</v>
          </cell>
        </row>
        <row r="423">
          <cell r="A423">
            <v>1663</v>
          </cell>
        </row>
        <row r="424">
          <cell r="A424">
            <v>1664</v>
          </cell>
        </row>
        <row r="425">
          <cell r="A425">
            <v>1665</v>
          </cell>
        </row>
        <row r="426">
          <cell r="A426">
            <v>1666</v>
          </cell>
        </row>
        <row r="427">
          <cell r="A427">
            <v>1667</v>
          </cell>
        </row>
        <row r="428">
          <cell r="A428">
            <v>1668</v>
          </cell>
        </row>
        <row r="429">
          <cell r="A429">
            <v>1671</v>
          </cell>
        </row>
        <row r="430">
          <cell r="A430">
            <v>1673</v>
          </cell>
        </row>
        <row r="431">
          <cell r="A431">
            <v>1676</v>
          </cell>
        </row>
        <row r="432">
          <cell r="A432">
            <v>1677</v>
          </cell>
        </row>
        <row r="433">
          <cell r="A433">
            <v>1678</v>
          </cell>
        </row>
        <row r="434">
          <cell r="A434">
            <v>1679</v>
          </cell>
        </row>
        <row r="435">
          <cell r="A435">
            <v>1680</v>
          </cell>
        </row>
        <row r="436">
          <cell r="A436">
            <v>1681</v>
          </cell>
        </row>
        <row r="437">
          <cell r="A437">
            <v>1682</v>
          </cell>
        </row>
        <row r="438">
          <cell r="A438">
            <v>1683</v>
          </cell>
        </row>
        <row r="439">
          <cell r="A439">
            <v>1684</v>
          </cell>
        </row>
        <row r="440">
          <cell r="A440">
            <v>1685</v>
          </cell>
        </row>
        <row r="441">
          <cell r="A441">
            <v>1686</v>
          </cell>
        </row>
        <row r="442">
          <cell r="A442">
            <v>1687</v>
          </cell>
        </row>
        <row r="443">
          <cell r="A443">
            <v>1688</v>
          </cell>
        </row>
        <row r="444">
          <cell r="A444">
            <v>1689</v>
          </cell>
        </row>
        <row r="445">
          <cell r="A445">
            <v>1690</v>
          </cell>
        </row>
        <row r="446">
          <cell r="A446">
            <v>1691</v>
          </cell>
        </row>
        <row r="447">
          <cell r="A447">
            <v>1692</v>
          </cell>
        </row>
        <row r="448">
          <cell r="A448">
            <v>1693</v>
          </cell>
        </row>
        <row r="449">
          <cell r="A449">
            <v>1694</v>
          </cell>
        </row>
        <row r="450">
          <cell r="A450">
            <v>1695</v>
          </cell>
        </row>
        <row r="451">
          <cell r="A451">
            <v>1696</v>
          </cell>
        </row>
        <row r="452">
          <cell r="A452">
            <v>1697</v>
          </cell>
        </row>
        <row r="453">
          <cell r="A453">
            <v>1698</v>
          </cell>
        </row>
        <row r="454">
          <cell r="A454">
            <v>1699</v>
          </cell>
        </row>
        <row r="455">
          <cell r="A455">
            <v>1701</v>
          </cell>
        </row>
        <row r="456">
          <cell r="A456">
            <v>1702</v>
          </cell>
        </row>
        <row r="457">
          <cell r="A457">
            <v>1703</v>
          </cell>
        </row>
        <row r="458">
          <cell r="A458">
            <v>1704</v>
          </cell>
        </row>
        <row r="459">
          <cell r="A459">
            <v>1706</v>
          </cell>
        </row>
        <row r="460">
          <cell r="A460">
            <v>1707</v>
          </cell>
        </row>
        <row r="461">
          <cell r="A461">
            <v>1708</v>
          </cell>
        </row>
        <row r="462">
          <cell r="A462">
            <v>1709</v>
          </cell>
        </row>
        <row r="463">
          <cell r="A463">
            <v>1710</v>
          </cell>
        </row>
        <row r="464">
          <cell r="A464">
            <v>1711</v>
          </cell>
        </row>
        <row r="465">
          <cell r="A465">
            <v>1712</v>
          </cell>
        </row>
        <row r="466">
          <cell r="A466">
            <v>1713</v>
          </cell>
        </row>
        <row r="467">
          <cell r="A467">
            <v>1714</v>
          </cell>
        </row>
        <row r="468">
          <cell r="A468">
            <v>1716</v>
          </cell>
        </row>
        <row r="469">
          <cell r="A469">
            <v>1721</v>
          </cell>
        </row>
        <row r="470">
          <cell r="A470">
            <v>1723</v>
          </cell>
        </row>
        <row r="471">
          <cell r="A471">
            <v>1724</v>
          </cell>
        </row>
        <row r="472">
          <cell r="A472">
            <v>1726</v>
          </cell>
        </row>
        <row r="473">
          <cell r="A473">
            <v>1727</v>
          </cell>
        </row>
        <row r="474">
          <cell r="A474">
            <v>1728</v>
          </cell>
        </row>
        <row r="475">
          <cell r="A475">
            <v>1730</v>
          </cell>
        </row>
        <row r="476">
          <cell r="A476">
            <v>1733</v>
          </cell>
        </row>
        <row r="477">
          <cell r="A477">
            <v>1735</v>
          </cell>
        </row>
        <row r="478">
          <cell r="A478">
            <v>1736</v>
          </cell>
        </row>
        <row r="479">
          <cell r="A479">
            <v>1737</v>
          </cell>
        </row>
        <row r="480">
          <cell r="A480">
            <v>1738</v>
          </cell>
        </row>
        <row r="481">
          <cell r="A481">
            <v>1739</v>
          </cell>
        </row>
        <row r="482">
          <cell r="A482">
            <v>1740</v>
          </cell>
        </row>
        <row r="483">
          <cell r="A483">
            <v>1741</v>
          </cell>
        </row>
        <row r="484">
          <cell r="A484">
            <v>1742</v>
          </cell>
        </row>
        <row r="485">
          <cell r="A485">
            <v>1744</v>
          </cell>
        </row>
        <row r="486">
          <cell r="A486">
            <v>1745</v>
          </cell>
        </row>
        <row r="487">
          <cell r="A487">
            <v>1746</v>
          </cell>
        </row>
        <row r="488">
          <cell r="A488">
            <v>1747</v>
          </cell>
        </row>
        <row r="489">
          <cell r="A489">
            <v>1748</v>
          </cell>
        </row>
        <row r="490">
          <cell r="A490">
            <v>1750</v>
          </cell>
        </row>
        <row r="491">
          <cell r="A491">
            <v>1752</v>
          </cell>
        </row>
        <row r="492">
          <cell r="A492">
            <v>1754</v>
          </cell>
        </row>
        <row r="493">
          <cell r="A493">
            <v>1755</v>
          </cell>
        </row>
        <row r="494">
          <cell r="A494">
            <v>1756</v>
          </cell>
        </row>
        <row r="495">
          <cell r="A495">
            <v>1757</v>
          </cell>
        </row>
        <row r="496">
          <cell r="A496">
            <v>1759</v>
          </cell>
        </row>
        <row r="497">
          <cell r="A497">
            <v>1760</v>
          </cell>
        </row>
        <row r="498">
          <cell r="A498">
            <v>1761</v>
          </cell>
        </row>
        <row r="499">
          <cell r="A499">
            <v>1764</v>
          </cell>
        </row>
        <row r="500">
          <cell r="A500">
            <v>1765</v>
          </cell>
        </row>
        <row r="501">
          <cell r="A501">
            <v>1766</v>
          </cell>
        </row>
        <row r="502">
          <cell r="A502">
            <v>1767</v>
          </cell>
        </row>
        <row r="503">
          <cell r="A503">
            <v>1768</v>
          </cell>
        </row>
        <row r="504">
          <cell r="A504">
            <v>1769</v>
          </cell>
        </row>
        <row r="505">
          <cell r="A505">
            <v>1770</v>
          </cell>
        </row>
        <row r="506">
          <cell r="A506">
            <v>1771</v>
          </cell>
        </row>
        <row r="507">
          <cell r="A507">
            <v>1772</v>
          </cell>
        </row>
        <row r="508">
          <cell r="A508">
            <v>1773</v>
          </cell>
        </row>
        <row r="509">
          <cell r="A509">
            <v>1774</v>
          </cell>
        </row>
        <row r="510">
          <cell r="A510">
            <v>1777</v>
          </cell>
        </row>
        <row r="511">
          <cell r="A511">
            <v>1779</v>
          </cell>
        </row>
        <row r="512">
          <cell r="A512">
            <v>1780</v>
          </cell>
        </row>
        <row r="513">
          <cell r="A513">
            <v>1781</v>
          </cell>
        </row>
        <row r="514">
          <cell r="A514">
            <v>1782</v>
          </cell>
        </row>
        <row r="515">
          <cell r="A515">
            <v>1784</v>
          </cell>
        </row>
        <row r="516">
          <cell r="A516">
            <v>1785</v>
          </cell>
        </row>
        <row r="517">
          <cell r="A517">
            <v>1786</v>
          </cell>
        </row>
        <row r="518">
          <cell r="A518">
            <v>1787</v>
          </cell>
        </row>
        <row r="519">
          <cell r="A519">
            <v>1788</v>
          </cell>
        </row>
        <row r="520">
          <cell r="A520">
            <v>1789</v>
          </cell>
        </row>
        <row r="521">
          <cell r="A521">
            <v>1791</v>
          </cell>
        </row>
        <row r="522">
          <cell r="A522">
            <v>1793</v>
          </cell>
        </row>
        <row r="523">
          <cell r="A523">
            <v>1795</v>
          </cell>
        </row>
        <row r="524">
          <cell r="A524">
            <v>1796</v>
          </cell>
        </row>
        <row r="525">
          <cell r="A525">
            <v>1797</v>
          </cell>
        </row>
        <row r="526">
          <cell r="A526">
            <v>1800</v>
          </cell>
        </row>
        <row r="527">
          <cell r="A527">
            <v>1801</v>
          </cell>
        </row>
        <row r="528">
          <cell r="A528">
            <v>1802</v>
          </cell>
        </row>
        <row r="529">
          <cell r="A529">
            <v>1803</v>
          </cell>
        </row>
        <row r="530">
          <cell r="A530">
            <v>1807</v>
          </cell>
        </row>
        <row r="531">
          <cell r="A531">
            <v>1808</v>
          </cell>
        </row>
        <row r="532">
          <cell r="A532">
            <v>1809</v>
          </cell>
        </row>
        <row r="533">
          <cell r="A533">
            <v>1810</v>
          </cell>
        </row>
        <row r="534">
          <cell r="A534">
            <v>1812</v>
          </cell>
        </row>
        <row r="535">
          <cell r="A535">
            <v>1813</v>
          </cell>
        </row>
        <row r="536">
          <cell r="A536">
            <v>1814</v>
          </cell>
        </row>
        <row r="537">
          <cell r="A537">
            <v>1815</v>
          </cell>
        </row>
        <row r="538">
          <cell r="A538">
            <v>1817</v>
          </cell>
        </row>
        <row r="539">
          <cell r="A539">
            <v>1818</v>
          </cell>
        </row>
        <row r="540">
          <cell r="A540">
            <v>1819</v>
          </cell>
        </row>
        <row r="541">
          <cell r="A541">
            <v>1820</v>
          </cell>
        </row>
        <row r="542">
          <cell r="A542">
            <v>1821</v>
          </cell>
        </row>
        <row r="543">
          <cell r="A543">
            <v>1822</v>
          </cell>
        </row>
        <row r="544">
          <cell r="A544">
            <v>1823</v>
          </cell>
        </row>
        <row r="545">
          <cell r="A545">
            <v>1824</v>
          </cell>
        </row>
        <row r="546">
          <cell r="A546">
            <v>1825</v>
          </cell>
        </row>
        <row r="547">
          <cell r="A547">
            <v>1826</v>
          </cell>
        </row>
        <row r="548">
          <cell r="A548">
            <v>1827</v>
          </cell>
        </row>
        <row r="549">
          <cell r="A549">
            <v>1828</v>
          </cell>
        </row>
        <row r="550">
          <cell r="A550">
            <v>1829</v>
          </cell>
        </row>
        <row r="551">
          <cell r="A551">
            <v>1830</v>
          </cell>
        </row>
        <row r="552">
          <cell r="A552">
            <v>1831</v>
          </cell>
        </row>
        <row r="553">
          <cell r="A553">
            <v>1832</v>
          </cell>
        </row>
        <row r="554">
          <cell r="A554">
            <v>1833</v>
          </cell>
        </row>
        <row r="555">
          <cell r="A555">
            <v>1834</v>
          </cell>
        </row>
        <row r="556">
          <cell r="A556">
            <v>1835</v>
          </cell>
        </row>
        <row r="557">
          <cell r="A557">
            <v>1836</v>
          </cell>
        </row>
        <row r="558">
          <cell r="A558">
            <v>1837</v>
          </cell>
        </row>
        <row r="559">
          <cell r="A559">
            <v>1839</v>
          </cell>
        </row>
        <row r="560">
          <cell r="A560">
            <v>1842</v>
          </cell>
        </row>
        <row r="561">
          <cell r="A561">
            <v>1845</v>
          </cell>
        </row>
        <row r="562">
          <cell r="A562">
            <v>1846</v>
          </cell>
        </row>
        <row r="563">
          <cell r="A563">
            <v>1847</v>
          </cell>
        </row>
        <row r="564">
          <cell r="A564">
            <v>1849</v>
          </cell>
        </row>
        <row r="565">
          <cell r="A565">
            <v>1850</v>
          </cell>
        </row>
        <row r="566">
          <cell r="A566">
            <v>1851</v>
          </cell>
        </row>
        <row r="567">
          <cell r="A567">
            <v>1855</v>
          </cell>
        </row>
        <row r="568">
          <cell r="A568">
            <v>1856</v>
          </cell>
        </row>
        <row r="569">
          <cell r="A569">
            <v>1857</v>
          </cell>
        </row>
        <row r="570">
          <cell r="A570">
            <v>1860</v>
          </cell>
        </row>
        <row r="571">
          <cell r="A571">
            <v>1861</v>
          </cell>
        </row>
        <row r="572">
          <cell r="A572">
            <v>1864</v>
          </cell>
        </row>
        <row r="573">
          <cell r="A573">
            <v>1865</v>
          </cell>
        </row>
        <row r="574">
          <cell r="A574">
            <v>1866</v>
          </cell>
        </row>
        <row r="575">
          <cell r="A575">
            <v>1867</v>
          </cell>
        </row>
        <row r="576">
          <cell r="A576">
            <v>1868</v>
          </cell>
        </row>
        <row r="577">
          <cell r="A577">
            <v>1870</v>
          </cell>
        </row>
        <row r="578">
          <cell r="A578">
            <v>1871</v>
          </cell>
        </row>
        <row r="579">
          <cell r="A579">
            <v>1872</v>
          </cell>
        </row>
        <row r="580">
          <cell r="A580">
            <v>1873</v>
          </cell>
        </row>
        <row r="581">
          <cell r="A581">
            <v>1874</v>
          </cell>
        </row>
        <row r="582">
          <cell r="A582">
            <v>1876</v>
          </cell>
        </row>
        <row r="583">
          <cell r="A583">
            <v>1877</v>
          </cell>
        </row>
        <row r="584">
          <cell r="A584">
            <v>1878</v>
          </cell>
        </row>
        <row r="585">
          <cell r="A585">
            <v>1879</v>
          </cell>
        </row>
        <row r="586">
          <cell r="A586">
            <v>1880</v>
          </cell>
        </row>
        <row r="587">
          <cell r="A587">
            <v>1881</v>
          </cell>
        </row>
        <row r="588">
          <cell r="A588">
            <v>1882</v>
          </cell>
        </row>
        <row r="589">
          <cell r="A589">
            <v>1883</v>
          </cell>
        </row>
        <row r="590">
          <cell r="A590">
            <v>1884</v>
          </cell>
        </row>
        <row r="591">
          <cell r="A591">
            <v>1887</v>
          </cell>
        </row>
        <row r="592">
          <cell r="A592">
            <v>1896</v>
          </cell>
        </row>
        <row r="593">
          <cell r="A593">
            <v>1897</v>
          </cell>
        </row>
        <row r="594">
          <cell r="A594">
            <v>1898</v>
          </cell>
        </row>
        <row r="595">
          <cell r="A595">
            <v>1900</v>
          </cell>
        </row>
        <row r="596">
          <cell r="A596">
            <v>1901</v>
          </cell>
        </row>
        <row r="597">
          <cell r="A597">
            <v>1902</v>
          </cell>
        </row>
        <row r="598">
          <cell r="A598">
            <v>1903</v>
          </cell>
        </row>
        <row r="599">
          <cell r="A599">
            <v>1904</v>
          </cell>
        </row>
        <row r="600">
          <cell r="A600">
            <v>1905</v>
          </cell>
        </row>
        <row r="601">
          <cell r="A601">
            <v>1906</v>
          </cell>
        </row>
        <row r="602">
          <cell r="A602">
            <v>1907</v>
          </cell>
        </row>
        <row r="603">
          <cell r="A603">
            <v>1908</v>
          </cell>
        </row>
        <row r="604">
          <cell r="A604">
            <v>1909</v>
          </cell>
        </row>
        <row r="605">
          <cell r="A605">
            <v>1910</v>
          </cell>
        </row>
        <row r="606">
          <cell r="A606">
            <v>1911</v>
          </cell>
        </row>
        <row r="607">
          <cell r="A607">
            <v>1912</v>
          </cell>
        </row>
        <row r="608">
          <cell r="A608">
            <v>1913</v>
          </cell>
        </row>
        <row r="609">
          <cell r="A609">
            <v>1914</v>
          </cell>
        </row>
        <row r="610">
          <cell r="A610">
            <v>1915</v>
          </cell>
        </row>
        <row r="611">
          <cell r="A611">
            <v>1916</v>
          </cell>
        </row>
        <row r="612">
          <cell r="A612">
            <v>1917</v>
          </cell>
        </row>
        <row r="613">
          <cell r="A613">
            <v>1918</v>
          </cell>
        </row>
        <row r="614">
          <cell r="A614">
            <v>1919</v>
          </cell>
        </row>
        <row r="615">
          <cell r="A615">
            <v>1921</v>
          </cell>
        </row>
        <row r="616">
          <cell r="A616">
            <v>1922</v>
          </cell>
        </row>
        <row r="617">
          <cell r="A617">
            <v>1923</v>
          </cell>
        </row>
        <row r="618">
          <cell r="A618">
            <v>1924</v>
          </cell>
        </row>
        <row r="619">
          <cell r="A619">
            <v>1925</v>
          </cell>
        </row>
        <row r="620">
          <cell r="A620">
            <v>1927</v>
          </cell>
        </row>
        <row r="621">
          <cell r="A621">
            <v>1928</v>
          </cell>
        </row>
        <row r="622">
          <cell r="A622">
            <v>1929</v>
          </cell>
        </row>
        <row r="623">
          <cell r="A623">
            <v>1930</v>
          </cell>
        </row>
        <row r="624">
          <cell r="A624">
            <v>1931</v>
          </cell>
        </row>
        <row r="625">
          <cell r="A625">
            <v>1932</v>
          </cell>
        </row>
        <row r="626">
          <cell r="A626">
            <v>1933</v>
          </cell>
        </row>
        <row r="627">
          <cell r="A627">
            <v>1934</v>
          </cell>
        </row>
        <row r="628">
          <cell r="A628">
            <v>1936</v>
          </cell>
        </row>
        <row r="629">
          <cell r="A629">
            <v>1937</v>
          </cell>
        </row>
        <row r="630">
          <cell r="A630">
            <v>1938</v>
          </cell>
        </row>
        <row r="631">
          <cell r="A631">
            <v>1939</v>
          </cell>
        </row>
        <row r="632">
          <cell r="A632">
            <v>1952</v>
          </cell>
        </row>
        <row r="633">
          <cell r="A633">
            <v>1953</v>
          </cell>
        </row>
        <row r="634">
          <cell r="A634">
            <v>1954</v>
          </cell>
        </row>
        <row r="635">
          <cell r="A635">
            <v>1955</v>
          </cell>
        </row>
        <row r="636">
          <cell r="A636">
            <v>1956</v>
          </cell>
        </row>
        <row r="637">
          <cell r="A637">
            <v>1957</v>
          </cell>
        </row>
        <row r="638">
          <cell r="A638">
            <v>1958</v>
          </cell>
        </row>
        <row r="639">
          <cell r="A639">
            <v>1959</v>
          </cell>
        </row>
        <row r="640">
          <cell r="A640">
            <v>1961</v>
          </cell>
        </row>
        <row r="641">
          <cell r="A641">
            <v>1962</v>
          </cell>
        </row>
        <row r="642">
          <cell r="A642">
            <v>1964</v>
          </cell>
        </row>
        <row r="643">
          <cell r="A643">
            <v>1965</v>
          </cell>
        </row>
        <row r="644">
          <cell r="A644">
            <v>1966</v>
          </cell>
        </row>
        <row r="645">
          <cell r="A645">
            <v>1967</v>
          </cell>
        </row>
        <row r="646">
          <cell r="A646">
            <v>1968</v>
          </cell>
        </row>
        <row r="647">
          <cell r="A647">
            <v>1969</v>
          </cell>
        </row>
        <row r="648">
          <cell r="A648">
            <v>1970</v>
          </cell>
        </row>
        <row r="649">
          <cell r="A649">
            <v>1972</v>
          </cell>
        </row>
        <row r="650">
          <cell r="A650">
            <v>1973</v>
          </cell>
        </row>
        <row r="651">
          <cell r="A651">
            <v>1974</v>
          </cell>
        </row>
        <row r="652">
          <cell r="A652">
            <v>1975</v>
          </cell>
        </row>
        <row r="653">
          <cell r="A653">
            <v>1977</v>
          </cell>
        </row>
        <row r="654">
          <cell r="A654">
            <v>1978</v>
          </cell>
        </row>
        <row r="655">
          <cell r="A655">
            <v>1979</v>
          </cell>
        </row>
        <row r="656">
          <cell r="A656">
            <v>1980</v>
          </cell>
        </row>
        <row r="657">
          <cell r="A657">
            <v>1981</v>
          </cell>
        </row>
        <row r="658">
          <cell r="A658">
            <v>1982</v>
          </cell>
        </row>
        <row r="659">
          <cell r="A659">
            <v>1983</v>
          </cell>
        </row>
        <row r="660">
          <cell r="A660">
            <v>1984</v>
          </cell>
        </row>
        <row r="661">
          <cell r="A661">
            <v>1985</v>
          </cell>
        </row>
        <row r="662">
          <cell r="A662">
            <v>1986</v>
          </cell>
        </row>
        <row r="663">
          <cell r="A663">
            <v>1987</v>
          </cell>
        </row>
        <row r="664">
          <cell r="A664">
            <v>1989</v>
          </cell>
        </row>
        <row r="665">
          <cell r="A665">
            <v>1990</v>
          </cell>
        </row>
        <row r="666">
          <cell r="A666">
            <v>1991</v>
          </cell>
        </row>
        <row r="667">
          <cell r="A667">
            <v>1992</v>
          </cell>
        </row>
        <row r="668">
          <cell r="A668">
            <v>1993</v>
          </cell>
        </row>
        <row r="669">
          <cell r="A669">
            <v>1994</v>
          </cell>
        </row>
        <row r="670">
          <cell r="A670">
            <v>1995</v>
          </cell>
        </row>
        <row r="671">
          <cell r="A671">
            <v>1998</v>
          </cell>
        </row>
        <row r="672">
          <cell r="A672">
            <v>1999</v>
          </cell>
        </row>
        <row r="673">
          <cell r="A673">
            <v>2000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topLeftCell="A4" workbookViewId="0">
      <pane ySplit="6" topLeftCell="A10" activePane="bottomLeft" state="frozen"/>
      <selection activeCell="A4" sqref="A4"/>
      <selection pane="bottomLeft" activeCell="B4" sqref="B1:B1048576"/>
    </sheetView>
  </sheetViews>
  <sheetFormatPr baseColWidth="10" defaultRowHeight="15" x14ac:dyDescent="0.25"/>
  <cols>
    <col min="1" max="1" width="12" customWidth="1"/>
    <col min="3" max="3" width="23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17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21" x14ac:dyDescent="0.25">
      <c r="A4" s="4"/>
      <c r="B4" s="5"/>
      <c r="C4" s="6"/>
      <c r="D4" s="4"/>
    </row>
    <row r="5" spans="1:7" ht="27.75" customHeight="1" x14ac:dyDescent="0.25">
      <c r="A5" s="4"/>
      <c r="B5" s="5" t="s">
        <v>16</v>
      </c>
      <c r="C5" s="7"/>
      <c r="D5" s="4"/>
    </row>
    <row r="6" spans="1:7" ht="25.5" customHeight="1" x14ac:dyDescent="0.25">
      <c r="A6" s="6"/>
      <c r="B6" s="8" t="s">
        <v>225</v>
      </c>
      <c r="C6" s="9"/>
      <c r="D6" s="4"/>
    </row>
    <row r="7" spans="1:7" ht="21" x14ac:dyDescent="0.35">
      <c r="A7" s="4"/>
      <c r="B7" s="10"/>
      <c r="C7" s="11" t="s">
        <v>226</v>
      </c>
      <c r="D7" s="4"/>
    </row>
    <row r="8" spans="1:7" ht="14.2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102</v>
      </c>
      <c r="B10" s="13">
        <v>700</v>
      </c>
      <c r="C10" s="14" t="str">
        <f>+VLOOKUP(B10,[1]LISTE!$A$1:$D$431,4,FALSE)</f>
        <v>ZORGATI ABDELFATTEH</v>
      </c>
      <c r="D10" s="14" t="s">
        <v>22</v>
      </c>
      <c r="E10" s="15">
        <v>45650</v>
      </c>
      <c r="F10" s="14" t="s">
        <v>20</v>
      </c>
      <c r="G10" s="16">
        <v>68.274000000000001</v>
      </c>
    </row>
    <row r="11" spans="1:7" x14ac:dyDescent="0.25">
      <c r="A11" s="13" t="s">
        <v>49</v>
      </c>
      <c r="B11" s="13">
        <v>913</v>
      </c>
      <c r="C11" s="14" t="str">
        <f>+VLOOKUP(B11,[1]LISTE!$A$1:$D$431,4,FALSE)</f>
        <v>MAOUA MED HEDI</v>
      </c>
      <c r="D11" s="14" t="s">
        <v>50</v>
      </c>
      <c r="E11" s="15">
        <v>45651</v>
      </c>
      <c r="F11" s="14" t="s">
        <v>23</v>
      </c>
      <c r="G11" s="16">
        <v>40</v>
      </c>
    </row>
    <row r="12" spans="1:7" x14ac:dyDescent="0.25">
      <c r="A12" s="13" t="s">
        <v>49</v>
      </c>
      <c r="B12" s="13">
        <v>913</v>
      </c>
      <c r="C12" s="14" t="str">
        <f>+VLOOKUP(B12,[1]LISTE!$A$1:$D$431,4,FALSE)</f>
        <v>MAOUA MED HEDI</v>
      </c>
      <c r="D12" s="14" t="s">
        <v>50</v>
      </c>
      <c r="E12" s="15">
        <v>45651</v>
      </c>
      <c r="F12" s="14" t="s">
        <v>20</v>
      </c>
      <c r="G12" s="16">
        <v>2.7149999999999999</v>
      </c>
    </row>
    <row r="13" spans="1:7" x14ac:dyDescent="0.25">
      <c r="A13" s="13" t="s">
        <v>49</v>
      </c>
      <c r="B13" s="13">
        <v>913</v>
      </c>
      <c r="C13" s="14" t="str">
        <f>+VLOOKUP(B13,[1]LISTE!$A$1:$D$431,4,FALSE)</f>
        <v>MAOUA MED HEDI</v>
      </c>
      <c r="D13" s="14" t="s">
        <v>50</v>
      </c>
      <c r="E13" s="15">
        <v>45651</v>
      </c>
      <c r="F13" s="14" t="s">
        <v>24</v>
      </c>
      <c r="G13" s="16">
        <v>40</v>
      </c>
    </row>
    <row r="14" spans="1:7" x14ac:dyDescent="0.25">
      <c r="A14" s="13" t="s">
        <v>39</v>
      </c>
      <c r="B14" s="13">
        <v>1504</v>
      </c>
      <c r="C14" s="14" t="str">
        <f>+VLOOKUP(B14,[1]LISTE!$A$1:$D$431,4,FALSE)</f>
        <v>ABBADI HABIB</v>
      </c>
      <c r="D14" s="14" t="s">
        <v>40</v>
      </c>
      <c r="E14" s="15">
        <v>45642</v>
      </c>
      <c r="F14" s="14" t="s">
        <v>23</v>
      </c>
      <c r="G14" s="16">
        <v>30</v>
      </c>
    </row>
    <row r="15" spans="1:7" x14ac:dyDescent="0.25">
      <c r="A15" s="13" t="s">
        <v>39</v>
      </c>
      <c r="B15" s="13">
        <v>1504</v>
      </c>
      <c r="C15" s="14" t="str">
        <f>+VLOOKUP(B15,[1]LISTE!$A$1:$D$431,4,FALSE)</f>
        <v>ABBADI HABIB</v>
      </c>
      <c r="D15" s="14" t="s">
        <v>40</v>
      </c>
      <c r="E15" s="15">
        <v>45642</v>
      </c>
      <c r="F15" s="14" t="s">
        <v>20</v>
      </c>
      <c r="G15" s="16">
        <v>164.32</v>
      </c>
    </row>
    <row r="16" spans="1:7" x14ac:dyDescent="0.25">
      <c r="A16" s="13" t="s">
        <v>41</v>
      </c>
      <c r="B16" s="13">
        <v>1504</v>
      </c>
      <c r="C16" s="14" t="str">
        <f>+VLOOKUP(B16,[1]LISTE!$A$1:$D$431,4,FALSE)</f>
        <v>ABBADI HABIB</v>
      </c>
      <c r="D16" s="14" t="s">
        <v>22</v>
      </c>
      <c r="E16" s="15">
        <v>45646</v>
      </c>
      <c r="F16" s="14" t="s">
        <v>23</v>
      </c>
      <c r="G16" s="16">
        <v>30</v>
      </c>
    </row>
    <row r="17" spans="1:7" x14ac:dyDescent="0.25">
      <c r="A17" s="13" t="s">
        <v>41</v>
      </c>
      <c r="B17" s="13">
        <v>1504</v>
      </c>
      <c r="C17" s="14" t="str">
        <f>+VLOOKUP(B17,[1]LISTE!$A$1:$D$431,4,FALSE)</f>
        <v>ABBADI HABIB</v>
      </c>
      <c r="D17" s="14" t="s">
        <v>22</v>
      </c>
      <c r="E17" s="15">
        <v>45646</v>
      </c>
      <c r="F17" s="14" t="s">
        <v>20</v>
      </c>
      <c r="G17" s="16">
        <v>159.44999999999999</v>
      </c>
    </row>
    <row r="18" spans="1:7" x14ac:dyDescent="0.25">
      <c r="A18" s="13" t="s">
        <v>58</v>
      </c>
      <c r="B18" s="13">
        <v>1558</v>
      </c>
      <c r="C18" s="14" t="str">
        <f>+VLOOKUP(B18,[1]LISTE!$A$1:$D$431,4,FALSE)</f>
        <v>DRIDI KARIM</v>
      </c>
      <c r="D18" s="14" t="s">
        <v>59</v>
      </c>
      <c r="E18" s="15">
        <v>45654</v>
      </c>
      <c r="F18" s="14" t="s">
        <v>18</v>
      </c>
      <c r="G18" s="16">
        <v>70</v>
      </c>
    </row>
    <row r="19" spans="1:7" x14ac:dyDescent="0.25">
      <c r="A19" s="13" t="s">
        <v>58</v>
      </c>
      <c r="B19" s="13">
        <v>1558</v>
      </c>
      <c r="C19" s="14" t="str">
        <f>+VLOOKUP(B19,[1]LISTE!$A$1:$D$431,4,FALSE)</f>
        <v>DRIDI KARIM</v>
      </c>
      <c r="D19" s="14" t="s">
        <v>59</v>
      </c>
      <c r="E19" s="15">
        <v>45656</v>
      </c>
      <c r="F19" s="14" t="s">
        <v>19</v>
      </c>
      <c r="G19" s="16">
        <v>41.408999999999999</v>
      </c>
    </row>
    <row r="20" spans="1:7" x14ac:dyDescent="0.25">
      <c r="A20" s="13" t="s">
        <v>58</v>
      </c>
      <c r="B20" s="13">
        <v>1558</v>
      </c>
      <c r="C20" s="14" t="str">
        <f>+VLOOKUP(B20,[1]LISTE!$A$1:$D$431,4,FALSE)</f>
        <v>DRIDI KARIM</v>
      </c>
      <c r="D20" s="14" t="s">
        <v>59</v>
      </c>
      <c r="E20" s="15">
        <v>45656</v>
      </c>
      <c r="F20" s="14" t="s">
        <v>20</v>
      </c>
      <c r="G20" s="16">
        <v>128.01</v>
      </c>
    </row>
    <row r="21" spans="1:7" x14ac:dyDescent="0.25">
      <c r="A21" s="13" t="s">
        <v>191</v>
      </c>
      <c r="B21" s="13">
        <v>1595</v>
      </c>
      <c r="C21" s="14" t="str">
        <f>+VLOOKUP(B21,[1]LISTE!$A$1:$D$431,4,FALSE)</f>
        <v>BEN SALEM FETHI</v>
      </c>
      <c r="D21" s="14" t="s">
        <v>192</v>
      </c>
      <c r="E21" s="15">
        <v>45651</v>
      </c>
      <c r="F21" s="14" t="s">
        <v>21</v>
      </c>
      <c r="G21" s="16">
        <v>36</v>
      </c>
    </row>
    <row r="22" spans="1:7" x14ac:dyDescent="0.25">
      <c r="A22" s="13" t="s">
        <v>52</v>
      </c>
      <c r="B22" s="13">
        <v>1687</v>
      </c>
      <c r="C22" s="14" t="str">
        <f>+VLOOKUP(B22,[1]LISTE!$A$1:$D$431,4,FALSE)</f>
        <v>LACHHAB SAHBI</v>
      </c>
      <c r="D22" s="14" t="s">
        <v>26</v>
      </c>
      <c r="E22" s="15">
        <v>45647</v>
      </c>
      <c r="F22" s="14" t="s">
        <v>23</v>
      </c>
      <c r="G22" s="16">
        <v>30</v>
      </c>
    </row>
    <row r="23" spans="1:7" x14ac:dyDescent="0.25">
      <c r="A23" s="13" t="s">
        <v>52</v>
      </c>
      <c r="B23" s="13">
        <v>1687</v>
      </c>
      <c r="C23" s="14" t="str">
        <f>+VLOOKUP(B23,[1]LISTE!$A$1:$D$431,4,FALSE)</f>
        <v>LACHHAB SAHBI</v>
      </c>
      <c r="D23" s="14" t="s">
        <v>26</v>
      </c>
      <c r="E23" s="15">
        <v>45647</v>
      </c>
      <c r="F23" s="14" t="s">
        <v>20</v>
      </c>
      <c r="G23" s="16">
        <v>83.405000000000001</v>
      </c>
    </row>
    <row r="24" spans="1:7" x14ac:dyDescent="0.25">
      <c r="A24" s="13" t="s">
        <v>53</v>
      </c>
      <c r="B24" s="13">
        <v>1687</v>
      </c>
      <c r="C24" s="14" t="str">
        <f>+VLOOKUP(B24,[1]LISTE!$A$1:$D$431,4,FALSE)</f>
        <v>LACHHAB SAHBI</v>
      </c>
      <c r="D24" s="14" t="s">
        <v>54</v>
      </c>
      <c r="E24" s="15">
        <v>45640</v>
      </c>
      <c r="F24" s="14" t="s">
        <v>23</v>
      </c>
      <c r="G24" s="16">
        <v>30</v>
      </c>
    </row>
    <row r="25" spans="1:7" x14ac:dyDescent="0.25">
      <c r="A25" s="13" t="s">
        <v>53</v>
      </c>
      <c r="B25" s="13">
        <v>1687</v>
      </c>
      <c r="C25" s="14" t="str">
        <f>+VLOOKUP(B25,[1]LISTE!$A$1:$D$431,4,FALSE)</f>
        <v>LACHHAB SAHBI</v>
      </c>
      <c r="D25" s="14" t="s">
        <v>54</v>
      </c>
      <c r="E25" s="15">
        <v>45640</v>
      </c>
      <c r="F25" s="14" t="s">
        <v>20</v>
      </c>
      <c r="G25" s="16">
        <v>85.165000000000006</v>
      </c>
    </row>
    <row r="26" spans="1:7" x14ac:dyDescent="0.25">
      <c r="A26" s="13" t="s">
        <v>55</v>
      </c>
      <c r="B26" s="13">
        <v>1687</v>
      </c>
      <c r="C26" s="14" t="str">
        <f>+VLOOKUP(B26,[1]LISTE!$A$1:$D$431,4,FALSE)</f>
        <v>LACHHAB SAHBI</v>
      </c>
      <c r="D26" s="14" t="s">
        <v>22</v>
      </c>
      <c r="E26" s="15">
        <v>45643</v>
      </c>
      <c r="F26" s="14" t="s">
        <v>23</v>
      </c>
      <c r="G26" s="16">
        <v>30</v>
      </c>
    </row>
    <row r="27" spans="1:7" x14ac:dyDescent="0.25">
      <c r="A27" s="13" t="s">
        <v>55</v>
      </c>
      <c r="B27" s="13">
        <v>1687</v>
      </c>
      <c r="C27" s="14" t="str">
        <f>+VLOOKUP(B27,[1]LISTE!$A$1:$D$431,4,FALSE)</f>
        <v>LACHHAB SAHBI</v>
      </c>
      <c r="D27" s="14" t="s">
        <v>22</v>
      </c>
      <c r="E27" s="15">
        <v>45643</v>
      </c>
      <c r="F27" s="14" t="s">
        <v>20</v>
      </c>
      <c r="G27" s="16">
        <v>136.17500000000001</v>
      </c>
    </row>
    <row r="28" spans="1:7" x14ac:dyDescent="0.25">
      <c r="A28" s="13" t="s">
        <v>56</v>
      </c>
      <c r="B28" s="13">
        <v>1687</v>
      </c>
      <c r="C28" s="14" t="str">
        <f>+VLOOKUP(B28,[1]LISTE!$A$1:$D$431,4,FALSE)</f>
        <v>LACHHAB SAHBI</v>
      </c>
      <c r="D28" s="14" t="s">
        <v>57</v>
      </c>
      <c r="E28" s="15">
        <v>45647</v>
      </c>
      <c r="F28" s="14" t="s">
        <v>23</v>
      </c>
      <c r="G28" s="16">
        <v>30</v>
      </c>
    </row>
    <row r="29" spans="1:7" x14ac:dyDescent="0.25">
      <c r="A29" s="13" t="s">
        <v>56</v>
      </c>
      <c r="B29" s="13">
        <v>1687</v>
      </c>
      <c r="C29" s="14" t="str">
        <f>+VLOOKUP(B29,[1]LISTE!$A$1:$D$431,4,FALSE)</f>
        <v>LACHHAB SAHBI</v>
      </c>
      <c r="D29" s="14" t="s">
        <v>57</v>
      </c>
      <c r="E29" s="15">
        <v>45647</v>
      </c>
      <c r="F29" s="14" t="s">
        <v>20</v>
      </c>
      <c r="G29" s="16">
        <v>73.55</v>
      </c>
    </row>
    <row r="30" spans="1:7" x14ac:dyDescent="0.25">
      <c r="A30" s="13" t="s">
        <v>84</v>
      </c>
      <c r="B30" s="13">
        <v>1687</v>
      </c>
      <c r="C30" s="14" t="str">
        <f>+VLOOKUP(B30,[1]LISTE!$A$1:$D$431,4,FALSE)</f>
        <v>LACHHAB SAHBI</v>
      </c>
      <c r="D30" s="14" t="s">
        <v>57</v>
      </c>
      <c r="E30" s="15">
        <v>45657</v>
      </c>
      <c r="F30" s="14" t="s">
        <v>18</v>
      </c>
      <c r="G30" s="16">
        <v>70</v>
      </c>
    </row>
    <row r="31" spans="1:7" x14ac:dyDescent="0.25">
      <c r="A31" s="13" t="s">
        <v>84</v>
      </c>
      <c r="B31" s="13">
        <v>1687</v>
      </c>
      <c r="C31" s="14" t="str">
        <f>+VLOOKUP(B31,[1]LISTE!$A$1:$D$431,4,FALSE)</f>
        <v>LACHHAB SAHBI</v>
      </c>
      <c r="D31" s="14" t="s">
        <v>57</v>
      </c>
      <c r="E31" s="15">
        <v>45660</v>
      </c>
      <c r="F31" s="14" t="s">
        <v>69</v>
      </c>
      <c r="G31" s="16">
        <v>540</v>
      </c>
    </row>
    <row r="32" spans="1:7" x14ac:dyDescent="0.25">
      <c r="A32" s="13" t="s">
        <v>81</v>
      </c>
      <c r="B32" s="13">
        <v>1706</v>
      </c>
      <c r="C32" s="14" t="str">
        <f>+VLOOKUP(B32,[1]LISTE!$A$1:$D$431,4,FALSE)</f>
        <v>GRIRA LOKHDHIRI FREDJ</v>
      </c>
      <c r="D32" s="14" t="s">
        <v>82</v>
      </c>
      <c r="E32" s="15">
        <v>45644</v>
      </c>
      <c r="F32" s="14" t="s">
        <v>18</v>
      </c>
      <c r="G32" s="16">
        <v>60</v>
      </c>
    </row>
    <row r="33" spans="1:7" x14ac:dyDescent="0.25">
      <c r="A33" s="13" t="s">
        <v>81</v>
      </c>
      <c r="B33" s="13">
        <v>1706</v>
      </c>
      <c r="C33" s="14" t="str">
        <f>+VLOOKUP(B33,[1]LISTE!$A$1:$D$431,4,FALSE)</f>
        <v>GRIRA LOKHDHIRI FREDJ</v>
      </c>
      <c r="D33" s="14" t="s">
        <v>82</v>
      </c>
      <c r="E33" s="15">
        <v>45644</v>
      </c>
      <c r="F33" s="14" t="s">
        <v>20</v>
      </c>
      <c r="G33" s="16">
        <v>195.63499999999999</v>
      </c>
    </row>
    <row r="34" spans="1:7" x14ac:dyDescent="0.25">
      <c r="A34" s="13" t="s">
        <v>42</v>
      </c>
      <c r="B34" s="13">
        <v>1716</v>
      </c>
      <c r="C34" s="14" t="s">
        <v>43</v>
      </c>
      <c r="D34" s="14" t="s">
        <v>44</v>
      </c>
      <c r="E34" s="15">
        <v>45649</v>
      </c>
      <c r="F34" s="14" t="s">
        <v>23</v>
      </c>
      <c r="G34" s="16">
        <v>40</v>
      </c>
    </row>
    <row r="35" spans="1:7" x14ac:dyDescent="0.25">
      <c r="A35" s="13" t="s">
        <v>42</v>
      </c>
      <c r="B35" s="13">
        <v>1716</v>
      </c>
      <c r="C35" s="14" t="s">
        <v>43</v>
      </c>
      <c r="D35" s="14" t="s">
        <v>44</v>
      </c>
      <c r="E35" s="15">
        <v>45650</v>
      </c>
      <c r="F35" s="14" t="s">
        <v>20</v>
      </c>
      <c r="G35" s="16">
        <v>4.55</v>
      </c>
    </row>
    <row r="36" spans="1:7" x14ac:dyDescent="0.25">
      <c r="A36" s="13" t="s">
        <v>42</v>
      </c>
      <c r="B36" s="13">
        <v>1716</v>
      </c>
      <c r="C36" s="14" t="s">
        <v>43</v>
      </c>
      <c r="D36" s="14" t="s">
        <v>44</v>
      </c>
      <c r="E36" s="15">
        <v>45654</v>
      </c>
      <c r="F36" s="14" t="s">
        <v>24</v>
      </c>
      <c r="G36" s="16">
        <v>300</v>
      </c>
    </row>
    <row r="37" spans="1:7" x14ac:dyDescent="0.25">
      <c r="A37" s="13" t="s">
        <v>138</v>
      </c>
      <c r="B37" s="13">
        <v>1740</v>
      </c>
      <c r="C37" s="14" t="str">
        <f>+VLOOKUP(B37,[1]LISTE!$A$1:$D$431,4,FALSE)</f>
        <v>YOUSSEF LOTFI</v>
      </c>
      <c r="D37" s="14" t="s">
        <v>22</v>
      </c>
      <c r="E37" s="15">
        <v>45656</v>
      </c>
      <c r="F37" s="14" t="s">
        <v>18</v>
      </c>
      <c r="G37" s="16">
        <v>70</v>
      </c>
    </row>
    <row r="38" spans="1:7" x14ac:dyDescent="0.25">
      <c r="A38" s="13" t="s">
        <v>138</v>
      </c>
      <c r="B38" s="13">
        <v>1740</v>
      </c>
      <c r="C38" s="14" t="str">
        <f>+VLOOKUP(B38,[1]LISTE!$A$1:$D$431,4,FALSE)</f>
        <v>YOUSSEF LOTFI</v>
      </c>
      <c r="D38" s="14" t="s">
        <v>22</v>
      </c>
      <c r="E38" s="15">
        <v>45657</v>
      </c>
      <c r="F38" s="14" t="s">
        <v>65</v>
      </c>
      <c r="G38" s="16">
        <v>30</v>
      </c>
    </row>
    <row r="39" spans="1:7" x14ac:dyDescent="0.25">
      <c r="A39" s="13" t="s">
        <v>138</v>
      </c>
      <c r="B39" s="13">
        <v>1740</v>
      </c>
      <c r="C39" s="14" t="str">
        <f>+VLOOKUP(B39,[1]LISTE!$A$1:$D$431,4,FALSE)</f>
        <v>YOUSSEF LOTFI</v>
      </c>
      <c r="D39" s="14" t="s">
        <v>22</v>
      </c>
      <c r="E39" s="15">
        <v>45664</v>
      </c>
      <c r="F39" s="14" t="s">
        <v>65</v>
      </c>
      <c r="G39" s="16">
        <v>30</v>
      </c>
    </row>
    <row r="40" spans="1:7" x14ac:dyDescent="0.25">
      <c r="A40" s="13" t="s">
        <v>138</v>
      </c>
      <c r="B40" s="13">
        <v>1740</v>
      </c>
      <c r="C40" s="14" t="str">
        <f>+VLOOKUP(B40,[1]LISTE!$A$1:$D$431,4,FALSE)</f>
        <v>YOUSSEF LOTFI</v>
      </c>
      <c r="D40" s="14" t="s">
        <v>22</v>
      </c>
      <c r="E40" s="15">
        <v>45656</v>
      </c>
      <c r="F40" s="14" t="s">
        <v>20</v>
      </c>
      <c r="G40" s="16">
        <v>28.606999999999999</v>
      </c>
    </row>
    <row r="41" spans="1:7" x14ac:dyDescent="0.25">
      <c r="A41" s="13" t="s">
        <v>90</v>
      </c>
      <c r="B41" s="13">
        <v>1760</v>
      </c>
      <c r="C41" s="14" t="str">
        <f>+VLOOKUP(B41,[1]LISTE!$A$1:$D$431,4,FALSE)</f>
        <v>SASSI SAMIR</v>
      </c>
      <c r="D41" s="14" t="s">
        <v>75</v>
      </c>
      <c r="E41" s="15">
        <v>45654</v>
      </c>
      <c r="F41" s="14" t="s">
        <v>23</v>
      </c>
      <c r="G41" s="16">
        <v>40</v>
      </c>
    </row>
    <row r="42" spans="1:7" x14ac:dyDescent="0.25">
      <c r="A42" s="13" t="s">
        <v>90</v>
      </c>
      <c r="B42" s="13">
        <v>1760</v>
      </c>
      <c r="C42" s="14" t="str">
        <f>+VLOOKUP(B42,[1]LISTE!$A$1:$D$431,4,FALSE)</f>
        <v>SASSI SAMIR</v>
      </c>
      <c r="D42" s="14" t="s">
        <v>75</v>
      </c>
      <c r="E42" s="15">
        <v>45654</v>
      </c>
      <c r="F42" s="14" t="s">
        <v>20</v>
      </c>
      <c r="G42" s="16">
        <v>22.651</v>
      </c>
    </row>
    <row r="43" spans="1:7" x14ac:dyDescent="0.25">
      <c r="A43" s="13" t="s">
        <v>76</v>
      </c>
      <c r="B43" s="13">
        <v>1768</v>
      </c>
      <c r="C43" s="14" t="str">
        <f>+VLOOKUP(B43,[1]LISTE!$A$1:$D$431,4,FALSE)</f>
        <v>LADJIMI MAHER</v>
      </c>
      <c r="D43" s="14" t="s">
        <v>22</v>
      </c>
      <c r="E43" s="15">
        <v>45656</v>
      </c>
      <c r="F43" s="14" t="s">
        <v>20</v>
      </c>
      <c r="G43" s="16">
        <v>33.871000000000002</v>
      </c>
    </row>
    <row r="44" spans="1:7" x14ac:dyDescent="0.25">
      <c r="A44" s="13" t="s">
        <v>137</v>
      </c>
      <c r="B44" s="13">
        <v>1774</v>
      </c>
      <c r="C44" s="14" t="str">
        <f>+VLOOKUP(B44,[1]LISTE!$A$1:$D$431,4,FALSE)</f>
        <v>BEN SALEM FAOUZI</v>
      </c>
      <c r="D44" s="14" t="s">
        <v>22</v>
      </c>
      <c r="E44" s="15">
        <v>45656</v>
      </c>
      <c r="F44" s="14" t="s">
        <v>18</v>
      </c>
      <c r="G44" s="16">
        <v>70</v>
      </c>
    </row>
    <row r="45" spans="1:7" x14ac:dyDescent="0.25">
      <c r="A45" s="13" t="s">
        <v>137</v>
      </c>
      <c r="B45" s="13">
        <v>1774</v>
      </c>
      <c r="C45" s="14" t="str">
        <f>+VLOOKUP(B45,[1]LISTE!$A$1:$D$431,4,FALSE)</f>
        <v>BEN SALEM FAOUZI</v>
      </c>
      <c r="D45" s="14" t="s">
        <v>22</v>
      </c>
      <c r="E45" s="15">
        <v>45656</v>
      </c>
      <c r="F45" s="14" t="s">
        <v>20</v>
      </c>
      <c r="G45" s="16">
        <v>15.000999999999999</v>
      </c>
    </row>
    <row r="46" spans="1:7" x14ac:dyDescent="0.25">
      <c r="A46" s="13" t="s">
        <v>64</v>
      </c>
      <c r="B46" s="13">
        <v>1795</v>
      </c>
      <c r="C46" s="14" t="str">
        <f>+VLOOKUP(B46,[1]LISTE!$A$1:$D$431,4,FALSE)</f>
        <v>SOUA MOHAMED</v>
      </c>
      <c r="D46" s="14" t="s">
        <v>22</v>
      </c>
      <c r="E46" s="15">
        <v>45652</v>
      </c>
      <c r="F46" s="14" t="s">
        <v>23</v>
      </c>
      <c r="G46" s="16">
        <v>45</v>
      </c>
    </row>
    <row r="47" spans="1:7" x14ac:dyDescent="0.25">
      <c r="A47" s="13" t="s">
        <v>64</v>
      </c>
      <c r="B47" s="13">
        <v>1795</v>
      </c>
      <c r="C47" s="14" t="str">
        <f>+VLOOKUP(B47,[1]LISTE!$A$1:$D$431,4,FALSE)</f>
        <v>SOUA MOHAMED</v>
      </c>
      <c r="D47" s="14" t="s">
        <v>22</v>
      </c>
      <c r="E47" s="15">
        <v>45652</v>
      </c>
      <c r="F47" s="14" t="s">
        <v>65</v>
      </c>
      <c r="G47" s="16">
        <v>120</v>
      </c>
    </row>
    <row r="48" spans="1:7" x14ac:dyDescent="0.25">
      <c r="A48" s="13" t="s">
        <v>64</v>
      </c>
      <c r="B48" s="13">
        <v>1795</v>
      </c>
      <c r="C48" s="14" t="str">
        <f>+VLOOKUP(B48,[1]LISTE!$A$1:$D$431,4,FALSE)</f>
        <v>SOUA MOHAMED</v>
      </c>
      <c r="D48" s="14" t="s">
        <v>22</v>
      </c>
      <c r="E48" s="15">
        <v>45652</v>
      </c>
      <c r="F48" s="14" t="s">
        <v>20</v>
      </c>
      <c r="G48" s="16">
        <v>50.746000000000002</v>
      </c>
    </row>
    <row r="49" spans="1:7" x14ac:dyDescent="0.25">
      <c r="A49" s="13" t="s">
        <v>83</v>
      </c>
      <c r="B49" s="13">
        <v>1796</v>
      </c>
      <c r="C49" s="14" t="str">
        <f>+VLOOKUP(B49,[1]LISTE!$A$1:$D$431,4,FALSE)</f>
        <v>BEL HADJ HASSINE IMED</v>
      </c>
      <c r="D49" s="14" t="s">
        <v>22</v>
      </c>
      <c r="E49" s="15">
        <v>45639</v>
      </c>
      <c r="F49" s="14" t="s">
        <v>18</v>
      </c>
      <c r="G49" s="16">
        <v>70</v>
      </c>
    </row>
    <row r="50" spans="1:7" x14ac:dyDescent="0.25">
      <c r="A50" s="13" t="s">
        <v>83</v>
      </c>
      <c r="B50" s="13">
        <v>1796</v>
      </c>
      <c r="C50" s="14" t="str">
        <f>+VLOOKUP(B50,[1]LISTE!$A$1:$D$431,4,FALSE)</f>
        <v>BEL HADJ HASSINE IMED</v>
      </c>
      <c r="D50" s="14" t="s">
        <v>22</v>
      </c>
      <c r="E50" s="15">
        <v>45663</v>
      </c>
      <c r="F50" s="14" t="s">
        <v>20</v>
      </c>
      <c r="G50" s="16">
        <v>15.79</v>
      </c>
    </row>
    <row r="51" spans="1:7" x14ac:dyDescent="0.25">
      <c r="A51" s="13" t="s">
        <v>70</v>
      </c>
      <c r="B51" s="13">
        <v>1800</v>
      </c>
      <c r="C51" s="14" t="str">
        <f>+VLOOKUP(B51,[1]LISTE!$A$1:$D$431,4,FALSE)</f>
        <v>BEN CHAOUACHA WAHIB</v>
      </c>
      <c r="D51" s="14" t="s">
        <v>71</v>
      </c>
      <c r="E51" s="15">
        <v>45654</v>
      </c>
      <c r="F51" s="14" t="s">
        <v>18</v>
      </c>
      <c r="G51" s="16">
        <v>70</v>
      </c>
    </row>
    <row r="52" spans="1:7" x14ac:dyDescent="0.25">
      <c r="A52" s="13" t="s">
        <v>70</v>
      </c>
      <c r="B52" s="13">
        <v>1800</v>
      </c>
      <c r="C52" s="14" t="str">
        <f>+VLOOKUP(B52,[1]LISTE!$A$1:$D$431,4,FALSE)</f>
        <v>BEN CHAOUACHA WAHIB</v>
      </c>
      <c r="D52" s="14" t="s">
        <v>71</v>
      </c>
      <c r="E52" s="15">
        <v>45656</v>
      </c>
      <c r="F52" s="14" t="s">
        <v>20</v>
      </c>
      <c r="G52" s="16">
        <v>35.963000000000001</v>
      </c>
    </row>
    <row r="53" spans="1:7" x14ac:dyDescent="0.25">
      <c r="A53" s="13" t="s">
        <v>77</v>
      </c>
      <c r="B53" s="13">
        <v>1815</v>
      </c>
      <c r="C53" s="14" t="str">
        <f>+VLOOKUP(B53,[1]LISTE!$A$1:$D$431,4,FALSE)</f>
        <v>KHEDIMI IMED</v>
      </c>
      <c r="D53" s="14" t="s">
        <v>22</v>
      </c>
      <c r="E53" s="15">
        <v>45636</v>
      </c>
      <c r="F53" s="14" t="s">
        <v>18</v>
      </c>
      <c r="G53" s="16">
        <v>60</v>
      </c>
    </row>
    <row r="54" spans="1:7" x14ac:dyDescent="0.25">
      <c r="A54" s="13" t="s">
        <v>77</v>
      </c>
      <c r="B54" s="13">
        <v>1815</v>
      </c>
      <c r="C54" s="14" t="str">
        <f>+VLOOKUP(B54,[1]LISTE!$A$1:$D$431,4,FALSE)</f>
        <v>KHEDIMI IMED</v>
      </c>
      <c r="D54" s="14" t="s">
        <v>22</v>
      </c>
      <c r="E54" s="15">
        <v>45636</v>
      </c>
      <c r="F54" s="14" t="s">
        <v>20</v>
      </c>
      <c r="G54" s="16">
        <v>112.52800000000001</v>
      </c>
    </row>
    <row r="55" spans="1:7" x14ac:dyDescent="0.25">
      <c r="A55" s="13" t="s">
        <v>77</v>
      </c>
      <c r="B55" s="13">
        <v>1815</v>
      </c>
      <c r="C55" s="14" t="str">
        <f>+VLOOKUP(B55,[1]LISTE!$A$1:$D$431,4,FALSE)</f>
        <v>KHEDIMI IMED</v>
      </c>
      <c r="D55" s="14" t="s">
        <v>22</v>
      </c>
      <c r="E55" s="15">
        <v>45636</v>
      </c>
      <c r="F55" s="14" t="s">
        <v>21</v>
      </c>
      <c r="G55" s="16">
        <v>60</v>
      </c>
    </row>
    <row r="56" spans="1:7" x14ac:dyDescent="0.25">
      <c r="A56" s="13" t="s">
        <v>78</v>
      </c>
      <c r="B56" s="13">
        <v>1815</v>
      </c>
      <c r="C56" s="14" t="str">
        <f>+VLOOKUP(B56,[1]LISTE!$A$1:$D$431,4,FALSE)</f>
        <v>KHEDIMI IMED</v>
      </c>
      <c r="D56" s="14" t="s">
        <v>79</v>
      </c>
      <c r="E56" s="15">
        <v>45633</v>
      </c>
      <c r="F56" s="14" t="s">
        <v>18</v>
      </c>
      <c r="G56" s="16">
        <v>70</v>
      </c>
    </row>
    <row r="57" spans="1:7" x14ac:dyDescent="0.25">
      <c r="A57" s="13" t="s">
        <v>78</v>
      </c>
      <c r="B57" s="13">
        <v>1815</v>
      </c>
      <c r="C57" s="14" t="str">
        <f>+VLOOKUP(B57,[1]LISTE!$A$1:$D$431,4,FALSE)</f>
        <v>KHEDIMI IMED</v>
      </c>
      <c r="D57" s="14" t="s">
        <v>79</v>
      </c>
      <c r="E57" s="15">
        <v>45633</v>
      </c>
      <c r="F57" s="14" t="s">
        <v>20</v>
      </c>
      <c r="G57" s="16">
        <v>25.84</v>
      </c>
    </row>
    <row r="58" spans="1:7" x14ac:dyDescent="0.25">
      <c r="A58" s="13" t="s">
        <v>87</v>
      </c>
      <c r="B58" s="13">
        <v>1817</v>
      </c>
      <c r="C58" s="14" t="str">
        <f>+VLOOKUP(B58,[1]LISTE!$A$1:$D$431,4,FALSE)</f>
        <v>ZOUITEN MUSTAPHA</v>
      </c>
      <c r="D58" s="14" t="s">
        <v>22</v>
      </c>
      <c r="E58" s="15">
        <v>45612</v>
      </c>
      <c r="F58" s="14" t="s">
        <v>21</v>
      </c>
      <c r="G58" s="16">
        <v>300</v>
      </c>
    </row>
    <row r="59" spans="1:7" x14ac:dyDescent="0.25">
      <c r="A59" s="13" t="s">
        <v>134</v>
      </c>
      <c r="B59" s="13">
        <v>1819</v>
      </c>
      <c r="C59" s="14" t="str">
        <f>+VLOOKUP(B59,[1]LISTE!$A$1:$D$431,4,FALSE)</f>
        <v>SASSI MOHAMED WALID</v>
      </c>
      <c r="D59" s="14" t="s">
        <v>22</v>
      </c>
      <c r="E59" s="15">
        <v>45646</v>
      </c>
      <c r="F59" s="14" t="s">
        <v>23</v>
      </c>
      <c r="G59" s="16">
        <v>45</v>
      </c>
    </row>
    <row r="60" spans="1:7" x14ac:dyDescent="0.25">
      <c r="A60" s="13" t="s">
        <v>134</v>
      </c>
      <c r="B60" s="13">
        <v>1819</v>
      </c>
      <c r="C60" s="14" t="str">
        <f>+VLOOKUP(B60,[1]LISTE!$A$1:$D$431,4,FALSE)</f>
        <v>SASSI MOHAMED WALID</v>
      </c>
      <c r="D60" s="14" t="s">
        <v>22</v>
      </c>
      <c r="E60" s="15">
        <v>45646</v>
      </c>
      <c r="F60" s="14" t="s">
        <v>20</v>
      </c>
      <c r="G60" s="16">
        <v>22.68</v>
      </c>
    </row>
    <row r="61" spans="1:7" x14ac:dyDescent="0.25">
      <c r="A61" s="13" t="s">
        <v>135</v>
      </c>
      <c r="B61" s="13">
        <v>1819</v>
      </c>
      <c r="C61" s="14" t="str">
        <f>+VLOOKUP(B61,[1]LISTE!$A$1:$D$431,4,FALSE)</f>
        <v>SASSI MOHAMED WALID</v>
      </c>
      <c r="D61" s="14" t="s">
        <v>22</v>
      </c>
      <c r="E61" s="15">
        <v>45645</v>
      </c>
      <c r="F61" s="14" t="s">
        <v>18</v>
      </c>
      <c r="G61" s="16">
        <v>60</v>
      </c>
    </row>
    <row r="62" spans="1:7" x14ac:dyDescent="0.25">
      <c r="A62" s="13" t="s">
        <v>135</v>
      </c>
      <c r="B62" s="13">
        <v>1819</v>
      </c>
      <c r="C62" s="14" t="str">
        <f>+VLOOKUP(B62,[1]LISTE!$A$1:$D$431,4,FALSE)</f>
        <v>SASSI MOHAMED WALID</v>
      </c>
      <c r="D62" s="14" t="s">
        <v>22</v>
      </c>
      <c r="E62" s="15">
        <v>45645</v>
      </c>
      <c r="F62" s="14" t="s">
        <v>20</v>
      </c>
      <c r="G62" s="16">
        <v>8.4499999999999993</v>
      </c>
    </row>
    <row r="63" spans="1:7" x14ac:dyDescent="0.25">
      <c r="A63" s="13" t="s">
        <v>136</v>
      </c>
      <c r="B63" s="13">
        <v>1821</v>
      </c>
      <c r="C63" s="14" t="str">
        <f>+VLOOKUP(B63,[1]LISTE!$A$1:$D$431,4,FALSE)</f>
        <v>BOURIGUA MOHAMED</v>
      </c>
      <c r="D63" s="14" t="s">
        <v>22</v>
      </c>
      <c r="E63" s="15">
        <v>45649</v>
      </c>
      <c r="F63" s="14" t="s">
        <v>23</v>
      </c>
      <c r="G63" s="16">
        <v>50</v>
      </c>
    </row>
    <row r="64" spans="1:7" x14ac:dyDescent="0.25">
      <c r="A64" s="13" t="s">
        <v>136</v>
      </c>
      <c r="B64" s="13">
        <v>1821</v>
      </c>
      <c r="C64" s="14" t="str">
        <f>+VLOOKUP(B64,[1]LISTE!$A$1:$D$431,4,FALSE)</f>
        <v>BOURIGUA MOHAMED</v>
      </c>
      <c r="D64" s="14" t="s">
        <v>22</v>
      </c>
      <c r="E64" s="15">
        <v>45649</v>
      </c>
      <c r="F64" s="14" t="s">
        <v>20</v>
      </c>
      <c r="G64" s="16">
        <v>3.71</v>
      </c>
    </row>
    <row r="65" spans="1:7" x14ac:dyDescent="0.25">
      <c r="A65" s="13" t="s">
        <v>136</v>
      </c>
      <c r="B65" s="13">
        <v>1821</v>
      </c>
      <c r="C65" s="14" t="str">
        <f>+VLOOKUP(B65,[1]LISTE!$A$1:$D$431,4,FALSE)</f>
        <v>BOURIGUA MOHAMED</v>
      </c>
      <c r="D65" s="14" t="s">
        <v>22</v>
      </c>
      <c r="E65" s="15">
        <v>45654</v>
      </c>
      <c r="F65" s="14" t="s">
        <v>24</v>
      </c>
      <c r="G65" s="16">
        <v>180</v>
      </c>
    </row>
    <row r="66" spans="1:7" x14ac:dyDescent="0.25">
      <c r="A66" s="13" t="s">
        <v>51</v>
      </c>
      <c r="B66" s="13">
        <v>1830</v>
      </c>
      <c r="C66" s="14" t="str">
        <f>+VLOOKUP(B66,[1]LISTE!$A$1:$D$431,4,FALSE)</f>
        <v>LOURIMI ABDALLAH</v>
      </c>
      <c r="D66" s="14" t="s">
        <v>22</v>
      </c>
      <c r="E66" s="15">
        <v>45646</v>
      </c>
      <c r="F66" s="14" t="s">
        <v>18</v>
      </c>
      <c r="G66" s="16">
        <v>70</v>
      </c>
    </row>
    <row r="67" spans="1:7" x14ac:dyDescent="0.25">
      <c r="A67" s="13" t="s">
        <v>51</v>
      </c>
      <c r="B67" s="13">
        <v>1830</v>
      </c>
      <c r="C67" s="14" t="str">
        <f>+VLOOKUP(B67,[1]LISTE!$A$1:$D$431,4,FALSE)</f>
        <v>LOURIMI ABDALLAH</v>
      </c>
      <c r="D67" s="14" t="s">
        <v>22</v>
      </c>
      <c r="E67" s="15">
        <v>45646</v>
      </c>
      <c r="F67" s="14" t="s">
        <v>20</v>
      </c>
      <c r="G67" s="16">
        <v>11.178000000000001</v>
      </c>
    </row>
    <row r="68" spans="1:7" x14ac:dyDescent="0.25">
      <c r="A68" s="13" t="s">
        <v>104</v>
      </c>
      <c r="B68" s="13">
        <v>1830</v>
      </c>
      <c r="C68" s="14" t="str">
        <f>+VLOOKUP(B68,[1]LISTE!$A$1:$D$431,4,FALSE)</f>
        <v>LOURIMI ABDALLAH</v>
      </c>
      <c r="D68" s="14" t="s">
        <v>54</v>
      </c>
      <c r="E68" s="15">
        <v>45645</v>
      </c>
      <c r="F68" s="14" t="s">
        <v>23</v>
      </c>
      <c r="G68" s="16">
        <v>40</v>
      </c>
    </row>
    <row r="69" spans="1:7" x14ac:dyDescent="0.25">
      <c r="A69" s="13" t="s">
        <v>104</v>
      </c>
      <c r="B69" s="13">
        <v>1830</v>
      </c>
      <c r="C69" s="14" t="str">
        <f>+VLOOKUP(B69,[1]LISTE!$A$1:$D$431,4,FALSE)</f>
        <v>LOURIMI ABDALLAH</v>
      </c>
      <c r="D69" s="14" t="s">
        <v>54</v>
      </c>
      <c r="E69" s="15">
        <v>45645</v>
      </c>
      <c r="F69" s="14" t="s">
        <v>21</v>
      </c>
      <c r="G69" s="16">
        <v>60</v>
      </c>
    </row>
    <row r="70" spans="1:7" x14ac:dyDescent="0.25">
      <c r="A70" s="13" t="s">
        <v>88</v>
      </c>
      <c r="B70" s="13">
        <v>1832</v>
      </c>
      <c r="C70" s="14" t="str">
        <f>+VLOOKUP(B70,[1]LISTE!$A$1:$D$431,4,FALSE)</f>
        <v>ERGUEZ MEJDI</v>
      </c>
      <c r="D70" s="14" t="s">
        <v>89</v>
      </c>
      <c r="E70" s="15">
        <v>45654</v>
      </c>
      <c r="F70" s="14" t="s">
        <v>23</v>
      </c>
      <c r="G70" s="16">
        <v>25</v>
      </c>
    </row>
    <row r="71" spans="1:7" x14ac:dyDescent="0.25">
      <c r="A71" s="13" t="s">
        <v>88</v>
      </c>
      <c r="B71" s="13">
        <v>1832</v>
      </c>
      <c r="C71" s="14" t="str">
        <f>+VLOOKUP(B71,[1]LISTE!$A$1:$D$431,4,FALSE)</f>
        <v>ERGUEZ MEJDI</v>
      </c>
      <c r="D71" s="14" t="s">
        <v>89</v>
      </c>
      <c r="E71" s="15">
        <v>45654</v>
      </c>
      <c r="F71" s="14" t="s">
        <v>20</v>
      </c>
      <c r="G71" s="16">
        <v>13.788</v>
      </c>
    </row>
    <row r="72" spans="1:7" x14ac:dyDescent="0.25">
      <c r="A72" s="13" t="s">
        <v>88</v>
      </c>
      <c r="B72" s="13">
        <v>1832</v>
      </c>
      <c r="C72" s="14" t="str">
        <f>+VLOOKUP(B72,[1]LISTE!$A$1:$D$431,4,FALSE)</f>
        <v>ERGUEZ MEJDI</v>
      </c>
      <c r="D72" s="14" t="s">
        <v>89</v>
      </c>
      <c r="E72" s="15">
        <v>45654</v>
      </c>
      <c r="F72" s="14" t="s">
        <v>21</v>
      </c>
      <c r="G72" s="16">
        <v>20</v>
      </c>
    </row>
    <row r="73" spans="1:7" x14ac:dyDescent="0.25">
      <c r="A73" s="13" t="s">
        <v>72</v>
      </c>
      <c r="B73" s="13">
        <v>1836</v>
      </c>
      <c r="C73" s="14" t="str">
        <f>+VLOOKUP(B73,[1]LISTE!$A$1:$D$431,4,FALSE)</f>
        <v>BEN KALIA LOTFI</v>
      </c>
      <c r="D73" s="14" t="s">
        <v>22</v>
      </c>
      <c r="E73" s="15">
        <v>45656</v>
      </c>
      <c r="F73" s="14" t="s">
        <v>65</v>
      </c>
      <c r="G73" s="16">
        <v>300</v>
      </c>
    </row>
    <row r="74" spans="1:7" x14ac:dyDescent="0.25">
      <c r="A74" s="13" t="s">
        <v>174</v>
      </c>
      <c r="B74" s="13">
        <v>1846</v>
      </c>
      <c r="C74" s="14" t="str">
        <f>+VLOOKUP(B74,[1]LISTE!$A$1:$D$431,4,FALSE)</f>
        <v>ROMDHANI SAMI</v>
      </c>
      <c r="D74" s="14" t="s">
        <v>22</v>
      </c>
      <c r="E74" s="15">
        <v>45639</v>
      </c>
      <c r="F74" s="14" t="s">
        <v>23</v>
      </c>
      <c r="G74" s="16">
        <v>50</v>
      </c>
    </row>
    <row r="75" spans="1:7" x14ac:dyDescent="0.25">
      <c r="A75" s="13" t="s">
        <v>174</v>
      </c>
      <c r="B75" s="13">
        <v>1846</v>
      </c>
      <c r="C75" s="14" t="str">
        <f>+VLOOKUP(B75,[1]LISTE!$A$1:$D$431,4,FALSE)</f>
        <v>ROMDHANI SAMI</v>
      </c>
      <c r="D75" s="14" t="s">
        <v>22</v>
      </c>
      <c r="E75" s="15">
        <v>45639</v>
      </c>
      <c r="F75" s="14" t="s">
        <v>20</v>
      </c>
      <c r="G75" s="16">
        <v>11.06</v>
      </c>
    </row>
    <row r="76" spans="1:7" x14ac:dyDescent="0.25">
      <c r="A76" s="13" t="s">
        <v>174</v>
      </c>
      <c r="B76" s="13">
        <v>1846</v>
      </c>
      <c r="C76" s="14" t="str">
        <f>+VLOOKUP(B76,[1]LISTE!$A$1:$D$431,4,FALSE)</f>
        <v>ROMDHANI SAMI</v>
      </c>
      <c r="D76" s="14" t="s">
        <v>22</v>
      </c>
      <c r="E76" s="15">
        <v>45664</v>
      </c>
      <c r="F76" s="14" t="s">
        <v>24</v>
      </c>
      <c r="G76" s="16">
        <v>200</v>
      </c>
    </row>
    <row r="77" spans="1:7" x14ac:dyDescent="0.25">
      <c r="A77" s="13" t="s">
        <v>211</v>
      </c>
      <c r="B77" s="13">
        <v>1900</v>
      </c>
      <c r="C77" s="14" t="str">
        <f>+VLOOKUP(B77,[1]LISTE!$A$1:$D$431,4,FALSE)</f>
        <v>BOUAZZA SALAH</v>
      </c>
      <c r="D77" s="14" t="s">
        <v>212</v>
      </c>
      <c r="E77" s="15">
        <v>45647</v>
      </c>
      <c r="F77" s="14" t="s">
        <v>18</v>
      </c>
      <c r="G77" s="16">
        <v>60</v>
      </c>
    </row>
    <row r="78" spans="1:7" x14ac:dyDescent="0.25">
      <c r="A78" s="13" t="s">
        <v>211</v>
      </c>
      <c r="B78" s="13">
        <v>1900</v>
      </c>
      <c r="C78" s="14" t="str">
        <f>+VLOOKUP(B78,[1]LISTE!$A$1:$D$431,4,FALSE)</f>
        <v>BOUAZZA SALAH</v>
      </c>
      <c r="D78" s="14" t="s">
        <v>212</v>
      </c>
      <c r="E78" s="15">
        <v>45647</v>
      </c>
      <c r="F78" s="14" t="s">
        <v>20</v>
      </c>
      <c r="G78" s="16">
        <v>43.244999999999997</v>
      </c>
    </row>
    <row r="79" spans="1:7" x14ac:dyDescent="0.25">
      <c r="A79" s="13" t="s">
        <v>85</v>
      </c>
      <c r="B79" s="13">
        <v>1908</v>
      </c>
      <c r="C79" s="14" t="str">
        <f>+VLOOKUP(B79,[1]LISTE!$A$1:$D$431,4,FALSE)</f>
        <v>ZMERLI JAOUHAR</v>
      </c>
      <c r="D79" s="14" t="s">
        <v>22</v>
      </c>
      <c r="E79" s="15">
        <v>45661</v>
      </c>
      <c r="F79" s="14" t="s">
        <v>20</v>
      </c>
      <c r="G79" s="16">
        <v>6.59</v>
      </c>
    </row>
    <row r="80" spans="1:7" x14ac:dyDescent="0.25">
      <c r="A80" s="13" t="s">
        <v>85</v>
      </c>
      <c r="B80" s="13">
        <v>1908</v>
      </c>
      <c r="C80" s="14" t="str">
        <f>+VLOOKUP(B80,[1]LISTE!$A$1:$D$431,4,FALSE)</f>
        <v>ZMERLI JAOUHAR</v>
      </c>
      <c r="D80" s="14" t="s">
        <v>22</v>
      </c>
      <c r="E80" s="15">
        <v>45630</v>
      </c>
      <c r="F80" s="14" t="s">
        <v>25</v>
      </c>
      <c r="G80" s="16">
        <v>120</v>
      </c>
    </row>
    <row r="81" spans="1:7" x14ac:dyDescent="0.25">
      <c r="A81" s="13" t="s">
        <v>80</v>
      </c>
      <c r="B81" s="13">
        <v>1910</v>
      </c>
      <c r="C81" s="14" t="str">
        <f>+VLOOKUP(B81,[1]LISTE!$A$1:$D$431,4,FALSE)</f>
        <v>YOUSFI MEHDI</v>
      </c>
      <c r="D81" s="14" t="s">
        <v>22</v>
      </c>
      <c r="E81" s="15">
        <v>45649</v>
      </c>
      <c r="F81" s="14" t="s">
        <v>18</v>
      </c>
      <c r="G81" s="16">
        <v>60</v>
      </c>
    </row>
    <row r="82" spans="1:7" x14ac:dyDescent="0.25">
      <c r="A82" s="13" t="s">
        <v>80</v>
      </c>
      <c r="B82" s="13">
        <v>1910</v>
      </c>
      <c r="C82" s="14" t="str">
        <f>+VLOOKUP(B82,[1]LISTE!$A$1:$D$431,4,FALSE)</f>
        <v>YOUSFI MEHDI</v>
      </c>
      <c r="D82" s="14" t="s">
        <v>22</v>
      </c>
      <c r="E82" s="15">
        <v>45653</v>
      </c>
      <c r="F82" s="14" t="s">
        <v>20</v>
      </c>
      <c r="G82" s="16">
        <v>30</v>
      </c>
    </row>
    <row r="83" spans="1:7" x14ac:dyDescent="0.25">
      <c r="A83" s="13" t="s">
        <v>181</v>
      </c>
      <c r="B83" s="13">
        <v>1911</v>
      </c>
      <c r="C83" s="14" t="str">
        <f>+VLOOKUP(B83,[1]LISTE!$A$1:$D$431,4,FALSE)</f>
        <v>MEJRI KHELIL</v>
      </c>
      <c r="D83" s="14" t="s">
        <v>182</v>
      </c>
      <c r="E83" s="15">
        <v>45651</v>
      </c>
      <c r="F83" s="14" t="s">
        <v>23</v>
      </c>
      <c r="G83" s="16">
        <v>40</v>
      </c>
    </row>
    <row r="84" spans="1:7" x14ac:dyDescent="0.25">
      <c r="A84" s="13" t="s">
        <v>181</v>
      </c>
      <c r="B84" s="13">
        <v>1911</v>
      </c>
      <c r="C84" s="14" t="str">
        <f>+VLOOKUP(B84,[1]LISTE!$A$1:$D$431,4,FALSE)</f>
        <v>MEJRI KHELIL</v>
      </c>
      <c r="D84" s="14" t="s">
        <v>182</v>
      </c>
      <c r="E84" s="15">
        <v>45656</v>
      </c>
      <c r="F84" s="14" t="s">
        <v>24</v>
      </c>
      <c r="G84" s="16">
        <v>230</v>
      </c>
    </row>
    <row r="85" spans="1:7" x14ac:dyDescent="0.25">
      <c r="A85" s="13" t="s">
        <v>181</v>
      </c>
      <c r="B85" s="13">
        <v>1911</v>
      </c>
      <c r="C85" s="14" t="str">
        <f>+VLOOKUP(B85,[1]LISTE!$A$1:$D$431,4,FALSE)</f>
        <v>MEJRI KHELIL</v>
      </c>
      <c r="D85" s="14" t="s">
        <v>182</v>
      </c>
      <c r="E85" s="15">
        <v>45664</v>
      </c>
      <c r="F85" s="14" t="s">
        <v>25</v>
      </c>
      <c r="G85" s="16">
        <v>450</v>
      </c>
    </row>
    <row r="86" spans="1:7" x14ac:dyDescent="0.25">
      <c r="A86" s="13" t="s">
        <v>86</v>
      </c>
      <c r="B86" s="13">
        <v>1913</v>
      </c>
      <c r="C86" s="14" t="str">
        <f>+VLOOKUP(B86,[1]LISTE!$A$1:$D$431,4,FALSE)</f>
        <v>SRIDI MOHAMED</v>
      </c>
      <c r="D86" s="14" t="s">
        <v>22</v>
      </c>
      <c r="E86" s="15">
        <v>45654</v>
      </c>
      <c r="F86" s="14" t="s">
        <v>18</v>
      </c>
      <c r="G86" s="16">
        <v>60</v>
      </c>
    </row>
    <row r="87" spans="1:7" x14ac:dyDescent="0.25">
      <c r="A87" s="13" t="s">
        <v>86</v>
      </c>
      <c r="B87" s="13">
        <v>1913</v>
      </c>
      <c r="C87" s="14" t="str">
        <f>+VLOOKUP(B87,[1]LISTE!$A$1:$D$431,4,FALSE)</f>
        <v>SRIDI MOHAMED</v>
      </c>
      <c r="D87" s="14" t="s">
        <v>22</v>
      </c>
      <c r="E87" s="15">
        <v>45656</v>
      </c>
      <c r="F87" s="14" t="s">
        <v>21</v>
      </c>
      <c r="G87" s="16">
        <v>300</v>
      </c>
    </row>
    <row r="88" spans="1:7" x14ac:dyDescent="0.25">
      <c r="A88" s="13" t="s">
        <v>129</v>
      </c>
      <c r="B88" s="13">
        <v>1919</v>
      </c>
      <c r="C88" s="14" t="str">
        <f>+VLOOKUP(B88,[1]LISTE!$A$1:$D$431,4,FALSE)</f>
        <v>SOUA LAYOUNI MOHAMED</v>
      </c>
      <c r="D88" s="14" t="s">
        <v>22</v>
      </c>
      <c r="E88" s="15">
        <v>45655</v>
      </c>
      <c r="F88" s="14" t="s">
        <v>18</v>
      </c>
      <c r="G88" s="16">
        <v>70</v>
      </c>
    </row>
    <row r="89" spans="1:7" x14ac:dyDescent="0.25">
      <c r="A89" s="13" t="s">
        <v>129</v>
      </c>
      <c r="B89" s="13">
        <v>1919</v>
      </c>
      <c r="C89" s="14" t="str">
        <f>+VLOOKUP(B89,[1]LISTE!$A$1:$D$431,4,FALSE)</f>
        <v>SOUA LAYOUNI MOHAMED</v>
      </c>
      <c r="D89" s="14" t="s">
        <v>22</v>
      </c>
      <c r="E89" s="15">
        <v>45655</v>
      </c>
      <c r="F89" s="14" t="s">
        <v>20</v>
      </c>
      <c r="G89" s="16">
        <v>69.63</v>
      </c>
    </row>
    <row r="90" spans="1:7" x14ac:dyDescent="0.25">
      <c r="A90" s="13" t="s">
        <v>201</v>
      </c>
      <c r="B90" s="13">
        <v>1978</v>
      </c>
      <c r="C90" s="14" t="str">
        <f>+VLOOKUP(B90,[1]LISTE!$A$1:$D$431,4,FALSE)</f>
        <v>MAHJOUB AHMED</v>
      </c>
      <c r="D90" s="14" t="s">
        <v>202</v>
      </c>
      <c r="E90" s="15">
        <v>45654</v>
      </c>
      <c r="F90" s="14" t="s">
        <v>65</v>
      </c>
      <c r="G90" s="16">
        <v>130</v>
      </c>
    </row>
    <row r="91" spans="1:7" x14ac:dyDescent="0.25">
      <c r="A91" s="13" t="s">
        <v>203</v>
      </c>
      <c r="B91" s="13">
        <v>1978</v>
      </c>
      <c r="C91" s="14" t="str">
        <f>+VLOOKUP(B91,[1]LISTE!$A$1:$D$431,4,FALSE)</f>
        <v>MAHJOUB AHMED</v>
      </c>
      <c r="D91" s="14" t="s">
        <v>202</v>
      </c>
      <c r="E91" s="15">
        <v>45654</v>
      </c>
      <c r="F91" s="14" t="s">
        <v>65</v>
      </c>
      <c r="G91" s="16">
        <v>225</v>
      </c>
    </row>
    <row r="92" spans="1:7" x14ac:dyDescent="0.25">
      <c r="A92" s="13" t="s">
        <v>73</v>
      </c>
      <c r="B92" s="13">
        <v>1983</v>
      </c>
      <c r="C92" s="14" t="str">
        <f>+VLOOKUP(B92,[1]LISTE!$A$1:$D$431,4,FALSE)</f>
        <v>GOUIDER SLAHEDDINE</v>
      </c>
      <c r="D92" s="14" t="s">
        <v>63</v>
      </c>
      <c r="E92" s="15">
        <v>45654</v>
      </c>
      <c r="F92" s="14" t="s">
        <v>18</v>
      </c>
      <c r="G92" s="16">
        <v>50</v>
      </c>
    </row>
    <row r="93" spans="1:7" x14ac:dyDescent="0.25">
      <c r="A93" s="13" t="s">
        <v>73</v>
      </c>
      <c r="B93" s="13">
        <v>1983</v>
      </c>
      <c r="C93" s="14" t="str">
        <f>+VLOOKUP(B93,[1]LISTE!$A$1:$D$431,4,FALSE)</f>
        <v>GOUIDER SLAHEDDINE</v>
      </c>
      <c r="D93" s="14" t="s">
        <v>63</v>
      </c>
      <c r="E93" s="15">
        <v>45654</v>
      </c>
      <c r="F93" s="14" t="s">
        <v>20</v>
      </c>
      <c r="G93" s="16">
        <v>35.5</v>
      </c>
    </row>
    <row r="94" spans="1:7" x14ac:dyDescent="0.25">
      <c r="A94" s="13" t="s">
        <v>74</v>
      </c>
      <c r="B94" s="13">
        <v>1983</v>
      </c>
      <c r="C94" s="14" t="str">
        <f>+VLOOKUP(B94,[1]LISTE!$A$1:$D$431,4,FALSE)</f>
        <v>GOUIDER SLAHEDDINE</v>
      </c>
      <c r="D94" s="14" t="s">
        <v>75</v>
      </c>
      <c r="E94" s="15">
        <v>45654</v>
      </c>
      <c r="F94" s="14" t="s">
        <v>18</v>
      </c>
      <c r="G94" s="16">
        <v>50</v>
      </c>
    </row>
    <row r="95" spans="1:7" x14ac:dyDescent="0.25">
      <c r="A95" s="13" t="s">
        <v>74</v>
      </c>
      <c r="B95" s="13">
        <v>1983</v>
      </c>
      <c r="C95" s="14" t="str">
        <f>+VLOOKUP(B95,[1]LISTE!$A$1:$D$431,4,FALSE)</f>
        <v>GOUIDER SLAHEDDINE</v>
      </c>
      <c r="D95" s="14" t="s">
        <v>75</v>
      </c>
      <c r="E95" s="15">
        <v>45654</v>
      </c>
      <c r="F95" s="14" t="s">
        <v>20</v>
      </c>
      <c r="G95" s="16">
        <v>36.402999999999999</v>
      </c>
    </row>
    <row r="96" spans="1:7" x14ac:dyDescent="0.25">
      <c r="A96" s="13" t="s">
        <v>48</v>
      </c>
      <c r="B96" s="13">
        <v>2022</v>
      </c>
      <c r="C96" s="14" t="str">
        <f>+VLOOKUP(B96,[1]LISTE!$A$1:$D$431,4,FALSE)</f>
        <v>BOUHLEL YOUSSEF</v>
      </c>
      <c r="D96" s="14" t="s">
        <v>22</v>
      </c>
      <c r="E96" s="15">
        <v>45651</v>
      </c>
      <c r="F96" s="14" t="s">
        <v>18</v>
      </c>
      <c r="G96" s="16">
        <v>70</v>
      </c>
    </row>
    <row r="97" spans="1:7" x14ac:dyDescent="0.25">
      <c r="A97" s="13" t="s">
        <v>48</v>
      </c>
      <c r="B97" s="13">
        <v>2022</v>
      </c>
      <c r="C97" s="14" t="str">
        <f>+VLOOKUP(B97,[1]LISTE!$A$1:$D$431,4,FALSE)</f>
        <v>BOUHLEL YOUSSEF</v>
      </c>
      <c r="D97" s="14" t="s">
        <v>22</v>
      </c>
      <c r="E97" s="15">
        <v>45651</v>
      </c>
      <c r="F97" s="14" t="s">
        <v>20</v>
      </c>
      <c r="G97" s="16">
        <v>33.630000000000003</v>
      </c>
    </row>
    <row r="98" spans="1:7" x14ac:dyDescent="0.25">
      <c r="A98" s="13" t="s">
        <v>130</v>
      </c>
      <c r="B98" s="13">
        <v>2036</v>
      </c>
      <c r="C98" s="14" t="s">
        <v>131</v>
      </c>
      <c r="D98" s="14" t="s">
        <v>132</v>
      </c>
      <c r="E98" s="15">
        <v>45653</v>
      </c>
      <c r="F98" s="14" t="s">
        <v>23</v>
      </c>
      <c r="G98" s="16">
        <v>50</v>
      </c>
    </row>
    <row r="99" spans="1:7" x14ac:dyDescent="0.25">
      <c r="A99" s="13" t="s">
        <v>130</v>
      </c>
      <c r="B99" s="13">
        <v>2036</v>
      </c>
      <c r="C99" s="14" t="s">
        <v>131</v>
      </c>
      <c r="D99" s="14" t="s">
        <v>132</v>
      </c>
      <c r="E99" s="15">
        <v>45663</v>
      </c>
      <c r="F99" s="14" t="s">
        <v>20</v>
      </c>
      <c r="G99" s="16">
        <v>21</v>
      </c>
    </row>
    <row r="100" spans="1:7" x14ac:dyDescent="0.25">
      <c r="A100" s="13" t="s">
        <v>130</v>
      </c>
      <c r="B100" s="13">
        <v>2036</v>
      </c>
      <c r="C100" s="14" t="s">
        <v>131</v>
      </c>
      <c r="D100" s="14" t="s">
        <v>132</v>
      </c>
      <c r="E100" s="15">
        <v>45661</v>
      </c>
      <c r="F100" s="14" t="s">
        <v>24</v>
      </c>
      <c r="G100" s="16">
        <v>414</v>
      </c>
    </row>
    <row r="101" spans="1:7" x14ac:dyDescent="0.25">
      <c r="A101" s="13" t="s">
        <v>94</v>
      </c>
      <c r="B101" s="13">
        <v>2061</v>
      </c>
      <c r="C101" s="14" t="str">
        <f>+VLOOKUP(B101,[1]LISTE!$A$1:$D$431,4,FALSE)</f>
        <v>KECHCICHE YASSINE</v>
      </c>
      <c r="D101" s="15" t="s">
        <v>95</v>
      </c>
      <c r="E101" s="15">
        <v>45655</v>
      </c>
      <c r="F101" s="14" t="s">
        <v>18</v>
      </c>
      <c r="G101" s="16">
        <v>50</v>
      </c>
    </row>
    <row r="102" spans="1:7" x14ac:dyDescent="0.25">
      <c r="A102" s="13" t="s">
        <v>94</v>
      </c>
      <c r="B102" s="13">
        <v>2061</v>
      </c>
      <c r="C102" s="14" t="str">
        <f>+VLOOKUP(B102,[1]LISTE!$A$1:$D$431,4,FALSE)</f>
        <v>KECHCICHE YASSINE</v>
      </c>
      <c r="D102" s="15" t="s">
        <v>95</v>
      </c>
      <c r="E102" s="15">
        <v>45655</v>
      </c>
      <c r="F102" s="14" t="s">
        <v>20</v>
      </c>
      <c r="G102" s="16">
        <v>57</v>
      </c>
    </row>
    <row r="103" spans="1:7" x14ac:dyDescent="0.25">
      <c r="A103" s="13" t="s">
        <v>94</v>
      </c>
      <c r="B103" s="13">
        <v>2061</v>
      </c>
      <c r="C103" s="14" t="str">
        <f>+VLOOKUP(B103,[1]LISTE!$A$1:$D$431,4,FALSE)</f>
        <v>KECHCICHE YASSINE</v>
      </c>
      <c r="D103" s="14" t="s">
        <v>95</v>
      </c>
      <c r="E103" s="15">
        <v>45659</v>
      </c>
      <c r="F103" s="14" t="s">
        <v>20</v>
      </c>
      <c r="G103" s="16">
        <v>27.39</v>
      </c>
    </row>
    <row r="104" spans="1:7" x14ac:dyDescent="0.25">
      <c r="A104" s="13" t="s">
        <v>38</v>
      </c>
      <c r="B104" s="13">
        <v>2084</v>
      </c>
      <c r="C104" s="14" t="str">
        <f>+VLOOKUP(B104,[1]LISTE!$A$1:$D$431,4,FALSE)</f>
        <v>HELALI Emna</v>
      </c>
      <c r="D104" s="14" t="s">
        <v>22</v>
      </c>
      <c r="E104" s="15">
        <v>45647</v>
      </c>
      <c r="F104" s="14" t="s">
        <v>23</v>
      </c>
      <c r="G104" s="16">
        <v>45</v>
      </c>
    </row>
    <row r="105" spans="1:7" x14ac:dyDescent="0.25">
      <c r="A105" s="13" t="s">
        <v>38</v>
      </c>
      <c r="B105" s="13">
        <v>2084</v>
      </c>
      <c r="C105" s="14" t="str">
        <f>+VLOOKUP(B105,[1]LISTE!$A$1:$D$431,4,FALSE)</f>
        <v>HELALI Emna</v>
      </c>
      <c r="D105" s="14" t="s">
        <v>22</v>
      </c>
      <c r="E105" s="15">
        <v>45651</v>
      </c>
      <c r="F105" s="14" t="s">
        <v>19</v>
      </c>
      <c r="G105" s="16">
        <v>112.41</v>
      </c>
    </row>
    <row r="106" spans="1:7" x14ac:dyDescent="0.25">
      <c r="A106" s="13" t="s">
        <v>38</v>
      </c>
      <c r="B106" s="13">
        <v>2084</v>
      </c>
      <c r="C106" s="14" t="str">
        <f>+VLOOKUP(B106,[1]LISTE!$A$1:$D$431,4,FALSE)</f>
        <v>HELALI Emna</v>
      </c>
      <c r="D106" s="14" t="s">
        <v>22</v>
      </c>
      <c r="E106" s="15">
        <v>45651</v>
      </c>
      <c r="F106" s="14" t="s">
        <v>21</v>
      </c>
      <c r="G106" s="16">
        <v>160</v>
      </c>
    </row>
    <row r="107" spans="1:7" x14ac:dyDescent="0.25">
      <c r="A107" s="13" t="s">
        <v>103</v>
      </c>
      <c r="B107" s="13">
        <v>2124</v>
      </c>
      <c r="C107" s="14" t="str">
        <f>+VLOOKUP(B107,[1]LISTE!$A$1:$D$431,4,FALSE)</f>
        <v>AHMED BEN HADJ MESSAOUD</v>
      </c>
      <c r="D107" s="14" t="s">
        <v>22</v>
      </c>
      <c r="E107" s="15">
        <v>45640</v>
      </c>
      <c r="F107" s="14" t="s">
        <v>18</v>
      </c>
      <c r="G107" s="16">
        <v>60</v>
      </c>
    </row>
    <row r="108" spans="1:7" x14ac:dyDescent="0.25">
      <c r="A108" s="13" t="s">
        <v>133</v>
      </c>
      <c r="B108" s="13">
        <v>2145</v>
      </c>
      <c r="C108" s="14" t="str">
        <f>+VLOOKUP(B108,[1]LISTE!$A$1:$D$431,4,FALSE)</f>
        <v>MRIBAH HAMZA</v>
      </c>
      <c r="D108" s="14" t="s">
        <v>44</v>
      </c>
      <c r="E108" s="15">
        <v>45638</v>
      </c>
      <c r="F108" s="14" t="s">
        <v>20</v>
      </c>
      <c r="G108" s="16">
        <v>5.69</v>
      </c>
    </row>
    <row r="109" spans="1:7" x14ac:dyDescent="0.25">
      <c r="A109" s="13" t="s">
        <v>133</v>
      </c>
      <c r="B109" s="13">
        <v>2145</v>
      </c>
      <c r="C109" s="14" t="str">
        <f>+VLOOKUP(B109,[1]LISTE!$A$1:$D$431,4,FALSE)</f>
        <v>MRIBAH HAMZA</v>
      </c>
      <c r="D109" s="14" t="s">
        <v>44</v>
      </c>
      <c r="E109" s="15">
        <v>45663</v>
      </c>
      <c r="F109" s="14" t="s">
        <v>24</v>
      </c>
      <c r="G109" s="16">
        <v>160</v>
      </c>
    </row>
    <row r="110" spans="1:7" x14ac:dyDescent="0.25">
      <c r="A110" s="13" t="s">
        <v>68</v>
      </c>
      <c r="B110" s="13">
        <v>2149</v>
      </c>
      <c r="C110" s="14" t="str">
        <f>+VLOOKUP(B110,[1]LISTE!$A$1:$D$431,4,FALSE)</f>
        <v>BERRIRI HOUSSEM</v>
      </c>
      <c r="D110" s="14" t="s">
        <v>22</v>
      </c>
      <c r="E110" s="15">
        <v>45651</v>
      </c>
      <c r="F110" s="14" t="s">
        <v>18</v>
      </c>
      <c r="G110" s="16">
        <v>70</v>
      </c>
    </row>
    <row r="111" spans="1:7" x14ac:dyDescent="0.25">
      <c r="A111" s="13" t="s">
        <v>68</v>
      </c>
      <c r="B111" s="13">
        <v>2149</v>
      </c>
      <c r="C111" s="14" t="str">
        <f>+VLOOKUP(B111,[1]LISTE!$A$1:$D$431,4,FALSE)</f>
        <v>BERRIRI HOUSSEM</v>
      </c>
      <c r="D111" s="14" t="s">
        <v>22</v>
      </c>
      <c r="E111" s="15">
        <v>45651</v>
      </c>
      <c r="F111" s="14" t="s">
        <v>20</v>
      </c>
      <c r="G111" s="16">
        <v>7.18</v>
      </c>
    </row>
    <row r="112" spans="1:7" x14ac:dyDescent="0.25">
      <c r="A112" s="13" t="s">
        <v>68</v>
      </c>
      <c r="B112" s="13">
        <v>2149</v>
      </c>
      <c r="C112" s="14" t="str">
        <f>+VLOOKUP(B112,[1]LISTE!$A$1:$D$431,4,FALSE)</f>
        <v>BERRIRI HOUSSEM</v>
      </c>
      <c r="D112" s="14" t="s">
        <v>22</v>
      </c>
      <c r="E112" s="15">
        <v>45657</v>
      </c>
      <c r="F112" s="14" t="s">
        <v>69</v>
      </c>
      <c r="G112" s="16">
        <v>270</v>
      </c>
    </row>
    <row r="113" spans="1:7" x14ac:dyDescent="0.25">
      <c r="A113" s="13" t="s">
        <v>91</v>
      </c>
      <c r="B113" s="13">
        <v>2180</v>
      </c>
      <c r="C113" s="14" t="s">
        <v>92</v>
      </c>
      <c r="D113" s="14" t="s">
        <v>93</v>
      </c>
      <c r="E113" s="15">
        <v>45644</v>
      </c>
      <c r="F113" s="14" t="s">
        <v>23</v>
      </c>
      <c r="G113" s="16">
        <v>40</v>
      </c>
    </row>
    <row r="114" spans="1:7" x14ac:dyDescent="0.25">
      <c r="A114" s="13" t="s">
        <v>91</v>
      </c>
      <c r="B114" s="13">
        <v>2180</v>
      </c>
      <c r="C114" s="14" t="s">
        <v>92</v>
      </c>
      <c r="D114" s="14" t="s">
        <v>93</v>
      </c>
      <c r="E114" s="15">
        <v>45644</v>
      </c>
      <c r="F114" s="14" t="s">
        <v>20</v>
      </c>
      <c r="G114" s="16">
        <v>53.805</v>
      </c>
    </row>
    <row r="115" spans="1:7" x14ac:dyDescent="0.25">
      <c r="A115" s="13" t="s">
        <v>91</v>
      </c>
      <c r="B115" s="13">
        <v>2180</v>
      </c>
      <c r="C115" s="14" t="s">
        <v>92</v>
      </c>
      <c r="D115" s="14" t="s">
        <v>93</v>
      </c>
      <c r="E115" s="15">
        <v>45646</v>
      </c>
      <c r="F115" s="14" t="s">
        <v>20</v>
      </c>
      <c r="G115" s="16">
        <v>26.305</v>
      </c>
    </row>
    <row r="116" spans="1:7" x14ac:dyDescent="0.25">
      <c r="A116" s="13" t="s">
        <v>60</v>
      </c>
      <c r="B116" s="13">
        <v>2258</v>
      </c>
      <c r="C116" s="14" t="s">
        <v>61</v>
      </c>
      <c r="D116" s="14" t="s">
        <v>22</v>
      </c>
      <c r="E116" s="15">
        <v>45636</v>
      </c>
      <c r="F116" s="14" t="s">
        <v>23</v>
      </c>
      <c r="G116" s="16">
        <v>40</v>
      </c>
    </row>
    <row r="117" spans="1:7" x14ac:dyDescent="0.25">
      <c r="A117" s="13" t="s">
        <v>60</v>
      </c>
      <c r="B117" s="13">
        <v>2258</v>
      </c>
      <c r="C117" s="14" t="s">
        <v>61</v>
      </c>
      <c r="D117" s="14" t="s">
        <v>22</v>
      </c>
      <c r="E117" s="15">
        <v>45636</v>
      </c>
      <c r="F117" s="14" t="s">
        <v>24</v>
      </c>
      <c r="G117" s="16">
        <v>140</v>
      </c>
    </row>
    <row r="118" spans="1:7" x14ac:dyDescent="0.25">
      <c r="A118" s="13" t="s">
        <v>60</v>
      </c>
      <c r="B118" s="13">
        <v>2258</v>
      </c>
      <c r="C118" s="14" t="s">
        <v>61</v>
      </c>
      <c r="D118" s="14" t="s">
        <v>22</v>
      </c>
      <c r="E118" s="15">
        <v>45643</v>
      </c>
      <c r="F118" s="14" t="s">
        <v>25</v>
      </c>
      <c r="G118" s="16">
        <v>450</v>
      </c>
    </row>
    <row r="119" spans="1:7" x14ac:dyDescent="0.25">
      <c r="A119" s="13" t="s">
        <v>62</v>
      </c>
      <c r="B119" s="13">
        <v>2271</v>
      </c>
      <c r="C119" s="14" t="s">
        <v>27</v>
      </c>
      <c r="D119" s="14" t="s">
        <v>63</v>
      </c>
      <c r="E119" s="15">
        <v>45656</v>
      </c>
      <c r="F119" s="14" t="s">
        <v>20</v>
      </c>
      <c r="G119" s="16">
        <v>91.67</v>
      </c>
    </row>
    <row r="120" spans="1:7" x14ac:dyDescent="0.25">
      <c r="A120" s="13" t="s">
        <v>66</v>
      </c>
      <c r="B120" s="13">
        <v>2326</v>
      </c>
      <c r="C120" s="14" t="s">
        <v>28</v>
      </c>
      <c r="D120" s="14" t="s">
        <v>67</v>
      </c>
      <c r="E120" s="15">
        <v>45657</v>
      </c>
      <c r="F120" s="14" t="s">
        <v>18</v>
      </c>
      <c r="G120" s="16">
        <v>50</v>
      </c>
    </row>
    <row r="121" spans="1:7" x14ac:dyDescent="0.25">
      <c r="A121" s="13" t="s">
        <v>66</v>
      </c>
      <c r="B121" s="13">
        <v>2326</v>
      </c>
      <c r="C121" s="14" t="s">
        <v>28</v>
      </c>
      <c r="D121" s="14" t="s">
        <v>67</v>
      </c>
      <c r="E121" s="15">
        <v>45657</v>
      </c>
      <c r="F121" s="14" t="s">
        <v>20</v>
      </c>
      <c r="G121" s="16">
        <v>10.355</v>
      </c>
    </row>
    <row r="122" spans="1:7" x14ac:dyDescent="0.25">
      <c r="A122" s="13" t="s">
        <v>209</v>
      </c>
      <c r="B122" s="13">
        <v>2337</v>
      </c>
      <c r="C122" s="14" t="s">
        <v>210</v>
      </c>
      <c r="D122" s="14" t="s">
        <v>75</v>
      </c>
      <c r="E122" s="15">
        <v>45657</v>
      </c>
      <c r="F122" s="14" t="s">
        <v>21</v>
      </c>
      <c r="G122" s="16">
        <v>100</v>
      </c>
    </row>
    <row r="123" spans="1:7" x14ac:dyDescent="0.25">
      <c r="A123" s="13" t="s">
        <v>96</v>
      </c>
      <c r="B123" s="13">
        <v>2517</v>
      </c>
      <c r="C123" s="14" t="s">
        <v>97</v>
      </c>
      <c r="D123" s="14" t="s">
        <v>98</v>
      </c>
      <c r="E123" s="15">
        <v>45657</v>
      </c>
      <c r="F123" s="14" t="s">
        <v>18</v>
      </c>
      <c r="G123" s="16">
        <v>70</v>
      </c>
    </row>
    <row r="124" spans="1:7" x14ac:dyDescent="0.25">
      <c r="A124" s="13" t="s">
        <v>96</v>
      </c>
      <c r="B124" s="13">
        <v>2517</v>
      </c>
      <c r="C124" s="14" t="s">
        <v>97</v>
      </c>
      <c r="D124" s="14" t="s">
        <v>98</v>
      </c>
      <c r="E124" s="15">
        <v>45657</v>
      </c>
      <c r="F124" s="14" t="s">
        <v>19</v>
      </c>
      <c r="G124" s="16">
        <v>25.04</v>
      </c>
    </row>
    <row r="125" spans="1:7" x14ac:dyDescent="0.25">
      <c r="A125" s="13" t="s">
        <v>96</v>
      </c>
      <c r="B125" s="13">
        <v>2517</v>
      </c>
      <c r="C125" s="14" t="s">
        <v>97</v>
      </c>
      <c r="D125" s="14" t="s">
        <v>98</v>
      </c>
      <c r="E125" s="15">
        <v>45657</v>
      </c>
      <c r="F125" s="14" t="s">
        <v>20</v>
      </c>
      <c r="G125" s="16">
        <v>22.491</v>
      </c>
    </row>
    <row r="126" spans="1:7" x14ac:dyDescent="0.25">
      <c r="A126" s="13" t="s">
        <v>96</v>
      </c>
      <c r="B126" s="13">
        <v>2517</v>
      </c>
      <c r="C126" s="14" t="s">
        <v>97</v>
      </c>
      <c r="D126" s="14" t="s">
        <v>98</v>
      </c>
      <c r="E126" s="15">
        <v>45657</v>
      </c>
      <c r="F126" s="14" t="s">
        <v>65</v>
      </c>
      <c r="G126" s="16">
        <v>400</v>
      </c>
    </row>
    <row r="127" spans="1:7" x14ac:dyDescent="0.25">
      <c r="A127" s="13" t="s">
        <v>45</v>
      </c>
      <c r="B127" s="13">
        <v>2519</v>
      </c>
      <c r="C127" s="14" t="s">
        <v>46</v>
      </c>
      <c r="D127" s="14" t="s">
        <v>47</v>
      </c>
      <c r="E127" s="15">
        <v>45625</v>
      </c>
      <c r="F127" s="14" t="s">
        <v>23</v>
      </c>
      <c r="G127" s="16">
        <v>40</v>
      </c>
    </row>
    <row r="128" spans="1:7" x14ac:dyDescent="0.25">
      <c r="A128" s="13" t="s">
        <v>34</v>
      </c>
      <c r="B128" s="13">
        <v>2535</v>
      </c>
      <c r="C128" s="14" t="s">
        <v>30</v>
      </c>
      <c r="D128" s="14" t="s">
        <v>31</v>
      </c>
      <c r="E128" s="15">
        <v>45653</v>
      </c>
      <c r="F128" s="14" t="s">
        <v>18</v>
      </c>
      <c r="G128" s="16">
        <v>60</v>
      </c>
    </row>
    <row r="129" spans="1:7" x14ac:dyDescent="0.25">
      <c r="A129" s="13" t="s">
        <v>34</v>
      </c>
      <c r="B129" s="13">
        <v>2535</v>
      </c>
      <c r="C129" s="14" t="s">
        <v>30</v>
      </c>
      <c r="D129" s="14" t="s">
        <v>31</v>
      </c>
      <c r="E129" s="15">
        <v>45653</v>
      </c>
      <c r="F129" s="14" t="s">
        <v>20</v>
      </c>
      <c r="G129" s="16">
        <v>31.3</v>
      </c>
    </row>
    <row r="130" spans="1:7" x14ac:dyDescent="0.25">
      <c r="A130" s="13" t="s">
        <v>99</v>
      </c>
      <c r="B130" s="13">
        <v>2535</v>
      </c>
      <c r="C130" s="14" t="s">
        <v>30</v>
      </c>
      <c r="D130" s="14" t="s">
        <v>22</v>
      </c>
      <c r="E130" s="15">
        <v>45656</v>
      </c>
      <c r="F130" s="14" t="s">
        <v>18</v>
      </c>
      <c r="G130" s="16">
        <v>70</v>
      </c>
    </row>
    <row r="131" spans="1:7" x14ac:dyDescent="0.25">
      <c r="A131" s="13" t="s">
        <v>99</v>
      </c>
      <c r="B131" s="13">
        <v>2535</v>
      </c>
      <c r="C131" s="14" t="s">
        <v>30</v>
      </c>
      <c r="D131" s="14" t="s">
        <v>22</v>
      </c>
      <c r="E131" s="15">
        <v>45656</v>
      </c>
      <c r="F131" s="14" t="s">
        <v>20</v>
      </c>
      <c r="G131" s="16">
        <v>18.213999999999999</v>
      </c>
    </row>
    <row r="132" spans="1:7" x14ac:dyDescent="0.25">
      <c r="A132" s="13" t="s">
        <v>100</v>
      </c>
      <c r="B132" s="13">
        <v>2569</v>
      </c>
      <c r="C132" s="14" t="s">
        <v>101</v>
      </c>
      <c r="D132" s="14" t="s">
        <v>22</v>
      </c>
      <c r="E132" s="15">
        <v>45657</v>
      </c>
      <c r="F132" s="14" t="s">
        <v>18</v>
      </c>
      <c r="G132" s="16">
        <v>70</v>
      </c>
    </row>
    <row r="133" spans="1:7" x14ac:dyDescent="0.25">
      <c r="A133" s="13" t="s">
        <v>100</v>
      </c>
      <c r="B133" s="13">
        <v>2569</v>
      </c>
      <c r="C133" s="14" t="s">
        <v>101</v>
      </c>
      <c r="D133" s="14" t="s">
        <v>22</v>
      </c>
      <c r="E133" s="15">
        <v>45656</v>
      </c>
      <c r="F133" s="14" t="s">
        <v>19</v>
      </c>
      <c r="G133" s="16">
        <v>134.18</v>
      </c>
    </row>
    <row r="134" spans="1:7" x14ac:dyDescent="0.25">
      <c r="A134" s="13" t="s">
        <v>100</v>
      </c>
      <c r="B134" s="13">
        <v>2569</v>
      </c>
      <c r="C134" s="14" t="s">
        <v>101</v>
      </c>
      <c r="D134" s="14" t="s">
        <v>22</v>
      </c>
      <c r="E134" s="15">
        <v>45657</v>
      </c>
      <c r="F134" s="14" t="s">
        <v>20</v>
      </c>
      <c r="G134" s="16">
        <v>30</v>
      </c>
    </row>
    <row r="135" spans="1:7" x14ac:dyDescent="0.25">
      <c r="A135" s="13" t="s">
        <v>100</v>
      </c>
      <c r="B135" s="13">
        <v>2569</v>
      </c>
      <c r="C135" s="14" t="s">
        <v>101</v>
      </c>
      <c r="D135" s="14" t="s">
        <v>22</v>
      </c>
      <c r="E135" s="15">
        <v>45657</v>
      </c>
      <c r="F135" s="14" t="s">
        <v>65</v>
      </c>
      <c r="G135" s="16">
        <v>120</v>
      </c>
    </row>
    <row r="136" spans="1:7" x14ac:dyDescent="0.25">
      <c r="A136" s="13" t="s">
        <v>35</v>
      </c>
      <c r="B136" s="13">
        <v>2637</v>
      </c>
      <c r="C136" s="14" t="s">
        <v>36</v>
      </c>
      <c r="D136" s="14" t="s">
        <v>37</v>
      </c>
      <c r="E136" s="15">
        <v>45633</v>
      </c>
      <c r="F136" s="14" t="s">
        <v>18</v>
      </c>
      <c r="G136" s="16">
        <v>70</v>
      </c>
    </row>
    <row r="137" spans="1:7" x14ac:dyDescent="0.25">
      <c r="A137" s="13" t="s">
        <v>35</v>
      </c>
      <c r="B137" s="13">
        <v>2637</v>
      </c>
      <c r="C137" s="14" t="s">
        <v>36</v>
      </c>
      <c r="D137" s="14" t="s">
        <v>37</v>
      </c>
      <c r="E137" s="15">
        <v>45650</v>
      </c>
      <c r="F137" s="14" t="s">
        <v>18</v>
      </c>
      <c r="G137" s="16">
        <v>70</v>
      </c>
    </row>
    <row r="138" spans="1:7" x14ac:dyDescent="0.25">
      <c r="A138" s="13" t="s">
        <v>35</v>
      </c>
      <c r="B138" s="13">
        <v>2637</v>
      </c>
      <c r="C138" s="14" t="s">
        <v>36</v>
      </c>
      <c r="D138" s="14" t="s">
        <v>37</v>
      </c>
      <c r="E138" s="15">
        <v>45649</v>
      </c>
      <c r="F138" s="14" t="s">
        <v>19</v>
      </c>
      <c r="G138" s="16">
        <v>83.245999999999995</v>
      </c>
    </row>
    <row r="139" spans="1:7" x14ac:dyDescent="0.25">
      <c r="A139" s="13" t="s">
        <v>35</v>
      </c>
      <c r="B139" s="13">
        <v>2637</v>
      </c>
      <c r="C139" s="14" t="s">
        <v>36</v>
      </c>
      <c r="D139" s="14" t="s">
        <v>37</v>
      </c>
      <c r="E139" s="15">
        <v>45633</v>
      </c>
      <c r="F139" s="14" t="s">
        <v>20</v>
      </c>
      <c r="G139" s="16">
        <v>12.52</v>
      </c>
    </row>
    <row r="140" spans="1:7" x14ac:dyDescent="0.25">
      <c r="A140" s="13" t="s">
        <v>167</v>
      </c>
      <c r="B140" s="13">
        <v>2659</v>
      </c>
      <c r="C140" s="14" t="s">
        <v>168</v>
      </c>
      <c r="D140" s="14" t="s">
        <v>22</v>
      </c>
      <c r="E140" s="15">
        <v>45633</v>
      </c>
      <c r="F140" s="14" t="s">
        <v>20</v>
      </c>
      <c r="G140" s="16">
        <v>8.49</v>
      </c>
    </row>
    <row r="141" spans="1:7" x14ac:dyDescent="0.25">
      <c r="A141" s="13" t="s">
        <v>167</v>
      </c>
      <c r="B141" s="13">
        <v>2659</v>
      </c>
      <c r="C141" s="14" t="s">
        <v>168</v>
      </c>
      <c r="D141" s="14" t="s">
        <v>22</v>
      </c>
      <c r="E141" s="15">
        <v>45640</v>
      </c>
      <c r="F141" s="14" t="s">
        <v>24</v>
      </c>
      <c r="G141" s="16">
        <v>180</v>
      </c>
    </row>
    <row r="142" spans="1:7" ht="18.75" x14ac:dyDescent="0.3">
      <c r="A142" s="13"/>
      <c r="B142" s="13"/>
      <c r="C142" s="14"/>
      <c r="D142" s="14"/>
      <c r="E142" s="14"/>
      <c r="F142" s="17" t="s">
        <v>11</v>
      </c>
      <c r="G142" s="17">
        <f>SUM(G10:G141)</f>
        <v>11262.805000000002</v>
      </c>
    </row>
    <row r="143" spans="1:7" x14ac:dyDescent="0.25">
      <c r="A143" s="12"/>
      <c r="B143" s="12"/>
    </row>
    <row r="144" spans="1:7" x14ac:dyDescent="0.25">
      <c r="A144" s="12"/>
      <c r="B144" s="12"/>
    </row>
    <row r="145" spans="1:7" x14ac:dyDescent="0.25">
      <c r="A145" s="12"/>
      <c r="B145" s="12"/>
      <c r="E145" s="18"/>
      <c r="F145" s="18"/>
      <c r="G145" s="18"/>
    </row>
    <row r="146" spans="1:7" x14ac:dyDescent="0.25">
      <c r="A146" s="12"/>
      <c r="B146" s="12"/>
      <c r="E146" s="18"/>
      <c r="F146" s="18"/>
      <c r="G146" s="18"/>
    </row>
    <row r="147" spans="1:7" x14ac:dyDescent="0.25">
      <c r="A147" s="12"/>
      <c r="B147" s="12"/>
      <c r="E147" s="18"/>
      <c r="F147" s="18"/>
      <c r="G147" s="18"/>
    </row>
    <row r="148" spans="1:7" ht="18.75" x14ac:dyDescent="0.3">
      <c r="B148" s="19" t="s">
        <v>12</v>
      </c>
      <c r="C148" s="20"/>
      <c r="D148" s="21"/>
      <c r="E148" s="22"/>
      <c r="F148" s="19" t="s">
        <v>13</v>
      </c>
      <c r="G148" s="22"/>
    </row>
    <row r="149" spans="1:7" ht="15.75" x14ac:dyDescent="0.25">
      <c r="A149" s="23"/>
      <c r="B149" s="24" t="s">
        <v>14</v>
      </c>
      <c r="C149" s="25"/>
      <c r="D149" s="26"/>
      <c r="E149" s="22"/>
      <c r="F149" s="27" t="s">
        <v>15</v>
      </c>
      <c r="G149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workbookViewId="0">
      <pane ySplit="9" topLeftCell="A10" activePane="bottomLeft" state="frozen"/>
      <selection pane="bottomLeft" activeCell="B94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.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32</v>
      </c>
      <c r="C5" s="7"/>
      <c r="D5" s="4"/>
    </row>
    <row r="6" spans="1:7" ht="22.5" customHeight="1" x14ac:dyDescent="0.25">
      <c r="A6" s="6"/>
      <c r="B6" s="8" t="s">
        <v>227</v>
      </c>
      <c r="C6" s="9"/>
      <c r="D6" s="4"/>
    </row>
    <row r="7" spans="1:7" ht="21" x14ac:dyDescent="0.35">
      <c r="A7" s="4"/>
      <c r="B7" s="10"/>
      <c r="C7" s="11" t="s">
        <v>228</v>
      </c>
      <c r="D7" s="4"/>
    </row>
    <row r="8" spans="1:7" ht="4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220</v>
      </c>
      <c r="B10" s="13">
        <v>790</v>
      </c>
      <c r="C10" s="14" t="str">
        <f>+VLOOKUP(B10,[1]LISTE!$A$1:$D$431,4,FALSE)</f>
        <v>ATTIA HAFEDH</v>
      </c>
      <c r="D10" s="14" t="s">
        <v>221</v>
      </c>
      <c r="E10" s="15">
        <v>45658</v>
      </c>
      <c r="F10" s="14" t="s">
        <v>23</v>
      </c>
      <c r="G10" s="16">
        <v>40</v>
      </c>
    </row>
    <row r="11" spans="1:7" x14ac:dyDescent="0.25">
      <c r="A11" s="13" t="s">
        <v>220</v>
      </c>
      <c r="B11" s="13">
        <v>790</v>
      </c>
      <c r="C11" s="14" t="str">
        <f>+VLOOKUP(B11,[1]LISTE!$A$1:$D$431,4,FALSE)</f>
        <v>ATTIA HAFEDH</v>
      </c>
      <c r="D11" s="14" t="s">
        <v>221</v>
      </c>
      <c r="E11" s="15">
        <v>45665</v>
      </c>
      <c r="F11" s="14" t="s">
        <v>222</v>
      </c>
      <c r="G11" s="16">
        <v>70</v>
      </c>
    </row>
    <row r="12" spans="1:7" x14ac:dyDescent="0.25">
      <c r="A12" s="13" t="s">
        <v>220</v>
      </c>
      <c r="B12" s="13">
        <v>790</v>
      </c>
      <c r="C12" s="14" t="str">
        <f>+VLOOKUP(B12,[1]LISTE!$A$1:$D$431,4,FALSE)</f>
        <v>ATTIA HAFEDH</v>
      </c>
      <c r="D12" s="14" t="s">
        <v>221</v>
      </c>
      <c r="E12" s="15">
        <v>45659</v>
      </c>
      <c r="F12" s="14" t="s">
        <v>19</v>
      </c>
      <c r="G12" s="16">
        <v>115.988</v>
      </c>
    </row>
    <row r="13" spans="1:7" x14ac:dyDescent="0.25">
      <c r="A13" s="13" t="s">
        <v>220</v>
      </c>
      <c r="B13" s="13">
        <v>790</v>
      </c>
      <c r="C13" s="14" t="str">
        <f>+VLOOKUP(B13,[1]LISTE!$A$1:$D$431,4,FALSE)</f>
        <v>ATTIA HAFEDH</v>
      </c>
      <c r="D13" s="14" t="s">
        <v>221</v>
      </c>
      <c r="E13" s="15">
        <v>45659</v>
      </c>
      <c r="F13" s="14" t="s">
        <v>20</v>
      </c>
      <c r="G13" s="16">
        <v>66.501999999999995</v>
      </c>
    </row>
    <row r="14" spans="1:7" x14ac:dyDescent="0.25">
      <c r="A14" s="13" t="s">
        <v>220</v>
      </c>
      <c r="B14" s="13">
        <v>790</v>
      </c>
      <c r="C14" s="14" t="str">
        <f>+VLOOKUP(B14,[1]LISTE!$A$1:$D$431,4,FALSE)</f>
        <v>ATTIA HAFEDH</v>
      </c>
      <c r="D14" s="15" t="s">
        <v>221</v>
      </c>
      <c r="E14" s="15">
        <v>45665</v>
      </c>
      <c r="F14" s="14" t="s">
        <v>21</v>
      </c>
      <c r="G14" s="16">
        <v>120</v>
      </c>
    </row>
    <row r="15" spans="1:7" x14ac:dyDescent="0.25">
      <c r="A15" s="13" t="s">
        <v>141</v>
      </c>
      <c r="B15" s="13">
        <v>879</v>
      </c>
      <c r="C15" s="14" t="str">
        <f>+VLOOKUP(B15,[1]LISTE!$A$1:$D$431,4,FALSE)</f>
        <v>MOUSSA ABDERRAZEK</v>
      </c>
      <c r="D15" s="14" t="s">
        <v>79</v>
      </c>
      <c r="E15" s="15">
        <v>45661</v>
      </c>
      <c r="F15" s="14" t="s">
        <v>23</v>
      </c>
      <c r="G15" s="16">
        <v>40</v>
      </c>
    </row>
    <row r="16" spans="1:7" x14ac:dyDescent="0.25">
      <c r="A16" s="13" t="s">
        <v>141</v>
      </c>
      <c r="B16" s="13">
        <v>879</v>
      </c>
      <c r="C16" s="14" t="str">
        <f>+VLOOKUP(B16,[1]LISTE!$A$1:$D$431,4,FALSE)</f>
        <v>MOUSSA ABDERRAZEK</v>
      </c>
      <c r="D16" s="15" t="s">
        <v>79</v>
      </c>
      <c r="E16" s="15">
        <v>45661</v>
      </c>
      <c r="F16" s="14" t="s">
        <v>20</v>
      </c>
      <c r="G16" s="16">
        <v>59.475000000000001</v>
      </c>
    </row>
    <row r="17" spans="1:7" x14ac:dyDescent="0.25">
      <c r="A17" s="13" t="s">
        <v>121</v>
      </c>
      <c r="B17" s="13">
        <v>1561</v>
      </c>
      <c r="C17" s="14" t="str">
        <f>+VLOOKUP(B17,[1]LISTE!$A$1:$D$431,4,FALSE)</f>
        <v>JMEGUER SAMI</v>
      </c>
      <c r="D17" s="15" t="s">
        <v>22</v>
      </c>
      <c r="E17" s="15">
        <v>45658</v>
      </c>
      <c r="F17" s="14" t="s">
        <v>23</v>
      </c>
      <c r="G17" s="16">
        <v>60</v>
      </c>
    </row>
    <row r="18" spans="1:7" x14ac:dyDescent="0.25">
      <c r="A18" s="13" t="s">
        <v>121</v>
      </c>
      <c r="B18" s="13">
        <v>1561</v>
      </c>
      <c r="C18" s="14" t="str">
        <f>+VLOOKUP(B18,[1]LISTE!$A$1:$D$431,4,FALSE)</f>
        <v>JMEGUER SAMI</v>
      </c>
      <c r="D18" s="15" t="s">
        <v>22</v>
      </c>
      <c r="E18" s="15">
        <v>45658</v>
      </c>
      <c r="F18" s="14" t="s">
        <v>20</v>
      </c>
      <c r="G18" s="16">
        <v>42.435000000000002</v>
      </c>
    </row>
    <row r="19" spans="1:7" x14ac:dyDescent="0.25">
      <c r="A19" s="13" t="s">
        <v>142</v>
      </c>
      <c r="B19" s="13">
        <v>1575</v>
      </c>
      <c r="C19" s="14" t="str">
        <f>+VLOOKUP(B19,[1]LISTE!$A$1:$D$431,4,FALSE)</f>
        <v>BEN ABDELJELIL ZOUHAIER</v>
      </c>
      <c r="D19" s="15" t="s">
        <v>22</v>
      </c>
      <c r="E19" s="15">
        <v>45663</v>
      </c>
      <c r="F19" s="14" t="s">
        <v>23</v>
      </c>
      <c r="G19" s="16">
        <v>50</v>
      </c>
    </row>
    <row r="20" spans="1:7" x14ac:dyDescent="0.25">
      <c r="A20" s="13" t="s">
        <v>142</v>
      </c>
      <c r="B20" s="13">
        <v>1575</v>
      </c>
      <c r="C20" s="14" t="str">
        <f>+VLOOKUP(B20,[1]LISTE!$A$1:$D$431,4,FALSE)</f>
        <v>BEN ABDELJELIL ZOUHAIER</v>
      </c>
      <c r="D20" s="15" t="s">
        <v>22</v>
      </c>
      <c r="E20" s="15">
        <v>45663</v>
      </c>
      <c r="F20" s="14" t="s">
        <v>20</v>
      </c>
      <c r="G20" s="16">
        <v>24.478999999999999</v>
      </c>
    </row>
    <row r="21" spans="1:7" x14ac:dyDescent="0.25">
      <c r="A21" s="13" t="s">
        <v>152</v>
      </c>
      <c r="B21" s="13">
        <v>1597</v>
      </c>
      <c r="C21" s="14" t="str">
        <f>+VLOOKUP(B21,[1]LISTE!$A$1:$D$431,4,FALSE)</f>
        <v>AMARA KARIM</v>
      </c>
      <c r="D21" s="15" t="s">
        <v>153</v>
      </c>
      <c r="E21" s="15">
        <v>45663</v>
      </c>
      <c r="F21" s="14" t="s">
        <v>18</v>
      </c>
      <c r="G21" s="16">
        <v>70</v>
      </c>
    </row>
    <row r="22" spans="1:7" x14ac:dyDescent="0.25">
      <c r="A22" s="13" t="s">
        <v>152</v>
      </c>
      <c r="B22" s="13">
        <v>1597</v>
      </c>
      <c r="C22" s="14" t="str">
        <f>+VLOOKUP(B22,[1]LISTE!$A$1:$D$431,4,FALSE)</f>
        <v>AMARA KARIM</v>
      </c>
      <c r="D22" s="14" t="s">
        <v>153</v>
      </c>
      <c r="E22" s="15">
        <v>45663</v>
      </c>
      <c r="F22" s="14" t="s">
        <v>20</v>
      </c>
      <c r="G22" s="16">
        <v>61.262</v>
      </c>
    </row>
    <row r="23" spans="1:7" x14ac:dyDescent="0.25">
      <c r="A23" s="13" t="s">
        <v>116</v>
      </c>
      <c r="B23" s="13">
        <v>1616</v>
      </c>
      <c r="C23" s="14" t="str">
        <f>+VLOOKUP(B23,[1]LISTE!$A$1:$D$431,4,FALSE)</f>
        <v>MOUSSA FETHI</v>
      </c>
      <c r="D23" s="15" t="s">
        <v>117</v>
      </c>
      <c r="E23" s="15">
        <v>45658</v>
      </c>
      <c r="F23" s="14" t="s">
        <v>23</v>
      </c>
      <c r="G23" s="16">
        <v>40</v>
      </c>
    </row>
    <row r="24" spans="1:7" x14ac:dyDescent="0.25">
      <c r="A24" s="13" t="s">
        <v>116</v>
      </c>
      <c r="B24" s="13">
        <v>1616</v>
      </c>
      <c r="C24" s="14" t="str">
        <f>+VLOOKUP(B24,[1]LISTE!$A$1:$D$431,4,FALSE)</f>
        <v>MOUSSA FETHI</v>
      </c>
      <c r="D24" s="15" t="s">
        <v>117</v>
      </c>
      <c r="E24" s="15">
        <v>45658</v>
      </c>
      <c r="F24" s="14" t="s">
        <v>20</v>
      </c>
      <c r="G24" s="16">
        <v>59.078000000000003</v>
      </c>
    </row>
    <row r="25" spans="1:7" x14ac:dyDescent="0.25">
      <c r="A25" s="13" t="s">
        <v>179</v>
      </c>
      <c r="B25" s="13">
        <v>1616</v>
      </c>
      <c r="C25" s="14" t="str">
        <f>+VLOOKUP(B25,[1]LISTE!$A$1:$D$431,4,FALSE)</f>
        <v>MOUSSA FETHI</v>
      </c>
      <c r="D25" s="15" t="s">
        <v>180</v>
      </c>
      <c r="E25" s="15">
        <v>45659</v>
      </c>
      <c r="F25" s="14" t="s">
        <v>18</v>
      </c>
      <c r="G25" s="16">
        <v>70</v>
      </c>
    </row>
    <row r="26" spans="1:7" x14ac:dyDescent="0.25">
      <c r="A26" s="13" t="s">
        <v>179</v>
      </c>
      <c r="B26" s="13">
        <v>1616</v>
      </c>
      <c r="C26" s="14" t="str">
        <f>+VLOOKUP(B26,[1]LISTE!$A$1:$D$431,4,FALSE)</f>
        <v>MOUSSA FETHI</v>
      </c>
      <c r="D26" s="15" t="s">
        <v>180</v>
      </c>
      <c r="E26" s="15">
        <v>45659</v>
      </c>
      <c r="F26" s="14" t="s">
        <v>20</v>
      </c>
      <c r="G26" s="16">
        <v>37.61</v>
      </c>
    </row>
    <row r="27" spans="1:7" x14ac:dyDescent="0.25">
      <c r="A27" s="13" t="s">
        <v>107</v>
      </c>
      <c r="B27" s="13">
        <v>1643</v>
      </c>
      <c r="C27" s="14" t="str">
        <f>+VLOOKUP(B27,[1]LISTE!$A$1:$D$431,4,FALSE)</f>
        <v>HALLEB SALAH</v>
      </c>
      <c r="D27" s="14" t="s">
        <v>108</v>
      </c>
      <c r="E27" s="15">
        <v>45659</v>
      </c>
      <c r="F27" s="14" t="s">
        <v>18</v>
      </c>
      <c r="G27" s="16">
        <v>70</v>
      </c>
    </row>
    <row r="28" spans="1:7" x14ac:dyDescent="0.25">
      <c r="A28" s="13" t="s">
        <v>107</v>
      </c>
      <c r="B28" s="13">
        <v>1643</v>
      </c>
      <c r="C28" s="14" t="str">
        <f>+VLOOKUP(B28,[1]LISTE!$A$1:$D$431,4,FALSE)</f>
        <v>HALLEB SALAH</v>
      </c>
      <c r="D28" s="14" t="s">
        <v>108</v>
      </c>
      <c r="E28" s="15">
        <v>45660</v>
      </c>
      <c r="F28" s="14" t="s">
        <v>69</v>
      </c>
      <c r="G28" s="16">
        <v>83.3</v>
      </c>
    </row>
    <row r="29" spans="1:7" x14ac:dyDescent="0.25">
      <c r="A29" s="13" t="s">
        <v>109</v>
      </c>
      <c r="B29" s="13">
        <v>1643</v>
      </c>
      <c r="C29" s="14" t="str">
        <f>+VLOOKUP(B29,[1]LISTE!$A$1:$D$431,4,FALSE)</f>
        <v>HALLEB SALAH</v>
      </c>
      <c r="D29" s="15" t="s">
        <v>110</v>
      </c>
      <c r="E29" s="15">
        <v>45659</v>
      </c>
      <c r="F29" s="14" t="s">
        <v>18</v>
      </c>
      <c r="G29" s="16">
        <v>70</v>
      </c>
    </row>
    <row r="30" spans="1:7" x14ac:dyDescent="0.25">
      <c r="A30" s="13" t="s">
        <v>197</v>
      </c>
      <c r="B30" s="13">
        <v>1685</v>
      </c>
      <c r="C30" s="14" t="str">
        <f>+VLOOKUP(B30,[1]LISTE!$A$1:$D$431,4,FALSE)</f>
        <v>MAHJOUB MOHAMED KARIM</v>
      </c>
      <c r="D30" s="14" t="s">
        <v>198</v>
      </c>
      <c r="E30" s="15">
        <v>45668</v>
      </c>
      <c r="F30" s="14" t="s">
        <v>21</v>
      </c>
      <c r="G30" s="16">
        <v>60</v>
      </c>
    </row>
    <row r="31" spans="1:7" x14ac:dyDescent="0.25">
      <c r="A31" s="13" t="s">
        <v>197</v>
      </c>
      <c r="B31" s="13">
        <v>1685</v>
      </c>
      <c r="C31" s="14" t="str">
        <f>+VLOOKUP(B31,[1]LISTE!$A$1:$D$431,4,FALSE)</f>
        <v>MAHJOUB MOHAMED KARIM</v>
      </c>
      <c r="D31" s="15" t="s">
        <v>198</v>
      </c>
      <c r="E31" s="15">
        <v>45667</v>
      </c>
      <c r="F31" s="14" t="s">
        <v>24</v>
      </c>
      <c r="G31" s="16">
        <v>1050</v>
      </c>
    </row>
    <row r="32" spans="1:7" x14ac:dyDescent="0.25">
      <c r="A32" s="13" t="s">
        <v>143</v>
      </c>
      <c r="B32" s="13">
        <v>1695</v>
      </c>
      <c r="C32" s="14" t="str">
        <f>+VLOOKUP(B32,[1]LISTE!$A$1:$D$431,4,FALSE)</f>
        <v>BEN AROUS FOUED</v>
      </c>
      <c r="D32" s="15" t="s">
        <v>144</v>
      </c>
      <c r="E32" s="15">
        <v>45659</v>
      </c>
      <c r="F32" s="14" t="s">
        <v>23</v>
      </c>
      <c r="G32" s="16">
        <v>40</v>
      </c>
    </row>
    <row r="33" spans="1:7" x14ac:dyDescent="0.25">
      <c r="A33" s="13" t="s">
        <v>143</v>
      </c>
      <c r="B33" s="13">
        <v>1695</v>
      </c>
      <c r="C33" s="14" t="str">
        <f>+VLOOKUP(B33,[1]LISTE!$A$1:$D$431,4,FALSE)</f>
        <v>BEN AROUS FOUED</v>
      </c>
      <c r="D33" s="14" t="s">
        <v>144</v>
      </c>
      <c r="E33" s="15">
        <v>45659</v>
      </c>
      <c r="F33" s="14" t="s">
        <v>20</v>
      </c>
      <c r="G33" s="16">
        <v>4.2450000000000001</v>
      </c>
    </row>
    <row r="34" spans="1:7" x14ac:dyDescent="0.25">
      <c r="A34" s="13" t="s">
        <v>143</v>
      </c>
      <c r="B34" s="13">
        <v>1695</v>
      </c>
      <c r="C34" s="14" t="str">
        <f>+VLOOKUP(B34,[1]LISTE!$A$1:$D$431,4,FALSE)</f>
        <v>BEN AROUS FOUED</v>
      </c>
      <c r="D34" s="14" t="s">
        <v>144</v>
      </c>
      <c r="E34" s="15">
        <v>45659</v>
      </c>
      <c r="F34" s="14"/>
      <c r="G34" s="16">
        <v>140</v>
      </c>
    </row>
    <row r="35" spans="1:7" x14ac:dyDescent="0.25">
      <c r="A35" s="13" t="s">
        <v>146</v>
      </c>
      <c r="B35" s="13">
        <v>1706</v>
      </c>
      <c r="C35" s="14" t="str">
        <f>+VLOOKUP(B35,[1]LISTE!$A$1:$D$431,4,FALSE)</f>
        <v>GRIRA LOKHDHIRI FREDJ</v>
      </c>
      <c r="D35" s="15" t="s">
        <v>147</v>
      </c>
      <c r="E35" s="15">
        <v>45660</v>
      </c>
      <c r="F35" s="14" t="s">
        <v>18</v>
      </c>
      <c r="G35" s="16">
        <v>60</v>
      </c>
    </row>
    <row r="36" spans="1:7" x14ac:dyDescent="0.25">
      <c r="A36" s="13" t="s">
        <v>146</v>
      </c>
      <c r="B36" s="13">
        <v>1706</v>
      </c>
      <c r="C36" s="14" t="str">
        <f>+VLOOKUP(B36,[1]LISTE!$A$1:$D$431,4,FALSE)</f>
        <v>GRIRA LOKHDHIRI FREDJ</v>
      </c>
      <c r="D36" s="14" t="s">
        <v>147</v>
      </c>
      <c r="E36" s="15">
        <v>45660</v>
      </c>
      <c r="F36" s="14" t="s">
        <v>20</v>
      </c>
      <c r="G36" s="16">
        <v>306.31200000000001</v>
      </c>
    </row>
    <row r="37" spans="1:7" x14ac:dyDescent="0.25">
      <c r="A37" s="13" t="s">
        <v>218</v>
      </c>
      <c r="B37" s="13">
        <v>1716</v>
      </c>
      <c r="C37" s="14" t="s">
        <v>219</v>
      </c>
      <c r="D37" s="14" t="s">
        <v>44</v>
      </c>
      <c r="E37" s="15">
        <v>45668</v>
      </c>
      <c r="F37" s="14" t="s">
        <v>18</v>
      </c>
      <c r="G37" s="16">
        <v>70</v>
      </c>
    </row>
    <row r="38" spans="1:7" x14ac:dyDescent="0.25">
      <c r="A38" s="13" t="s">
        <v>218</v>
      </c>
      <c r="B38" s="13">
        <v>1716</v>
      </c>
      <c r="C38" s="14" t="s">
        <v>219</v>
      </c>
      <c r="D38" s="14" t="s">
        <v>44</v>
      </c>
      <c r="E38" s="15">
        <v>45668</v>
      </c>
      <c r="F38" s="14" t="s">
        <v>20</v>
      </c>
      <c r="G38" s="16">
        <v>82.54</v>
      </c>
    </row>
    <row r="39" spans="1:7" x14ac:dyDescent="0.25">
      <c r="A39" s="13" t="s">
        <v>124</v>
      </c>
      <c r="B39" s="13">
        <v>1735</v>
      </c>
      <c r="C39" s="14" t="str">
        <f>+VLOOKUP(B39,[1]LISTE!$A$1:$D$431,4,FALSE)</f>
        <v>SAKKA ROUIS MED HAFEDH</v>
      </c>
      <c r="D39" s="14" t="s">
        <v>125</v>
      </c>
      <c r="E39" s="15">
        <v>45659</v>
      </c>
      <c r="F39" s="14" t="s">
        <v>23</v>
      </c>
      <c r="G39" s="16">
        <v>40</v>
      </c>
    </row>
    <row r="40" spans="1:7" x14ac:dyDescent="0.25">
      <c r="A40" s="13" t="s">
        <v>124</v>
      </c>
      <c r="B40" s="13">
        <v>1735</v>
      </c>
      <c r="C40" s="14" t="str">
        <f>+VLOOKUP(B40,[1]LISTE!$A$1:$D$431,4,FALSE)</f>
        <v>SAKKA ROUIS MED HAFEDH</v>
      </c>
      <c r="D40" s="15" t="s">
        <v>125</v>
      </c>
      <c r="E40" s="15">
        <v>45659</v>
      </c>
      <c r="F40" s="14" t="s">
        <v>20</v>
      </c>
      <c r="G40" s="16">
        <v>8.7200000000000006</v>
      </c>
    </row>
    <row r="41" spans="1:7" x14ac:dyDescent="0.25">
      <c r="A41" s="13" t="s">
        <v>172</v>
      </c>
      <c r="B41" s="13">
        <v>1745</v>
      </c>
      <c r="C41" s="14" t="str">
        <f>+VLOOKUP(B41,[1]LISTE!$A$1:$D$431,4,FALSE)</f>
        <v>CHATTI EZZEDDINE</v>
      </c>
      <c r="D41" s="15" t="s">
        <v>22</v>
      </c>
      <c r="E41" s="15">
        <v>45666</v>
      </c>
      <c r="F41" s="14" t="s">
        <v>23</v>
      </c>
      <c r="G41" s="16">
        <v>50</v>
      </c>
    </row>
    <row r="42" spans="1:7" x14ac:dyDescent="0.25">
      <c r="A42" s="13" t="s">
        <v>172</v>
      </c>
      <c r="B42" s="13">
        <v>1745</v>
      </c>
      <c r="C42" s="14" t="str">
        <f>+VLOOKUP(B42,[1]LISTE!$A$1:$D$431,4,FALSE)</f>
        <v>CHATTI EZZEDDINE</v>
      </c>
      <c r="D42" s="14" t="s">
        <v>22</v>
      </c>
      <c r="E42" s="15">
        <v>45666</v>
      </c>
      <c r="F42" s="14" t="s">
        <v>20</v>
      </c>
      <c r="G42" s="16">
        <v>50.115000000000002</v>
      </c>
    </row>
    <row r="43" spans="1:7" x14ac:dyDescent="0.25">
      <c r="A43" s="13" t="s">
        <v>173</v>
      </c>
      <c r="B43" s="13">
        <v>1756</v>
      </c>
      <c r="C43" s="14" t="str">
        <f>+VLOOKUP(B43,[1]LISTE!$A$1:$D$431,4,FALSE)</f>
        <v>SOUA FOUED</v>
      </c>
      <c r="D43" s="14" t="s">
        <v>22</v>
      </c>
      <c r="E43" s="15">
        <v>45663</v>
      </c>
      <c r="F43" s="14" t="s">
        <v>23</v>
      </c>
      <c r="G43" s="16">
        <v>50</v>
      </c>
    </row>
    <row r="44" spans="1:7" x14ac:dyDescent="0.25">
      <c r="A44" s="13" t="s">
        <v>173</v>
      </c>
      <c r="B44" s="13">
        <v>1756</v>
      </c>
      <c r="C44" s="14" t="str">
        <f>+VLOOKUP(B44,[1]LISTE!$A$1:$D$431,4,FALSE)</f>
        <v>SOUA FOUED</v>
      </c>
      <c r="D44" s="14" t="s">
        <v>22</v>
      </c>
      <c r="E44" s="15">
        <v>45663</v>
      </c>
      <c r="F44" s="14" t="s">
        <v>19</v>
      </c>
      <c r="G44" s="16">
        <v>57.459000000000003</v>
      </c>
    </row>
    <row r="45" spans="1:7" x14ac:dyDescent="0.25">
      <c r="A45" s="13" t="s">
        <v>173</v>
      </c>
      <c r="B45" s="13">
        <v>1756</v>
      </c>
      <c r="C45" s="14" t="str">
        <f>+VLOOKUP(B45,[1]LISTE!$A$1:$D$431,4,FALSE)</f>
        <v>SOUA FOUED</v>
      </c>
      <c r="D45" s="14" t="s">
        <v>22</v>
      </c>
      <c r="E45" s="15">
        <v>45663</v>
      </c>
      <c r="F45" s="14" t="s">
        <v>21</v>
      </c>
      <c r="G45" s="16">
        <v>75</v>
      </c>
    </row>
    <row r="46" spans="1:7" x14ac:dyDescent="0.25">
      <c r="A46" s="13" t="s">
        <v>213</v>
      </c>
      <c r="B46" s="13">
        <v>1761</v>
      </c>
      <c r="C46" s="14" t="str">
        <f>+VLOOKUP(B46,[1]LISTE!$A$1:$D$431,4,FALSE)</f>
        <v>BEN SALEM KHELIL</v>
      </c>
      <c r="D46" s="15" t="s">
        <v>214</v>
      </c>
      <c r="E46" s="15">
        <v>45666</v>
      </c>
      <c r="F46" s="14" t="s">
        <v>23</v>
      </c>
      <c r="G46" s="16">
        <v>3</v>
      </c>
    </row>
    <row r="47" spans="1:7" x14ac:dyDescent="0.25">
      <c r="A47" s="13" t="s">
        <v>213</v>
      </c>
      <c r="B47" s="13">
        <v>1761</v>
      </c>
      <c r="C47" s="14" t="str">
        <f>+VLOOKUP(B47,[1]LISTE!$A$1:$D$431,4,FALSE)</f>
        <v>BEN SALEM KHELIL</v>
      </c>
      <c r="D47" s="15" t="s">
        <v>214</v>
      </c>
      <c r="E47" s="15">
        <v>45666</v>
      </c>
      <c r="F47" s="14" t="s">
        <v>20</v>
      </c>
      <c r="G47" s="16">
        <v>17.315000000000001</v>
      </c>
    </row>
    <row r="48" spans="1:7" x14ac:dyDescent="0.25">
      <c r="A48" s="13" t="s">
        <v>215</v>
      </c>
      <c r="B48" s="13">
        <v>1761</v>
      </c>
      <c r="C48" s="14" t="str">
        <f>+VLOOKUP(B48,[1]LISTE!$A$1:$D$431,4,FALSE)</f>
        <v>BEN SALEM KHELIL</v>
      </c>
      <c r="D48" s="15" t="s">
        <v>214</v>
      </c>
      <c r="E48" s="15">
        <v>45669</v>
      </c>
      <c r="F48" s="14" t="s">
        <v>23</v>
      </c>
      <c r="G48" s="16">
        <v>3</v>
      </c>
    </row>
    <row r="49" spans="1:7" x14ac:dyDescent="0.25">
      <c r="A49" s="13" t="s">
        <v>215</v>
      </c>
      <c r="B49" s="13">
        <v>1761</v>
      </c>
      <c r="C49" s="14" t="str">
        <f>+VLOOKUP(B49,[1]LISTE!$A$1:$D$431,4,FALSE)</f>
        <v>BEN SALEM KHELIL</v>
      </c>
      <c r="D49" s="14" t="s">
        <v>214</v>
      </c>
      <c r="E49" s="15">
        <v>45669</v>
      </c>
      <c r="F49" s="14" t="s">
        <v>19</v>
      </c>
      <c r="G49" s="16">
        <v>5</v>
      </c>
    </row>
    <row r="50" spans="1:7" x14ac:dyDescent="0.25">
      <c r="A50" s="13" t="s">
        <v>215</v>
      </c>
      <c r="B50" s="13">
        <v>1761</v>
      </c>
      <c r="C50" s="14" t="str">
        <f>+VLOOKUP(B50,[1]LISTE!$A$1:$D$431,4,FALSE)</f>
        <v>BEN SALEM KHELIL</v>
      </c>
      <c r="D50" s="14" t="s">
        <v>214</v>
      </c>
      <c r="E50" s="15">
        <v>45669</v>
      </c>
      <c r="F50" s="14" t="s">
        <v>20</v>
      </c>
      <c r="G50" s="16">
        <v>56.69</v>
      </c>
    </row>
    <row r="51" spans="1:7" x14ac:dyDescent="0.25">
      <c r="A51" s="13" t="s">
        <v>205</v>
      </c>
      <c r="B51" s="13">
        <v>1768</v>
      </c>
      <c r="C51" s="14" t="str">
        <f>+VLOOKUP(B51,[1]LISTE!$A$1:$D$431,4,FALSE)</f>
        <v>LADJIMI MAHER</v>
      </c>
      <c r="D51" s="14" t="s">
        <v>206</v>
      </c>
      <c r="E51" s="15">
        <v>45668</v>
      </c>
      <c r="F51" s="14" t="s">
        <v>18</v>
      </c>
      <c r="G51" s="16">
        <v>20</v>
      </c>
    </row>
    <row r="52" spans="1:7" x14ac:dyDescent="0.25">
      <c r="A52" s="13" t="s">
        <v>205</v>
      </c>
      <c r="B52" s="13">
        <v>1768</v>
      </c>
      <c r="C52" s="14" t="str">
        <f>+VLOOKUP(B52,[1]LISTE!$A$1:$D$431,4,FALSE)</f>
        <v>LADJIMI MAHER</v>
      </c>
      <c r="D52" s="15" t="s">
        <v>206</v>
      </c>
      <c r="E52" s="15">
        <v>45668</v>
      </c>
      <c r="F52" s="14" t="s">
        <v>20</v>
      </c>
      <c r="G52" s="16">
        <v>52.451999999999998</v>
      </c>
    </row>
    <row r="53" spans="1:7" x14ac:dyDescent="0.25">
      <c r="A53" s="13" t="s">
        <v>204</v>
      </c>
      <c r="B53" s="13">
        <v>1773</v>
      </c>
      <c r="C53" s="14" t="str">
        <f>+VLOOKUP(B53,[1]LISTE!$A$1:$D$431,4,FALSE)</f>
        <v>GAIEB SAMI</v>
      </c>
      <c r="D53" s="15" t="s">
        <v>22</v>
      </c>
      <c r="E53" s="15">
        <v>45665</v>
      </c>
      <c r="F53" s="14" t="s">
        <v>18</v>
      </c>
      <c r="G53" s="16">
        <v>60</v>
      </c>
    </row>
    <row r="54" spans="1:7" x14ac:dyDescent="0.25">
      <c r="A54" s="13" t="s">
        <v>204</v>
      </c>
      <c r="B54" s="13">
        <v>1773</v>
      </c>
      <c r="C54" s="14" t="str">
        <f>+VLOOKUP(B54,[1]LISTE!$A$1:$D$431,4,FALSE)</f>
        <v>GAIEB SAMI</v>
      </c>
      <c r="D54" s="14" t="s">
        <v>22</v>
      </c>
      <c r="E54" s="15">
        <v>45665</v>
      </c>
      <c r="F54" s="14" t="s">
        <v>20</v>
      </c>
      <c r="G54" s="16">
        <v>26.074999999999999</v>
      </c>
    </row>
    <row r="55" spans="1:7" x14ac:dyDescent="0.25">
      <c r="A55" s="13" t="s">
        <v>204</v>
      </c>
      <c r="B55" s="13">
        <v>1773</v>
      </c>
      <c r="C55" s="14" t="str">
        <f>+VLOOKUP(B55,[1]LISTE!$A$1:$D$431,4,FALSE)</f>
        <v>GAIEB SAMI</v>
      </c>
      <c r="D55" s="14" t="s">
        <v>22</v>
      </c>
      <c r="E55" s="15">
        <v>45665</v>
      </c>
      <c r="F55" s="14" t="s">
        <v>21</v>
      </c>
      <c r="G55" s="16">
        <v>70</v>
      </c>
    </row>
    <row r="56" spans="1:7" x14ac:dyDescent="0.25">
      <c r="A56" s="13" t="s">
        <v>204</v>
      </c>
      <c r="B56" s="13">
        <v>1773</v>
      </c>
      <c r="C56" s="14" t="str">
        <f>+VLOOKUP(B56,[1]LISTE!$A$1:$D$431,4,FALSE)</f>
        <v>GAIEB SAMI</v>
      </c>
      <c r="D56" s="15" t="s">
        <v>22</v>
      </c>
      <c r="E56" s="15">
        <v>45666</v>
      </c>
      <c r="F56" s="14" t="s">
        <v>65</v>
      </c>
      <c r="G56" s="16">
        <v>101.25</v>
      </c>
    </row>
    <row r="57" spans="1:7" x14ac:dyDescent="0.25">
      <c r="A57" s="13" t="s">
        <v>159</v>
      </c>
      <c r="B57" s="13">
        <v>1781</v>
      </c>
      <c r="C57" s="14" t="str">
        <f>+VLOOKUP(B57,[1]LISTE!$A$1:$D$431,4,FALSE)</f>
        <v>KEMIMECH MOHAMED</v>
      </c>
      <c r="D57" s="15" t="s">
        <v>160</v>
      </c>
      <c r="E57" s="15">
        <v>45660</v>
      </c>
      <c r="F57" s="14" t="s">
        <v>21</v>
      </c>
      <c r="G57" s="16">
        <v>400</v>
      </c>
    </row>
    <row r="58" spans="1:7" x14ac:dyDescent="0.25">
      <c r="A58" s="13" t="s">
        <v>216</v>
      </c>
      <c r="B58" s="13">
        <v>1781</v>
      </c>
      <c r="C58" s="14" t="str">
        <f>+VLOOKUP(B58,[1]LISTE!$A$1:$D$431,4,FALSE)</f>
        <v>KEMIMECH MOHAMED</v>
      </c>
      <c r="D58" s="14" t="s">
        <v>217</v>
      </c>
      <c r="E58" s="15">
        <v>45667</v>
      </c>
      <c r="F58" s="14" t="s">
        <v>23</v>
      </c>
      <c r="G58" s="16">
        <v>50</v>
      </c>
    </row>
    <row r="59" spans="1:7" x14ac:dyDescent="0.25">
      <c r="A59" s="13" t="s">
        <v>216</v>
      </c>
      <c r="B59" s="13">
        <v>1781</v>
      </c>
      <c r="C59" s="14" t="str">
        <f>+VLOOKUP(B59,[1]LISTE!$A$1:$D$431,4,FALSE)</f>
        <v>KEMIMECH MOHAMED</v>
      </c>
      <c r="D59" s="14" t="s">
        <v>217</v>
      </c>
      <c r="E59" s="15">
        <v>45667</v>
      </c>
      <c r="F59" s="14" t="s">
        <v>20</v>
      </c>
      <c r="G59" s="16">
        <v>3.71</v>
      </c>
    </row>
    <row r="60" spans="1:7" x14ac:dyDescent="0.25">
      <c r="A60" s="13" t="s">
        <v>216</v>
      </c>
      <c r="B60" s="13">
        <v>1781</v>
      </c>
      <c r="C60" s="14" t="str">
        <f>+VLOOKUP(B60,[1]LISTE!$A$1:$D$431,4,FALSE)</f>
        <v>KEMIMECH MOHAMED</v>
      </c>
      <c r="D60" s="14" t="s">
        <v>217</v>
      </c>
      <c r="E60" s="15">
        <v>45667</v>
      </c>
      <c r="F60" s="14" t="s">
        <v>25</v>
      </c>
      <c r="G60" s="16">
        <v>175</v>
      </c>
    </row>
    <row r="61" spans="1:7" x14ac:dyDescent="0.25">
      <c r="A61" s="13" t="s">
        <v>164</v>
      </c>
      <c r="B61" s="13">
        <v>1797</v>
      </c>
      <c r="C61" s="14" t="str">
        <f>+VLOOKUP(B61,[1]LISTE!$A$1:$D$431,4,FALSE)</f>
        <v>ABBADI MOHAMED</v>
      </c>
      <c r="D61" s="15" t="s">
        <v>22</v>
      </c>
      <c r="E61" s="15">
        <v>45663</v>
      </c>
      <c r="F61" s="14" t="s">
        <v>23</v>
      </c>
      <c r="G61" s="16">
        <v>3</v>
      </c>
    </row>
    <row r="62" spans="1:7" x14ac:dyDescent="0.25">
      <c r="A62" s="13" t="s">
        <v>164</v>
      </c>
      <c r="B62" s="13">
        <v>1797</v>
      </c>
      <c r="C62" s="14" t="str">
        <f>+VLOOKUP(B62,[1]LISTE!$A$1:$D$431,4,FALSE)</f>
        <v>ABBADI MOHAMED</v>
      </c>
      <c r="D62" s="15" t="s">
        <v>22</v>
      </c>
      <c r="E62" s="15">
        <v>45663</v>
      </c>
      <c r="F62" s="14" t="s">
        <v>20</v>
      </c>
      <c r="G62" s="16">
        <v>28.2</v>
      </c>
    </row>
    <row r="63" spans="1:7" x14ac:dyDescent="0.25">
      <c r="A63" s="13" t="s">
        <v>183</v>
      </c>
      <c r="B63" s="13">
        <v>1803</v>
      </c>
      <c r="C63" s="14" t="str">
        <f>+VLOOKUP(B63,[1]LISTE!$A$1:$D$431,4,FALSE)</f>
        <v>GAM HAMDI</v>
      </c>
      <c r="D63" s="15" t="s">
        <v>184</v>
      </c>
      <c r="E63" s="15">
        <v>45664</v>
      </c>
      <c r="F63" s="14" t="s">
        <v>23</v>
      </c>
      <c r="G63" s="16">
        <v>40</v>
      </c>
    </row>
    <row r="64" spans="1:7" x14ac:dyDescent="0.25">
      <c r="A64" s="13" t="s">
        <v>183</v>
      </c>
      <c r="B64" s="13">
        <v>1803</v>
      </c>
      <c r="C64" s="14" t="str">
        <f>+VLOOKUP(B64,[1]LISTE!$A$1:$D$431,4,FALSE)</f>
        <v>GAM HAMDI</v>
      </c>
      <c r="D64" s="15" t="s">
        <v>184</v>
      </c>
      <c r="E64" s="15">
        <v>45664</v>
      </c>
      <c r="F64" s="14" t="s">
        <v>20</v>
      </c>
      <c r="G64" s="16">
        <v>22.827000000000002</v>
      </c>
    </row>
    <row r="65" spans="1:7" x14ac:dyDescent="0.25">
      <c r="A65" s="13" t="s">
        <v>185</v>
      </c>
      <c r="B65" s="13">
        <v>1803</v>
      </c>
      <c r="C65" s="14" t="str">
        <f>+VLOOKUP(B65,[1]LISTE!$A$1:$D$431,4,FALSE)</f>
        <v>GAM HAMDI</v>
      </c>
      <c r="D65" s="15" t="s">
        <v>186</v>
      </c>
      <c r="E65" s="15">
        <v>45660</v>
      </c>
      <c r="F65" s="14" t="s">
        <v>23</v>
      </c>
      <c r="G65" s="16">
        <v>40</v>
      </c>
    </row>
    <row r="66" spans="1:7" x14ac:dyDescent="0.25">
      <c r="A66" s="13" t="s">
        <v>185</v>
      </c>
      <c r="B66" s="13">
        <v>1803</v>
      </c>
      <c r="C66" s="14" t="str">
        <f>+VLOOKUP(B66,[1]LISTE!$A$1:$D$431,4,FALSE)</f>
        <v>GAM HAMDI</v>
      </c>
      <c r="D66" s="14" t="s">
        <v>186</v>
      </c>
      <c r="E66" s="15">
        <v>45660</v>
      </c>
      <c r="F66" s="14" t="s">
        <v>20</v>
      </c>
      <c r="G66" s="16">
        <v>33.668999999999997</v>
      </c>
    </row>
    <row r="67" spans="1:7" x14ac:dyDescent="0.25">
      <c r="A67" s="13" t="s">
        <v>185</v>
      </c>
      <c r="B67" s="13">
        <v>1803</v>
      </c>
      <c r="C67" s="14" t="str">
        <f>+VLOOKUP(B67,[1]LISTE!$A$1:$D$431,4,FALSE)</f>
        <v>GAM HAMDI</v>
      </c>
      <c r="D67" s="15" t="s">
        <v>187</v>
      </c>
      <c r="E67" s="15">
        <v>45663</v>
      </c>
      <c r="F67" s="14" t="s">
        <v>23</v>
      </c>
      <c r="G67" s="16">
        <v>40</v>
      </c>
    </row>
    <row r="68" spans="1:7" x14ac:dyDescent="0.25">
      <c r="A68" s="13" t="s">
        <v>185</v>
      </c>
      <c r="B68" s="13">
        <v>1803</v>
      </c>
      <c r="C68" s="14" t="str">
        <f>+VLOOKUP(B68,[1]LISTE!$A$1:$D$431,4,FALSE)</f>
        <v>GAM HAMDI</v>
      </c>
      <c r="D68" s="15" t="s">
        <v>187</v>
      </c>
      <c r="E68" s="15">
        <v>45663</v>
      </c>
      <c r="F68" s="14" t="s">
        <v>20</v>
      </c>
      <c r="G68" s="16">
        <v>27.126999999999999</v>
      </c>
    </row>
    <row r="69" spans="1:7" x14ac:dyDescent="0.25">
      <c r="A69" s="13" t="s">
        <v>175</v>
      </c>
      <c r="B69" s="13">
        <v>1812</v>
      </c>
      <c r="C69" s="14" t="str">
        <f>+VLOOKUP(B69,[1]LISTE!$A$1:$D$431,4,FALSE)</f>
        <v>BEN SALEM ZIED</v>
      </c>
      <c r="D69" s="14" t="s">
        <v>176</v>
      </c>
      <c r="E69" s="15">
        <v>45664</v>
      </c>
      <c r="F69" s="14" t="s">
        <v>23</v>
      </c>
      <c r="G69" s="16">
        <v>20</v>
      </c>
    </row>
    <row r="70" spans="1:7" x14ac:dyDescent="0.25">
      <c r="A70" s="13" t="s">
        <v>175</v>
      </c>
      <c r="B70" s="13">
        <v>1812</v>
      </c>
      <c r="C70" s="14" t="str">
        <f>+VLOOKUP(B70,[1]LISTE!$A$1:$D$431,4,FALSE)</f>
        <v>BEN SALEM ZIED</v>
      </c>
      <c r="D70" s="15" t="s">
        <v>176</v>
      </c>
      <c r="E70" s="15">
        <v>45664</v>
      </c>
      <c r="F70" s="14" t="s">
        <v>20</v>
      </c>
      <c r="G70" s="16">
        <v>14.45</v>
      </c>
    </row>
    <row r="71" spans="1:7" x14ac:dyDescent="0.25">
      <c r="A71" s="13" t="s">
        <v>127</v>
      </c>
      <c r="B71" s="13">
        <v>1814</v>
      </c>
      <c r="C71" s="14" t="str">
        <f>+VLOOKUP(B71,[1]LISTE!$A$1:$D$431,4,FALSE)</f>
        <v>BEL ARBIA SLAH</v>
      </c>
      <c r="D71" s="15" t="s">
        <v>128</v>
      </c>
      <c r="E71" s="15">
        <v>45659</v>
      </c>
      <c r="F71" s="14" t="s">
        <v>23</v>
      </c>
      <c r="G71" s="16">
        <v>20</v>
      </c>
    </row>
    <row r="72" spans="1:7" x14ac:dyDescent="0.25">
      <c r="A72" s="13" t="s">
        <v>127</v>
      </c>
      <c r="B72" s="13">
        <v>1814</v>
      </c>
      <c r="C72" s="14" t="str">
        <f>+VLOOKUP(B72,[1]LISTE!$A$1:$D$431,4,FALSE)</f>
        <v>BEL ARBIA SLAH</v>
      </c>
      <c r="D72" s="15" t="s">
        <v>128</v>
      </c>
      <c r="E72" s="15">
        <v>45659</v>
      </c>
      <c r="F72" s="14" t="s">
        <v>20</v>
      </c>
      <c r="G72" s="16">
        <v>27.829000000000001</v>
      </c>
    </row>
    <row r="73" spans="1:7" x14ac:dyDescent="0.25">
      <c r="A73" s="13" t="s">
        <v>139</v>
      </c>
      <c r="B73" s="13">
        <v>1815</v>
      </c>
      <c r="C73" s="14" t="str">
        <f>+VLOOKUP(B73,[1]LISTE!$A$1:$D$431,4,FALSE)</f>
        <v>KHEDIMI IMED</v>
      </c>
      <c r="D73" s="15" t="s">
        <v>140</v>
      </c>
      <c r="E73" s="15">
        <v>45660</v>
      </c>
      <c r="F73" s="14" t="s">
        <v>18</v>
      </c>
      <c r="G73" s="16">
        <v>60</v>
      </c>
    </row>
    <row r="74" spans="1:7" x14ac:dyDescent="0.25">
      <c r="A74" s="13" t="s">
        <v>139</v>
      </c>
      <c r="B74" s="13">
        <v>1815</v>
      </c>
      <c r="C74" s="14" t="str">
        <f>+VLOOKUP(B74,[1]LISTE!$A$1:$D$431,4,FALSE)</f>
        <v>KHEDIMI IMED</v>
      </c>
      <c r="D74" s="15" t="s">
        <v>140</v>
      </c>
      <c r="E74" s="15">
        <v>45661</v>
      </c>
      <c r="F74" s="14" t="s">
        <v>21</v>
      </c>
      <c r="G74" s="16">
        <v>110</v>
      </c>
    </row>
    <row r="75" spans="1:7" x14ac:dyDescent="0.25">
      <c r="A75" s="13" t="s">
        <v>196</v>
      </c>
      <c r="B75" s="13">
        <v>1820</v>
      </c>
      <c r="C75" s="14" t="str">
        <f>+VLOOKUP(B75,[1]LISTE!$A$1:$D$431,4,FALSE)</f>
        <v>MKHININI MOHAMED RIMEH</v>
      </c>
      <c r="D75" s="15" t="s">
        <v>71</v>
      </c>
      <c r="E75" s="15">
        <v>45664</v>
      </c>
      <c r="F75" s="14" t="s">
        <v>18</v>
      </c>
      <c r="G75" s="16">
        <v>70</v>
      </c>
    </row>
    <row r="76" spans="1:7" x14ac:dyDescent="0.25">
      <c r="A76" s="13" t="s">
        <v>196</v>
      </c>
      <c r="B76" s="13">
        <v>1820</v>
      </c>
      <c r="C76" s="14" t="str">
        <f>+VLOOKUP(B76,[1]LISTE!$A$1:$D$431,4,FALSE)</f>
        <v>MKHININI MOHAMED RIMEH</v>
      </c>
      <c r="D76" s="15" t="s">
        <v>71</v>
      </c>
      <c r="E76" s="15">
        <v>45665</v>
      </c>
      <c r="F76" s="14" t="s">
        <v>20</v>
      </c>
      <c r="G76" s="16">
        <v>56.145000000000003</v>
      </c>
    </row>
    <row r="77" spans="1:7" x14ac:dyDescent="0.25">
      <c r="A77" s="13" t="s">
        <v>196</v>
      </c>
      <c r="B77" s="13">
        <v>1820</v>
      </c>
      <c r="C77" s="14" t="str">
        <f>+VLOOKUP(B77,[1]LISTE!$A$1:$D$431,4,FALSE)</f>
        <v>MKHININI MOHAMED RIMEH</v>
      </c>
      <c r="D77" s="14" t="s">
        <v>71</v>
      </c>
      <c r="E77" s="15">
        <v>45664</v>
      </c>
      <c r="F77" s="14" t="s">
        <v>21</v>
      </c>
      <c r="G77" s="16">
        <v>110</v>
      </c>
    </row>
    <row r="78" spans="1:7" x14ac:dyDescent="0.25">
      <c r="A78" s="13" t="s">
        <v>162</v>
      </c>
      <c r="B78" s="13">
        <v>1831</v>
      </c>
      <c r="C78" s="14" t="str">
        <f>+VLOOKUP(B78,[1]LISTE!$A$1:$D$431,4,FALSE)</f>
        <v>KEMIMECH MOHAMED BEN MOHAMED</v>
      </c>
      <c r="D78" s="15" t="s">
        <v>163</v>
      </c>
      <c r="E78" s="15">
        <v>45663</v>
      </c>
      <c r="F78" s="14" t="s">
        <v>23</v>
      </c>
      <c r="G78" s="16">
        <v>3</v>
      </c>
    </row>
    <row r="79" spans="1:7" x14ac:dyDescent="0.25">
      <c r="A79" s="13" t="s">
        <v>162</v>
      </c>
      <c r="B79" s="13">
        <v>1831</v>
      </c>
      <c r="C79" s="14" t="str">
        <f>+VLOOKUP(B79,[1]LISTE!$A$1:$D$431,4,FALSE)</f>
        <v>KEMIMECH MOHAMED BEN MOHAMED</v>
      </c>
      <c r="D79" s="15" t="s">
        <v>163</v>
      </c>
      <c r="E79" s="15">
        <v>45663</v>
      </c>
      <c r="F79" s="14" t="s">
        <v>20</v>
      </c>
      <c r="G79" s="16">
        <v>39.584000000000003</v>
      </c>
    </row>
    <row r="80" spans="1:7" x14ac:dyDescent="0.25">
      <c r="A80" s="13" t="s">
        <v>113</v>
      </c>
      <c r="B80" s="13">
        <v>1856</v>
      </c>
      <c r="C80" s="14" t="str">
        <f>+VLOOKUP(B80,[1]LISTE!$A$1:$D$431,4,FALSE)</f>
        <v>ABDELLATIF MOHAMED ALI</v>
      </c>
      <c r="D80" s="15" t="s">
        <v>22</v>
      </c>
      <c r="E80" s="15">
        <v>45663</v>
      </c>
      <c r="F80" s="14" t="s">
        <v>18</v>
      </c>
      <c r="G80" s="16">
        <v>70</v>
      </c>
    </row>
    <row r="81" spans="1:7" x14ac:dyDescent="0.25">
      <c r="A81" s="13" t="s">
        <v>113</v>
      </c>
      <c r="B81" s="13">
        <v>1856</v>
      </c>
      <c r="C81" s="14" t="str">
        <f>+VLOOKUP(B81,[1]LISTE!$A$1:$D$431,4,FALSE)</f>
        <v>ABDELLATIF MOHAMED ALI</v>
      </c>
      <c r="D81" s="15" t="s">
        <v>22</v>
      </c>
      <c r="E81" s="15">
        <v>45663</v>
      </c>
      <c r="F81" s="14" t="s">
        <v>20</v>
      </c>
      <c r="G81" s="16">
        <v>103.321</v>
      </c>
    </row>
    <row r="82" spans="1:7" x14ac:dyDescent="0.25">
      <c r="A82" s="13" t="s">
        <v>148</v>
      </c>
      <c r="B82" s="13">
        <v>1896</v>
      </c>
      <c r="C82" s="14" t="str">
        <f>+VLOOKUP(B82,[1]LISTE!$A$1:$D$431,4,FALSE)</f>
        <v>LAJIMI ABDELKADER</v>
      </c>
      <c r="D82" s="15" t="s">
        <v>149</v>
      </c>
      <c r="E82" s="15">
        <v>45661</v>
      </c>
      <c r="F82" s="14" t="s">
        <v>18</v>
      </c>
      <c r="G82" s="16">
        <v>70</v>
      </c>
    </row>
    <row r="83" spans="1:7" x14ac:dyDescent="0.25">
      <c r="A83" s="13" t="s">
        <v>148</v>
      </c>
      <c r="B83" s="13">
        <v>1896</v>
      </c>
      <c r="C83" s="14" t="str">
        <f>+VLOOKUP(B83,[1]LISTE!$A$1:$D$431,4,FALSE)</f>
        <v>LAJIMI ABDELKADER</v>
      </c>
      <c r="D83" s="14" t="s">
        <v>149</v>
      </c>
      <c r="E83" s="15">
        <v>45663</v>
      </c>
      <c r="F83" s="14" t="s">
        <v>69</v>
      </c>
      <c r="G83" s="16">
        <v>280</v>
      </c>
    </row>
    <row r="84" spans="1:7" x14ac:dyDescent="0.25">
      <c r="A84" s="13" t="s">
        <v>150</v>
      </c>
      <c r="B84" s="13">
        <v>1896</v>
      </c>
      <c r="C84" s="14" t="str">
        <f>+VLOOKUP(B84,[1]LISTE!$A$1:$D$431,4,FALSE)</f>
        <v>LAJIMI ABDELKADER</v>
      </c>
      <c r="D84" s="14" t="s">
        <v>151</v>
      </c>
      <c r="E84" s="15">
        <v>45661</v>
      </c>
      <c r="F84" s="14" t="s">
        <v>18</v>
      </c>
      <c r="G84" s="16">
        <v>70</v>
      </c>
    </row>
    <row r="85" spans="1:7" x14ac:dyDescent="0.25">
      <c r="A85" s="13" t="s">
        <v>150</v>
      </c>
      <c r="B85" s="13">
        <v>1896</v>
      </c>
      <c r="C85" s="14" t="str">
        <f>+VLOOKUP(B85,[1]LISTE!$A$1:$D$431,4,FALSE)</f>
        <v>LAJIMI ABDELKADER</v>
      </c>
      <c r="D85" s="14" t="s">
        <v>151</v>
      </c>
      <c r="E85" s="15">
        <v>45663</v>
      </c>
      <c r="F85" s="14" t="s">
        <v>69</v>
      </c>
      <c r="G85" s="16">
        <v>300</v>
      </c>
    </row>
    <row r="86" spans="1:7" x14ac:dyDescent="0.25">
      <c r="A86" s="13" t="s">
        <v>145</v>
      </c>
      <c r="B86" s="13">
        <v>1897</v>
      </c>
      <c r="C86" s="14" t="str">
        <f>+VLOOKUP(B86,[1]LISTE!$A$1:$D$431,4,FALSE)</f>
        <v>BOHLI AMOR</v>
      </c>
      <c r="D86" s="15" t="s">
        <v>22</v>
      </c>
      <c r="E86" s="15">
        <v>45661</v>
      </c>
      <c r="F86" s="14" t="s">
        <v>18</v>
      </c>
      <c r="G86" s="16">
        <v>40</v>
      </c>
    </row>
    <row r="87" spans="1:7" x14ac:dyDescent="0.25">
      <c r="A87" s="13" t="s">
        <v>145</v>
      </c>
      <c r="B87" s="13">
        <v>1897</v>
      </c>
      <c r="C87" s="14" t="str">
        <f>+VLOOKUP(B87,[1]LISTE!$A$1:$D$431,4,FALSE)</f>
        <v>BOHLI AMOR</v>
      </c>
      <c r="D87" s="14" t="s">
        <v>22</v>
      </c>
      <c r="E87" s="15">
        <v>45661</v>
      </c>
      <c r="F87" s="14" t="s">
        <v>20</v>
      </c>
      <c r="G87" s="16">
        <v>83.988</v>
      </c>
    </row>
    <row r="88" spans="1:7" x14ac:dyDescent="0.25">
      <c r="A88" s="13" t="s">
        <v>118</v>
      </c>
      <c r="B88" s="13">
        <v>1917</v>
      </c>
      <c r="C88" s="14" t="str">
        <f>+VLOOKUP(B88,[1]LISTE!$A$1:$D$431,4,FALSE)</f>
        <v>HAMILA JAMEL</v>
      </c>
      <c r="D88" s="14" t="s">
        <v>119</v>
      </c>
      <c r="E88" s="15">
        <v>45660</v>
      </c>
      <c r="F88" s="14" t="s">
        <v>18</v>
      </c>
      <c r="G88" s="16">
        <v>70</v>
      </c>
    </row>
    <row r="89" spans="1:7" x14ac:dyDescent="0.25">
      <c r="A89" s="13" t="s">
        <v>118</v>
      </c>
      <c r="B89" s="13">
        <v>1917</v>
      </c>
      <c r="C89" s="14" t="str">
        <f>+VLOOKUP(B89,[1]LISTE!$A$1:$D$431,4,FALSE)</f>
        <v>HAMILA JAMEL</v>
      </c>
      <c r="D89" s="15" t="s">
        <v>119</v>
      </c>
      <c r="E89" s="15">
        <v>45660</v>
      </c>
      <c r="F89" s="14" t="s">
        <v>20</v>
      </c>
      <c r="G89" s="16">
        <v>41.621000000000002</v>
      </c>
    </row>
    <row r="90" spans="1:7" x14ac:dyDescent="0.25">
      <c r="A90" s="13" t="s">
        <v>120</v>
      </c>
      <c r="B90" s="13">
        <v>1917</v>
      </c>
      <c r="C90" s="14" t="str">
        <f>+VLOOKUP(B90,[1]LISTE!$A$1:$D$431,4,FALSE)</f>
        <v>HAMILA JAMEL</v>
      </c>
      <c r="D90" s="14" t="s">
        <v>22</v>
      </c>
      <c r="E90" s="15">
        <v>45661</v>
      </c>
      <c r="F90" s="14" t="s">
        <v>23</v>
      </c>
      <c r="G90" s="16">
        <v>40</v>
      </c>
    </row>
    <row r="91" spans="1:7" x14ac:dyDescent="0.25">
      <c r="A91" s="13" t="s">
        <v>120</v>
      </c>
      <c r="B91" s="13">
        <v>1917</v>
      </c>
      <c r="C91" s="14" t="str">
        <f>+VLOOKUP(B91,[1]LISTE!$A$1:$D$431,4,FALSE)</f>
        <v>HAMILA JAMEL</v>
      </c>
      <c r="D91" s="14" t="s">
        <v>22</v>
      </c>
      <c r="E91" s="15">
        <v>45661</v>
      </c>
      <c r="F91" s="14" t="s">
        <v>20</v>
      </c>
      <c r="G91" s="16">
        <v>55.097999999999999</v>
      </c>
    </row>
    <row r="92" spans="1:7" x14ac:dyDescent="0.25">
      <c r="A92" s="13" t="s">
        <v>207</v>
      </c>
      <c r="B92" s="13">
        <v>1927</v>
      </c>
      <c r="C92" s="14" t="str">
        <f>+VLOOKUP(B92,[1]LISTE!$A$1:$D$431,4,FALSE)</f>
        <v>BEN HAMMOUDA AYMEN</v>
      </c>
      <c r="D92" s="14" t="s">
        <v>208</v>
      </c>
      <c r="E92" s="15">
        <v>45667</v>
      </c>
      <c r="F92" s="14" t="s">
        <v>18</v>
      </c>
      <c r="G92" s="16">
        <v>70</v>
      </c>
    </row>
    <row r="93" spans="1:7" x14ac:dyDescent="0.25">
      <c r="A93" s="13" t="s">
        <v>207</v>
      </c>
      <c r="B93" s="13">
        <v>1927</v>
      </c>
      <c r="C93" s="14" t="str">
        <f>+VLOOKUP(B93,[1]LISTE!$A$1:$D$431,4,FALSE)</f>
        <v>BEN HAMMOUDA AYMEN</v>
      </c>
      <c r="D93" s="14" t="s">
        <v>208</v>
      </c>
      <c r="E93" s="15">
        <v>45667</v>
      </c>
      <c r="F93" s="14" t="s">
        <v>20</v>
      </c>
      <c r="G93" s="16">
        <v>365.76299999999998</v>
      </c>
    </row>
    <row r="94" spans="1:7" x14ac:dyDescent="0.25">
      <c r="A94" s="13" t="s">
        <v>177</v>
      </c>
      <c r="B94" s="13">
        <v>1936</v>
      </c>
      <c r="C94" s="14" t="str">
        <f>+VLOOKUP(B94,[1]LISTE!$A$1:$D$431,4,FALSE)</f>
        <v>JLASSI KHALED</v>
      </c>
      <c r="D94" s="15" t="s">
        <v>22</v>
      </c>
      <c r="E94" s="15">
        <v>45665</v>
      </c>
      <c r="F94" s="14" t="s">
        <v>23</v>
      </c>
      <c r="G94" s="16">
        <v>50</v>
      </c>
    </row>
    <row r="95" spans="1:7" x14ac:dyDescent="0.25">
      <c r="A95" s="13" t="s">
        <v>177</v>
      </c>
      <c r="B95" s="13">
        <v>1936</v>
      </c>
      <c r="C95" s="14" t="str">
        <f>+VLOOKUP(B95,[1]LISTE!$A$1:$D$431,4,FALSE)</f>
        <v>JLASSI KHALED</v>
      </c>
      <c r="D95" s="14" t="s">
        <v>22</v>
      </c>
      <c r="E95" s="15">
        <v>45665</v>
      </c>
      <c r="F95" s="14" t="s">
        <v>20</v>
      </c>
      <c r="G95" s="16">
        <v>25.41</v>
      </c>
    </row>
    <row r="96" spans="1:7" x14ac:dyDescent="0.25">
      <c r="A96" s="13" t="s">
        <v>177</v>
      </c>
      <c r="B96" s="13">
        <v>1936</v>
      </c>
      <c r="C96" s="14" t="str">
        <f>+VLOOKUP(B96,[1]LISTE!$A$1:$D$431,4,FALSE)</f>
        <v>JLASSI KHALED</v>
      </c>
      <c r="D96" s="14" t="s">
        <v>22</v>
      </c>
      <c r="E96" s="15">
        <v>45670</v>
      </c>
      <c r="F96" s="14" t="s">
        <v>24</v>
      </c>
      <c r="G96" s="16">
        <v>200</v>
      </c>
    </row>
    <row r="97" spans="1:7" x14ac:dyDescent="0.25">
      <c r="A97" s="13" t="s">
        <v>161</v>
      </c>
      <c r="B97" s="13">
        <v>1953</v>
      </c>
      <c r="C97" s="14" t="str">
        <f>+VLOOKUP(B97,[1]LISTE!$A$1:$D$431,4,FALSE)</f>
        <v>SGHAIER SAMI</v>
      </c>
      <c r="D97" s="14" t="s">
        <v>22</v>
      </c>
      <c r="E97" s="15">
        <v>45661</v>
      </c>
      <c r="F97" s="14" t="s">
        <v>18</v>
      </c>
      <c r="G97" s="16">
        <v>70</v>
      </c>
    </row>
    <row r="98" spans="1:7" x14ac:dyDescent="0.25">
      <c r="A98" s="13" t="s">
        <v>161</v>
      </c>
      <c r="B98" s="13">
        <v>1953</v>
      </c>
      <c r="C98" s="14" t="str">
        <f>+VLOOKUP(B98,[1]LISTE!$A$1:$D$431,4,FALSE)</f>
        <v>SGHAIER SAMI</v>
      </c>
      <c r="D98" s="15" t="s">
        <v>22</v>
      </c>
      <c r="E98" s="15">
        <v>45661</v>
      </c>
      <c r="F98" s="14" t="s">
        <v>20</v>
      </c>
      <c r="G98" s="16">
        <v>5.9560000000000004</v>
      </c>
    </row>
    <row r="99" spans="1:7" x14ac:dyDescent="0.25">
      <c r="A99" s="13" t="s">
        <v>114</v>
      </c>
      <c r="B99" s="13">
        <v>1954</v>
      </c>
      <c r="C99" s="14" t="str">
        <f>+VLOOKUP(B99,[1]LISTE!$A$1:$D$431,4,FALSE)</f>
        <v>REGAIEG NADER</v>
      </c>
      <c r="D99" s="14" t="s">
        <v>115</v>
      </c>
      <c r="E99" s="15">
        <v>45659</v>
      </c>
      <c r="F99" s="14" t="s">
        <v>18</v>
      </c>
      <c r="G99" s="16">
        <v>70</v>
      </c>
    </row>
    <row r="100" spans="1:7" x14ac:dyDescent="0.25">
      <c r="A100" s="13" t="s">
        <v>114</v>
      </c>
      <c r="B100" s="13">
        <v>1954</v>
      </c>
      <c r="C100" s="14" t="str">
        <f>+VLOOKUP(B100,[1]LISTE!$A$1:$D$431,4,FALSE)</f>
        <v>REGAIEG NADER</v>
      </c>
      <c r="D100" s="14" t="s">
        <v>115</v>
      </c>
      <c r="E100" s="15">
        <v>45663</v>
      </c>
      <c r="F100" s="14" t="s">
        <v>20</v>
      </c>
      <c r="G100" s="16">
        <v>88.861999999999995</v>
      </c>
    </row>
    <row r="101" spans="1:7" x14ac:dyDescent="0.25">
      <c r="A101" s="13" t="s">
        <v>114</v>
      </c>
      <c r="B101" s="13">
        <v>1954</v>
      </c>
      <c r="C101" s="14" t="str">
        <f>+VLOOKUP(B101,[1]LISTE!$A$1:$D$431,4,FALSE)</f>
        <v>REGAIEG NADER</v>
      </c>
      <c r="D101" s="15" t="s">
        <v>115</v>
      </c>
      <c r="E101" s="15">
        <v>45660</v>
      </c>
      <c r="F101" s="14" t="s">
        <v>19</v>
      </c>
      <c r="G101" s="16">
        <v>42.8</v>
      </c>
    </row>
    <row r="102" spans="1:7" x14ac:dyDescent="0.25">
      <c r="A102" s="13" t="s">
        <v>178</v>
      </c>
      <c r="B102" s="13">
        <v>1969</v>
      </c>
      <c r="C102" s="14" t="str">
        <f>+VLOOKUP(B102,[1]LISTE!$A$1:$D$431,4,FALSE)</f>
        <v>BOUKADDIDA MEHREZ</v>
      </c>
      <c r="D102" s="14" t="s">
        <v>22</v>
      </c>
      <c r="E102" s="15">
        <v>45663</v>
      </c>
      <c r="F102" s="14" t="s">
        <v>20</v>
      </c>
      <c r="G102" s="16">
        <v>98.655000000000001</v>
      </c>
    </row>
    <row r="103" spans="1:7" x14ac:dyDescent="0.25">
      <c r="A103" s="13" t="s">
        <v>193</v>
      </c>
      <c r="B103" s="13">
        <v>1978</v>
      </c>
      <c r="C103" s="14" t="str">
        <f>+VLOOKUP(B103,[1]LISTE!$A$1:$D$431,4,FALSE)</f>
        <v>MAHJOUB AHMED</v>
      </c>
      <c r="D103" s="14" t="s">
        <v>194</v>
      </c>
      <c r="E103" s="15">
        <v>45661</v>
      </c>
      <c r="F103" s="14" t="s">
        <v>20</v>
      </c>
      <c r="G103" s="16">
        <v>2.7149999999999999</v>
      </c>
    </row>
    <row r="104" spans="1:7" x14ac:dyDescent="0.25">
      <c r="A104" s="13" t="s">
        <v>193</v>
      </c>
      <c r="B104" s="13">
        <v>1978</v>
      </c>
      <c r="C104" s="14" t="str">
        <f>+VLOOKUP(B104,[1]LISTE!$A$1:$D$431,4,FALSE)</f>
        <v>MAHJOUB AHMED</v>
      </c>
      <c r="D104" s="14" t="s">
        <v>194</v>
      </c>
      <c r="E104" s="15">
        <v>45661</v>
      </c>
      <c r="F104" s="14" t="s">
        <v>24</v>
      </c>
      <c r="G104" s="16">
        <v>40</v>
      </c>
    </row>
    <row r="105" spans="1:7" x14ac:dyDescent="0.25">
      <c r="A105" s="13" t="s">
        <v>195</v>
      </c>
      <c r="B105" s="13">
        <v>1978</v>
      </c>
      <c r="C105" s="14" t="str">
        <f>+VLOOKUP(B105,[1]LISTE!$A$1:$D$431,4,FALSE)</f>
        <v>MAHJOUB AHMED</v>
      </c>
      <c r="D105" s="15" t="s">
        <v>22</v>
      </c>
      <c r="E105" s="15">
        <v>45668</v>
      </c>
      <c r="F105" s="14" t="s">
        <v>20</v>
      </c>
      <c r="G105" s="16">
        <v>19.765000000000001</v>
      </c>
    </row>
    <row r="106" spans="1:7" x14ac:dyDescent="0.25">
      <c r="A106" s="13" t="s">
        <v>195</v>
      </c>
      <c r="B106" s="13">
        <v>1978</v>
      </c>
      <c r="C106" s="14" t="str">
        <f>+VLOOKUP(B106,[1]LISTE!$A$1:$D$431,4,FALSE)</f>
        <v>MAHJOUB AHMED</v>
      </c>
      <c r="D106" s="15" t="s">
        <v>22</v>
      </c>
      <c r="E106" s="15">
        <v>45668</v>
      </c>
      <c r="F106" s="14" t="s">
        <v>24</v>
      </c>
      <c r="G106" s="16">
        <v>60</v>
      </c>
    </row>
    <row r="107" spans="1:7" x14ac:dyDescent="0.25">
      <c r="A107" s="13" t="s">
        <v>126</v>
      </c>
      <c r="B107" s="13">
        <v>2065</v>
      </c>
      <c r="C107" s="14" t="str">
        <f>+VLOOKUP(B107,[1]LISTE!$A$1:$D$431,4,FALSE)</f>
        <v>CHIHAOUI ALAAEDDINE</v>
      </c>
      <c r="D107" s="15" t="s">
        <v>22</v>
      </c>
      <c r="E107" s="15">
        <v>45659</v>
      </c>
      <c r="F107" s="14" t="s">
        <v>23</v>
      </c>
      <c r="G107" s="16">
        <v>40</v>
      </c>
    </row>
    <row r="108" spans="1:7" x14ac:dyDescent="0.25">
      <c r="A108" s="13" t="s">
        <v>126</v>
      </c>
      <c r="B108" s="13">
        <v>2065</v>
      </c>
      <c r="C108" s="14" t="str">
        <f>+VLOOKUP(B108,[1]LISTE!$A$1:$D$431,4,FALSE)</f>
        <v>CHIHAOUI ALAAEDDINE</v>
      </c>
      <c r="D108" s="15" t="s">
        <v>22</v>
      </c>
      <c r="E108" s="15">
        <v>45659</v>
      </c>
      <c r="F108" s="14" t="s">
        <v>20</v>
      </c>
      <c r="G108" s="16">
        <v>63.073999999999998</v>
      </c>
    </row>
    <row r="109" spans="1:7" x14ac:dyDescent="0.25">
      <c r="A109" s="13" t="s">
        <v>199</v>
      </c>
      <c r="B109" s="13">
        <v>2092</v>
      </c>
      <c r="C109" s="14" t="str">
        <f>+VLOOKUP(B109,[1]LISTE!$A$1:$D$431,4,FALSE)</f>
        <v>MOHAMED YASSINE SBAII</v>
      </c>
      <c r="D109" s="15" t="s">
        <v>200</v>
      </c>
      <c r="E109" s="15">
        <v>45666</v>
      </c>
      <c r="F109" s="14" t="s">
        <v>18</v>
      </c>
      <c r="G109" s="16">
        <v>70</v>
      </c>
    </row>
    <row r="110" spans="1:7" x14ac:dyDescent="0.25">
      <c r="A110" s="13" t="s">
        <v>199</v>
      </c>
      <c r="B110" s="13">
        <v>2092</v>
      </c>
      <c r="C110" s="14" t="str">
        <f>+VLOOKUP(B110,[1]LISTE!$A$1:$D$431,4,FALSE)</f>
        <v>MOHAMED YASSINE SBAII</v>
      </c>
      <c r="D110" s="15" t="s">
        <v>200</v>
      </c>
      <c r="E110" s="15">
        <v>45666</v>
      </c>
      <c r="F110" s="14" t="s">
        <v>20</v>
      </c>
      <c r="G110" s="16">
        <v>33.070999999999998</v>
      </c>
    </row>
    <row r="111" spans="1:7" x14ac:dyDescent="0.25">
      <c r="A111" s="13" t="s">
        <v>111</v>
      </c>
      <c r="B111" s="13">
        <v>2100</v>
      </c>
      <c r="C111" s="14" t="str">
        <f>+VLOOKUP(B111,[1]LISTE!$A$1:$D$431,4,FALSE)</f>
        <v>MLAYEH NEZIHA</v>
      </c>
      <c r="D111" s="15" t="s">
        <v>112</v>
      </c>
      <c r="E111" s="15">
        <v>45662</v>
      </c>
      <c r="F111" s="14" t="s">
        <v>23</v>
      </c>
      <c r="G111" s="16">
        <v>3</v>
      </c>
    </row>
    <row r="112" spans="1:7" x14ac:dyDescent="0.25">
      <c r="A112" s="13" t="s">
        <v>111</v>
      </c>
      <c r="B112" s="13">
        <v>2100</v>
      </c>
      <c r="C112" s="14" t="str">
        <f>+VLOOKUP(B112,[1]LISTE!$A$1:$D$431,4,FALSE)</f>
        <v>MLAYEH NEZIHA</v>
      </c>
      <c r="D112" s="14" t="s">
        <v>112</v>
      </c>
      <c r="E112" s="15">
        <v>45662</v>
      </c>
      <c r="F112" s="14" t="s">
        <v>20</v>
      </c>
      <c r="G112" s="16">
        <v>57.085000000000001</v>
      </c>
    </row>
    <row r="113" spans="1:7" x14ac:dyDescent="0.25">
      <c r="A113" s="13" t="s">
        <v>105</v>
      </c>
      <c r="B113" s="13">
        <v>2254</v>
      </c>
      <c r="C113" s="14" t="s">
        <v>106</v>
      </c>
      <c r="D113" s="15" t="s">
        <v>22</v>
      </c>
      <c r="E113" s="15">
        <v>45661</v>
      </c>
      <c r="F113" s="14" t="s">
        <v>23</v>
      </c>
      <c r="G113" s="16">
        <v>40</v>
      </c>
    </row>
    <row r="114" spans="1:7" x14ac:dyDescent="0.25">
      <c r="A114" s="13" t="s">
        <v>105</v>
      </c>
      <c r="B114" s="13">
        <v>2254</v>
      </c>
      <c r="C114" s="14" t="s">
        <v>106</v>
      </c>
      <c r="D114" s="14" t="s">
        <v>22</v>
      </c>
      <c r="E114" s="15">
        <v>45660</v>
      </c>
      <c r="F114" s="14" t="s">
        <v>19</v>
      </c>
      <c r="G114" s="16">
        <v>46.87</v>
      </c>
    </row>
    <row r="115" spans="1:7" x14ac:dyDescent="0.25">
      <c r="A115" s="13" t="s">
        <v>105</v>
      </c>
      <c r="B115" s="13">
        <v>2254</v>
      </c>
      <c r="C115" s="14" t="s">
        <v>106</v>
      </c>
      <c r="D115" s="15" t="s">
        <v>22</v>
      </c>
      <c r="E115" s="15">
        <v>45661</v>
      </c>
      <c r="F115" s="14" t="s">
        <v>20</v>
      </c>
      <c r="G115" s="16">
        <v>32.828000000000003</v>
      </c>
    </row>
    <row r="116" spans="1:7" x14ac:dyDescent="0.25">
      <c r="A116" s="13" t="s">
        <v>122</v>
      </c>
      <c r="B116" s="13">
        <v>2397</v>
      </c>
      <c r="C116" s="14" t="s">
        <v>29</v>
      </c>
      <c r="D116" s="14" t="s">
        <v>123</v>
      </c>
      <c r="E116" s="15">
        <v>45658</v>
      </c>
      <c r="F116" s="14" t="s">
        <v>18</v>
      </c>
      <c r="G116" s="16">
        <v>50</v>
      </c>
    </row>
    <row r="117" spans="1:7" x14ac:dyDescent="0.25">
      <c r="A117" s="13" t="s">
        <v>122</v>
      </c>
      <c r="B117" s="13">
        <v>2397</v>
      </c>
      <c r="C117" s="14" t="s">
        <v>29</v>
      </c>
      <c r="D117" s="15" t="s">
        <v>123</v>
      </c>
      <c r="E117" s="15">
        <v>45658</v>
      </c>
      <c r="F117" s="14" t="s">
        <v>20</v>
      </c>
      <c r="G117" s="16">
        <v>47.152999999999999</v>
      </c>
    </row>
    <row r="118" spans="1:7" x14ac:dyDescent="0.25">
      <c r="A118" s="13" t="s">
        <v>154</v>
      </c>
      <c r="B118" s="13">
        <v>2456</v>
      </c>
      <c r="C118" s="14" t="s">
        <v>155</v>
      </c>
      <c r="D118" s="15" t="s">
        <v>22</v>
      </c>
      <c r="E118" s="15">
        <v>45663</v>
      </c>
      <c r="F118" s="14" t="s">
        <v>18</v>
      </c>
      <c r="G118" s="16">
        <v>70</v>
      </c>
    </row>
    <row r="119" spans="1:7" x14ac:dyDescent="0.25">
      <c r="A119" s="13" t="s">
        <v>154</v>
      </c>
      <c r="B119" s="13">
        <v>2456</v>
      </c>
      <c r="C119" s="14" t="s">
        <v>155</v>
      </c>
      <c r="D119" s="15" t="s">
        <v>22</v>
      </c>
      <c r="E119" s="15">
        <v>45663</v>
      </c>
      <c r="F119" s="14" t="s">
        <v>20</v>
      </c>
      <c r="G119" s="16">
        <v>92.275000000000006</v>
      </c>
    </row>
    <row r="120" spans="1:7" x14ac:dyDescent="0.25">
      <c r="A120" s="13" t="s">
        <v>169</v>
      </c>
      <c r="B120" s="13">
        <v>2515</v>
      </c>
      <c r="C120" s="14" t="s">
        <v>170</v>
      </c>
      <c r="D120" s="15" t="s">
        <v>171</v>
      </c>
      <c r="E120" s="15">
        <v>45666</v>
      </c>
      <c r="F120" s="14" t="s">
        <v>23</v>
      </c>
      <c r="G120" s="16">
        <v>40</v>
      </c>
    </row>
    <row r="121" spans="1:7" x14ac:dyDescent="0.25">
      <c r="A121" s="13" t="s">
        <v>169</v>
      </c>
      <c r="B121" s="13">
        <v>2515</v>
      </c>
      <c r="C121" s="14" t="s">
        <v>170</v>
      </c>
      <c r="D121" s="15" t="s">
        <v>171</v>
      </c>
      <c r="E121" s="15">
        <v>45666</v>
      </c>
      <c r="F121" s="14" t="s">
        <v>20</v>
      </c>
      <c r="G121" s="16">
        <v>28.16</v>
      </c>
    </row>
    <row r="122" spans="1:7" x14ac:dyDescent="0.25">
      <c r="A122" s="13" t="s">
        <v>188</v>
      </c>
      <c r="B122" s="13">
        <v>2521</v>
      </c>
      <c r="C122" s="14" t="s">
        <v>189</v>
      </c>
      <c r="D122" s="15" t="s">
        <v>190</v>
      </c>
      <c r="E122" s="15">
        <v>45663</v>
      </c>
      <c r="F122" s="14" t="s">
        <v>18</v>
      </c>
      <c r="G122" s="16">
        <v>60</v>
      </c>
    </row>
    <row r="123" spans="1:7" x14ac:dyDescent="0.25">
      <c r="A123" s="13" t="s">
        <v>188</v>
      </c>
      <c r="B123" s="13">
        <v>2521</v>
      </c>
      <c r="C123" s="14" t="s">
        <v>189</v>
      </c>
      <c r="D123" s="14" t="s">
        <v>190</v>
      </c>
      <c r="E123" s="15">
        <v>45663</v>
      </c>
      <c r="F123" s="14" t="s">
        <v>20</v>
      </c>
      <c r="G123" s="16">
        <v>31.5</v>
      </c>
    </row>
    <row r="124" spans="1:7" x14ac:dyDescent="0.25">
      <c r="A124" s="13" t="s">
        <v>223</v>
      </c>
      <c r="B124" s="13">
        <v>2525</v>
      </c>
      <c r="C124" s="14" t="s">
        <v>224</v>
      </c>
      <c r="D124" s="15" t="s">
        <v>22</v>
      </c>
      <c r="E124" s="15">
        <v>45666</v>
      </c>
      <c r="F124" s="14" t="s">
        <v>23</v>
      </c>
      <c r="G124" s="16">
        <v>50</v>
      </c>
    </row>
    <row r="125" spans="1:7" x14ac:dyDescent="0.25">
      <c r="A125" s="13" t="s">
        <v>223</v>
      </c>
      <c r="B125" s="13">
        <v>2525</v>
      </c>
      <c r="C125" s="14" t="s">
        <v>224</v>
      </c>
      <c r="D125" s="15" t="s">
        <v>22</v>
      </c>
      <c r="E125" s="15">
        <v>45666</v>
      </c>
      <c r="F125" s="14" t="s">
        <v>20</v>
      </c>
      <c r="G125" s="16">
        <v>21.73</v>
      </c>
    </row>
    <row r="126" spans="1:7" x14ac:dyDescent="0.25">
      <c r="A126" s="13" t="s">
        <v>165</v>
      </c>
      <c r="B126" s="13">
        <v>2631</v>
      </c>
      <c r="C126" s="14" t="s">
        <v>166</v>
      </c>
      <c r="D126" s="15" t="s">
        <v>22</v>
      </c>
      <c r="E126" s="15">
        <v>45661</v>
      </c>
      <c r="F126" s="14" t="s">
        <v>18</v>
      </c>
      <c r="G126" s="16">
        <v>60</v>
      </c>
    </row>
    <row r="127" spans="1:7" x14ac:dyDescent="0.25">
      <c r="A127" s="13" t="s">
        <v>156</v>
      </c>
      <c r="B127" s="13">
        <v>2633</v>
      </c>
      <c r="C127" s="14" t="s">
        <v>157</v>
      </c>
      <c r="D127" s="14" t="s">
        <v>158</v>
      </c>
      <c r="E127" s="15">
        <v>45664</v>
      </c>
      <c r="F127" s="14" t="s">
        <v>18</v>
      </c>
      <c r="G127" s="16">
        <v>70</v>
      </c>
    </row>
    <row r="128" spans="1:7" x14ac:dyDescent="0.25">
      <c r="A128" s="13" t="s">
        <v>156</v>
      </c>
      <c r="B128" s="13">
        <v>2633</v>
      </c>
      <c r="C128" s="14" t="s">
        <v>157</v>
      </c>
      <c r="D128" s="15" t="s">
        <v>158</v>
      </c>
      <c r="E128" s="15">
        <v>45664</v>
      </c>
      <c r="F128" s="14" t="s">
        <v>20</v>
      </c>
      <c r="G128" s="16">
        <v>35.203000000000003</v>
      </c>
    </row>
    <row r="129" spans="1:7" ht="18.75" x14ac:dyDescent="0.3">
      <c r="A129" s="14"/>
      <c r="B129" s="28"/>
      <c r="C129" s="29"/>
      <c r="D129" s="30"/>
      <c r="E129" s="31"/>
      <c r="F129" s="32" t="s">
        <v>11</v>
      </c>
      <c r="G129" s="33">
        <f>SUM(G10:G128)</f>
        <v>8679.7459999999992</v>
      </c>
    </row>
    <row r="130" spans="1:7" ht="15.75" x14ac:dyDescent="0.25">
      <c r="A130" s="35"/>
      <c r="B130" s="36" t="s">
        <v>12</v>
      </c>
      <c r="C130" s="37"/>
      <c r="E130" s="36" t="s">
        <v>13</v>
      </c>
      <c r="F130" s="18"/>
    </row>
    <row r="131" spans="1:7" ht="18.75" x14ac:dyDescent="0.3">
      <c r="A131" s="38"/>
      <c r="B131" s="39" t="s">
        <v>14</v>
      </c>
      <c r="C131" s="40"/>
      <c r="D131" s="41"/>
      <c r="E131" s="19" t="s">
        <v>15</v>
      </c>
      <c r="F131" s="18"/>
      <c r="G131" s="34"/>
    </row>
    <row r="132" spans="1:7" x14ac:dyDescent="0.25">
      <c r="A132" s="12"/>
      <c r="B132" s="12"/>
      <c r="E132" s="18"/>
      <c r="F132" s="18"/>
      <c r="G132" s="18"/>
    </row>
    <row r="133" spans="1:7" ht="15.75" x14ac:dyDescent="0.25">
      <c r="A133" s="35"/>
      <c r="B133" s="36"/>
      <c r="C133" s="37"/>
      <c r="E133" s="36"/>
      <c r="F133" s="18"/>
      <c r="G133" s="18"/>
    </row>
    <row r="134" spans="1:7" ht="15.75" x14ac:dyDescent="0.25">
      <c r="A134" s="23"/>
      <c r="B134" s="24"/>
      <c r="C134" s="25"/>
      <c r="E134" s="27"/>
      <c r="F134" s="18"/>
      <c r="G134" s="18"/>
    </row>
    <row r="135" spans="1:7" ht="18.75" x14ac:dyDescent="0.3">
      <c r="B135" s="19"/>
      <c r="C135" s="20"/>
      <c r="D135" s="21"/>
      <c r="E135" s="22"/>
      <c r="F135" s="19"/>
      <c r="G135" s="22"/>
    </row>
    <row r="136" spans="1:7" ht="15.75" x14ac:dyDescent="0.25">
      <c r="A136" s="23"/>
      <c r="B136" s="24"/>
      <c r="C136" s="25"/>
      <c r="D136" s="26"/>
      <c r="E136" s="22"/>
      <c r="F136" s="27"/>
      <c r="G136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6"/>
  <sheetViews>
    <sheetView workbookViewId="0">
      <pane ySplit="9" topLeftCell="A10" activePane="bottomLeft" state="frozen"/>
      <selection pane="bottomLeft" activeCell="B167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229</v>
      </c>
      <c r="C5" s="7"/>
      <c r="D5" s="4"/>
    </row>
    <row r="6" spans="1:7" ht="22.5" customHeight="1" x14ac:dyDescent="0.25">
      <c r="A6" s="6"/>
      <c r="B6" s="8" t="s">
        <v>399</v>
      </c>
      <c r="C6" s="9"/>
      <c r="D6" s="4"/>
    </row>
    <row r="7" spans="1:7" ht="21" x14ac:dyDescent="0.35">
      <c r="A7" s="4"/>
      <c r="B7" s="10"/>
      <c r="C7" s="11" t="s">
        <v>396</v>
      </c>
      <c r="D7" s="4"/>
    </row>
    <row r="8" spans="1:7" ht="13.5" customHeight="1" x14ac:dyDescent="0.25">
      <c r="A8" s="12"/>
      <c r="B8" s="12"/>
    </row>
    <row r="9" spans="1:7" x14ac:dyDescent="0.25">
      <c r="A9" s="13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283</v>
      </c>
      <c r="B10" s="13">
        <v>835</v>
      </c>
      <c r="C10" s="14" t="str">
        <f>+VLOOKUP(B10,[1]LISTE!$A$1:$D$431,4,FALSE)</f>
        <v>LAGRAS SADOK</v>
      </c>
      <c r="D10" s="14" t="s">
        <v>284</v>
      </c>
      <c r="E10" s="15">
        <v>45678</v>
      </c>
      <c r="F10" s="14" t="s">
        <v>23</v>
      </c>
      <c r="G10" s="16">
        <v>40</v>
      </c>
    </row>
    <row r="11" spans="1:7" x14ac:dyDescent="0.25">
      <c r="A11" s="13" t="s">
        <v>283</v>
      </c>
      <c r="B11" s="13">
        <v>835</v>
      </c>
      <c r="C11" s="14" t="str">
        <f>+VLOOKUP(B11,[1]LISTE!$A$1:$D$431,4,FALSE)</f>
        <v>LAGRAS SADOK</v>
      </c>
      <c r="D11" s="14" t="s">
        <v>284</v>
      </c>
      <c r="E11" s="15">
        <v>45678</v>
      </c>
      <c r="F11" s="14" t="s">
        <v>19</v>
      </c>
      <c r="G11" s="16">
        <v>14.573</v>
      </c>
    </row>
    <row r="12" spans="1:7" x14ac:dyDescent="0.25">
      <c r="A12" s="13" t="s">
        <v>283</v>
      </c>
      <c r="B12" s="13">
        <v>835</v>
      </c>
      <c r="C12" s="14" t="str">
        <f>+VLOOKUP(B12,[1]LISTE!$A$1:$D$431,4,FALSE)</f>
        <v>LAGRAS SADOK</v>
      </c>
      <c r="D12" s="15" t="s">
        <v>284</v>
      </c>
      <c r="E12" s="15">
        <v>45678</v>
      </c>
      <c r="F12" s="14" t="s">
        <v>20</v>
      </c>
      <c r="G12" s="16">
        <v>33.993000000000002</v>
      </c>
    </row>
    <row r="13" spans="1:7" x14ac:dyDescent="0.25">
      <c r="A13" s="13" t="s">
        <v>232</v>
      </c>
      <c r="B13" s="13">
        <v>978</v>
      </c>
      <c r="C13" s="14" t="str">
        <f>+VLOOKUP(B13,[1]LISTE!$A$1:$D$431,4,FALSE)</f>
        <v>GRAIET ADEL</v>
      </c>
      <c r="D13" s="14" t="s">
        <v>22</v>
      </c>
      <c r="E13" s="15">
        <v>45667</v>
      </c>
      <c r="F13" s="14" t="s">
        <v>23</v>
      </c>
      <c r="G13" s="16">
        <v>50</v>
      </c>
    </row>
    <row r="14" spans="1:7" x14ac:dyDescent="0.25">
      <c r="A14" s="13" t="s">
        <v>232</v>
      </c>
      <c r="B14" s="13">
        <v>978</v>
      </c>
      <c r="C14" s="14" t="str">
        <f>+VLOOKUP(B14,[1]LISTE!$A$1:$D$431,4,FALSE)</f>
        <v>GRAIET ADEL</v>
      </c>
      <c r="D14" s="15" t="s">
        <v>22</v>
      </c>
      <c r="E14" s="15">
        <v>45667</v>
      </c>
      <c r="F14" s="14" t="s">
        <v>20</v>
      </c>
      <c r="G14" s="16">
        <v>26.3</v>
      </c>
    </row>
    <row r="15" spans="1:7" x14ac:dyDescent="0.25">
      <c r="A15" s="13" t="s">
        <v>302</v>
      </c>
      <c r="B15" s="13">
        <v>990</v>
      </c>
      <c r="C15" s="14" t="str">
        <f>+VLOOKUP(B15,[1]LISTE!$A$1:$D$431,4,FALSE)</f>
        <v>GARDALLOU SAMIR</v>
      </c>
      <c r="D15" s="14" t="s">
        <v>303</v>
      </c>
      <c r="E15" s="15">
        <v>45674</v>
      </c>
      <c r="F15" s="14" t="s">
        <v>23</v>
      </c>
      <c r="G15" s="16">
        <v>20</v>
      </c>
    </row>
    <row r="16" spans="1:7" x14ac:dyDescent="0.25">
      <c r="A16" s="13" t="s">
        <v>302</v>
      </c>
      <c r="B16" s="13">
        <v>990</v>
      </c>
      <c r="C16" s="14" t="str">
        <f>+VLOOKUP(B16,[1]LISTE!$A$1:$D$431,4,FALSE)</f>
        <v>GARDALLOU SAMIR</v>
      </c>
      <c r="D16" s="14" t="s">
        <v>303</v>
      </c>
      <c r="E16" s="15">
        <v>45677</v>
      </c>
      <c r="F16" s="14" t="s">
        <v>18</v>
      </c>
      <c r="G16" s="16">
        <v>70</v>
      </c>
    </row>
    <row r="17" spans="1:7" x14ac:dyDescent="0.25">
      <c r="A17" s="13" t="s">
        <v>302</v>
      </c>
      <c r="B17" s="13">
        <v>990</v>
      </c>
      <c r="C17" s="14" t="str">
        <f>+VLOOKUP(B17,[1]LISTE!$A$1:$D$431,4,FALSE)</f>
        <v>GARDALLOU SAMIR</v>
      </c>
      <c r="D17" s="14" t="s">
        <v>303</v>
      </c>
      <c r="E17" s="15">
        <v>45677</v>
      </c>
      <c r="F17" s="14" t="s">
        <v>20</v>
      </c>
      <c r="G17" s="16">
        <v>161.03</v>
      </c>
    </row>
    <row r="18" spans="1:7" x14ac:dyDescent="0.25">
      <c r="A18" s="13" t="s">
        <v>302</v>
      </c>
      <c r="B18" s="13">
        <v>990</v>
      </c>
      <c r="C18" s="14" t="str">
        <f>+VLOOKUP(B18,[1]LISTE!$A$1:$D$431,4,FALSE)</f>
        <v>GARDALLOU SAMIR</v>
      </c>
      <c r="D18" s="14" t="s">
        <v>303</v>
      </c>
      <c r="E18" s="15">
        <v>45675</v>
      </c>
      <c r="F18" s="14" t="s">
        <v>21</v>
      </c>
      <c r="G18" s="16">
        <v>50</v>
      </c>
    </row>
    <row r="19" spans="1:7" x14ac:dyDescent="0.25">
      <c r="A19" s="13" t="s">
        <v>238</v>
      </c>
      <c r="B19" s="13">
        <v>1504</v>
      </c>
      <c r="C19" s="14" t="str">
        <f>+VLOOKUP(B19,[1]LISTE!$A$1:$D$431,4,FALSE)</f>
        <v>ABBADI HABIB</v>
      </c>
      <c r="D19" s="15" t="s">
        <v>22</v>
      </c>
      <c r="E19" s="15">
        <v>45670</v>
      </c>
      <c r="F19" s="14" t="s">
        <v>23</v>
      </c>
      <c r="G19" s="16">
        <v>50</v>
      </c>
    </row>
    <row r="20" spans="1:7" x14ac:dyDescent="0.25">
      <c r="A20" s="13" t="s">
        <v>238</v>
      </c>
      <c r="B20" s="13">
        <v>1504</v>
      </c>
      <c r="C20" s="14" t="str">
        <f>+VLOOKUP(B20,[1]LISTE!$A$1:$D$431,4,FALSE)</f>
        <v>ABBADI HABIB</v>
      </c>
      <c r="D20" s="15" t="s">
        <v>22</v>
      </c>
      <c r="E20" s="15">
        <v>45670</v>
      </c>
      <c r="F20" s="14" t="s">
        <v>20</v>
      </c>
      <c r="G20" s="16">
        <v>35.521999999999998</v>
      </c>
    </row>
    <row r="21" spans="1:7" x14ac:dyDescent="0.25">
      <c r="A21" s="13" t="s">
        <v>351</v>
      </c>
      <c r="B21" s="13">
        <v>1535</v>
      </c>
      <c r="C21" s="14" t="str">
        <f>+VLOOKUP(B21,[1]LISTE!$A$1:$D$431,4,FALSE)</f>
        <v>ROUIS LOTFI</v>
      </c>
      <c r="D21" s="14" t="s">
        <v>22</v>
      </c>
      <c r="E21" s="15">
        <v>45680</v>
      </c>
      <c r="F21" s="14" t="s">
        <v>20</v>
      </c>
      <c r="G21" s="16">
        <v>26.564</v>
      </c>
    </row>
    <row r="22" spans="1:7" x14ac:dyDescent="0.25">
      <c r="A22" s="13" t="s">
        <v>239</v>
      </c>
      <c r="B22" s="13">
        <v>1595</v>
      </c>
      <c r="C22" s="14" t="str">
        <f>+VLOOKUP(B22,[1]LISTE!$A$1:$D$431,4,FALSE)</f>
        <v>BEN SALEM FETHI</v>
      </c>
      <c r="D22" s="15" t="s">
        <v>240</v>
      </c>
      <c r="E22" s="15">
        <v>45671</v>
      </c>
      <c r="F22" s="14" t="s">
        <v>23</v>
      </c>
      <c r="G22" s="16">
        <v>10</v>
      </c>
    </row>
    <row r="23" spans="1:7" x14ac:dyDescent="0.25">
      <c r="A23" s="13" t="s">
        <v>239</v>
      </c>
      <c r="B23" s="13">
        <v>1595</v>
      </c>
      <c r="C23" s="14" t="str">
        <f>+VLOOKUP(B23,[1]LISTE!$A$1:$D$431,4,FALSE)</f>
        <v>BEN SALEM FETHI</v>
      </c>
      <c r="D23" s="14" t="s">
        <v>240</v>
      </c>
      <c r="E23" s="15">
        <v>45671</v>
      </c>
      <c r="F23" s="14" t="s">
        <v>20</v>
      </c>
      <c r="G23" s="16">
        <v>25.08</v>
      </c>
    </row>
    <row r="24" spans="1:7" x14ac:dyDescent="0.25">
      <c r="A24" s="13" t="s">
        <v>239</v>
      </c>
      <c r="B24" s="13">
        <v>1595</v>
      </c>
      <c r="C24" s="14" t="str">
        <f>+VLOOKUP(B24,[1]LISTE!$A$1:$D$431,4,FALSE)</f>
        <v>BEN SALEM FETHI</v>
      </c>
      <c r="D24" s="14" t="s">
        <v>240</v>
      </c>
      <c r="E24" s="15">
        <v>45670</v>
      </c>
      <c r="F24" s="14" t="s">
        <v>21</v>
      </c>
      <c r="G24" s="16">
        <v>36</v>
      </c>
    </row>
    <row r="25" spans="1:7" x14ac:dyDescent="0.25">
      <c r="A25" s="13" t="s">
        <v>382</v>
      </c>
      <c r="B25" s="13">
        <v>1595</v>
      </c>
      <c r="C25" s="14" t="str">
        <f>+VLOOKUP(B25,[1]LISTE!$A$1:$D$431,4,FALSE)</f>
        <v>BEN SALEM FETHI</v>
      </c>
      <c r="D25" s="14" t="s">
        <v>22</v>
      </c>
      <c r="E25" s="15">
        <v>45678</v>
      </c>
      <c r="F25" s="14" t="s">
        <v>23</v>
      </c>
      <c r="G25" s="16">
        <v>50</v>
      </c>
    </row>
    <row r="26" spans="1:7" x14ac:dyDescent="0.25">
      <c r="A26" s="13" t="s">
        <v>382</v>
      </c>
      <c r="B26" s="13">
        <v>1595</v>
      </c>
      <c r="C26" s="14" t="str">
        <f>+VLOOKUP(B26,[1]LISTE!$A$1:$D$431,4,FALSE)</f>
        <v>BEN SALEM FETHI</v>
      </c>
      <c r="D26" s="14" t="s">
        <v>22</v>
      </c>
      <c r="E26" s="15">
        <v>45682</v>
      </c>
      <c r="F26" s="14" t="s">
        <v>20</v>
      </c>
      <c r="G26" s="16">
        <v>4.55</v>
      </c>
    </row>
    <row r="27" spans="1:7" x14ac:dyDescent="0.25">
      <c r="A27" s="13" t="s">
        <v>382</v>
      </c>
      <c r="B27" s="13">
        <v>1595</v>
      </c>
      <c r="C27" s="14" t="str">
        <f>+VLOOKUP(B27,[1]LISTE!$A$1:$D$431,4,FALSE)</f>
        <v>BEN SALEM FETHI</v>
      </c>
      <c r="D27" s="14" t="s">
        <v>22</v>
      </c>
      <c r="E27" s="15">
        <v>45678</v>
      </c>
      <c r="F27" s="14" t="s">
        <v>20</v>
      </c>
      <c r="G27" s="16">
        <v>26.68</v>
      </c>
    </row>
    <row r="28" spans="1:7" x14ac:dyDescent="0.25">
      <c r="A28" s="13" t="s">
        <v>382</v>
      </c>
      <c r="B28" s="13">
        <v>1595</v>
      </c>
      <c r="C28" s="14" t="str">
        <f>+VLOOKUP(B28,[1]LISTE!$A$1:$D$431,4,FALSE)</f>
        <v>BEN SALEM FETHI</v>
      </c>
      <c r="D28" s="14" t="s">
        <v>22</v>
      </c>
      <c r="E28" s="15">
        <v>45681</v>
      </c>
      <c r="F28" s="14" t="s">
        <v>24</v>
      </c>
      <c r="G28" s="16">
        <v>50</v>
      </c>
    </row>
    <row r="29" spans="1:7" x14ac:dyDescent="0.25">
      <c r="A29" s="13" t="s">
        <v>321</v>
      </c>
      <c r="B29" s="13">
        <v>1596</v>
      </c>
      <c r="C29" s="14" t="str">
        <f>+VLOOKUP(B29,[1]LISTE!$A$1:$D$431,4,FALSE)</f>
        <v>GORCHENE NOUREDDINE</v>
      </c>
      <c r="D29" s="15" t="s">
        <v>322</v>
      </c>
      <c r="E29" s="15">
        <v>45675</v>
      </c>
      <c r="F29" s="14" t="s">
        <v>18</v>
      </c>
      <c r="G29" s="16">
        <v>70</v>
      </c>
    </row>
    <row r="30" spans="1:7" x14ac:dyDescent="0.25">
      <c r="A30" s="13" t="s">
        <v>321</v>
      </c>
      <c r="B30" s="13">
        <v>1596</v>
      </c>
      <c r="C30" s="14" t="str">
        <f>+VLOOKUP(B30,[1]LISTE!$A$1:$D$431,4,FALSE)</f>
        <v>GORCHENE NOUREDDINE</v>
      </c>
      <c r="D30" s="15" t="s">
        <v>322</v>
      </c>
      <c r="E30" s="15">
        <v>45676</v>
      </c>
      <c r="F30" s="14" t="s">
        <v>20</v>
      </c>
      <c r="G30" s="16">
        <v>65.97</v>
      </c>
    </row>
    <row r="31" spans="1:7" x14ac:dyDescent="0.25">
      <c r="A31" s="13" t="s">
        <v>235</v>
      </c>
      <c r="B31" s="13">
        <v>1601</v>
      </c>
      <c r="C31" s="14" t="str">
        <f>+VLOOKUP(B31,[1]LISTE!$A$1:$D$431,4,FALSE)</f>
        <v>BOUKADIDA JAMEL</v>
      </c>
      <c r="D31" s="15" t="s">
        <v>236</v>
      </c>
      <c r="E31" s="15">
        <v>45661</v>
      </c>
      <c r="F31" s="14" t="s">
        <v>18</v>
      </c>
      <c r="G31" s="16">
        <v>70</v>
      </c>
    </row>
    <row r="32" spans="1:7" x14ac:dyDescent="0.25">
      <c r="A32" s="13" t="s">
        <v>235</v>
      </c>
      <c r="B32" s="13">
        <v>1601</v>
      </c>
      <c r="C32" s="14" t="str">
        <f>+VLOOKUP(B32,[1]LISTE!$A$1:$D$431,4,FALSE)</f>
        <v>BOUKADIDA JAMEL</v>
      </c>
      <c r="D32" s="15" t="s">
        <v>236</v>
      </c>
      <c r="E32" s="15">
        <v>45661</v>
      </c>
      <c r="F32" s="14" t="s">
        <v>20</v>
      </c>
      <c r="G32" s="16">
        <v>35.801000000000002</v>
      </c>
    </row>
    <row r="33" spans="1:7" x14ac:dyDescent="0.25">
      <c r="A33" s="13" t="s">
        <v>307</v>
      </c>
      <c r="B33" s="13">
        <v>1616</v>
      </c>
      <c r="C33" s="14" t="str">
        <f>+VLOOKUP(B33,[1]LISTE!$A$1:$D$431,4,FALSE)</f>
        <v>MOUSSA FETHI</v>
      </c>
      <c r="D33" s="14" t="s">
        <v>117</v>
      </c>
      <c r="E33" s="15">
        <v>45672</v>
      </c>
      <c r="F33" s="14" t="s">
        <v>23</v>
      </c>
      <c r="G33" s="16">
        <v>50</v>
      </c>
    </row>
    <row r="34" spans="1:7" x14ac:dyDescent="0.25">
      <c r="A34" s="13" t="s">
        <v>307</v>
      </c>
      <c r="B34" s="13">
        <v>1616</v>
      </c>
      <c r="C34" s="14" t="str">
        <f>+VLOOKUP(B34,[1]LISTE!$A$1:$D$431,4,FALSE)</f>
        <v>MOUSSA FETHI</v>
      </c>
      <c r="D34" s="14" t="s">
        <v>117</v>
      </c>
      <c r="E34" s="15">
        <v>45675</v>
      </c>
      <c r="F34" s="14" t="s">
        <v>20</v>
      </c>
      <c r="G34" s="16">
        <v>26.774999999999999</v>
      </c>
    </row>
    <row r="35" spans="1:7" x14ac:dyDescent="0.25">
      <c r="A35" s="13" t="s">
        <v>258</v>
      </c>
      <c r="B35" s="13">
        <v>1619</v>
      </c>
      <c r="C35" s="14" t="str">
        <f>+VLOOKUP(B35,[1]LISTE!$A$1:$D$431,4,FALSE)</f>
        <v>CHTIOUI FETHI</v>
      </c>
      <c r="D35" s="14" t="s">
        <v>40</v>
      </c>
      <c r="E35" s="15">
        <v>45668</v>
      </c>
      <c r="F35" s="14" t="s">
        <v>23</v>
      </c>
      <c r="G35" s="16">
        <v>1.5</v>
      </c>
    </row>
    <row r="36" spans="1:7" x14ac:dyDescent="0.25">
      <c r="A36" s="13" t="s">
        <v>258</v>
      </c>
      <c r="B36" s="13">
        <v>1619</v>
      </c>
      <c r="C36" s="14" t="str">
        <f>+VLOOKUP(B36,[1]LISTE!$A$1:$D$431,4,FALSE)</f>
        <v>CHTIOUI FETHI</v>
      </c>
      <c r="D36" s="14" t="s">
        <v>40</v>
      </c>
      <c r="E36" s="15">
        <v>45670</v>
      </c>
      <c r="F36" s="14" t="s">
        <v>20</v>
      </c>
      <c r="G36" s="16">
        <v>79.125</v>
      </c>
    </row>
    <row r="37" spans="1:7" x14ac:dyDescent="0.25">
      <c r="A37" s="13" t="s">
        <v>257</v>
      </c>
      <c r="B37" s="13">
        <v>1625</v>
      </c>
      <c r="C37" s="14" t="str">
        <f>+VLOOKUP(B37,[1]LISTE!$A$1:$D$431,4,FALSE)</f>
        <v>HAMILA SAMIR</v>
      </c>
      <c r="D37" s="15" t="s">
        <v>22</v>
      </c>
      <c r="E37" s="15">
        <v>45668</v>
      </c>
      <c r="F37" s="14" t="s">
        <v>23</v>
      </c>
      <c r="G37" s="16">
        <v>40</v>
      </c>
    </row>
    <row r="38" spans="1:7" x14ac:dyDescent="0.25">
      <c r="A38" s="13" t="s">
        <v>257</v>
      </c>
      <c r="B38" s="13">
        <v>1625</v>
      </c>
      <c r="C38" s="14" t="str">
        <f>+VLOOKUP(B38,[1]LISTE!$A$1:$D$431,4,FALSE)</f>
        <v>HAMILA SAMIR</v>
      </c>
      <c r="D38" s="15" t="s">
        <v>22</v>
      </c>
      <c r="E38" s="15">
        <v>45668</v>
      </c>
      <c r="F38" s="14" t="s">
        <v>20</v>
      </c>
      <c r="G38" s="16">
        <v>24.481999999999999</v>
      </c>
    </row>
    <row r="39" spans="1:7" x14ac:dyDescent="0.25">
      <c r="A39" s="13" t="s">
        <v>287</v>
      </c>
      <c r="B39" s="13">
        <v>1664</v>
      </c>
      <c r="C39" s="14" t="str">
        <f>+VLOOKUP(B39,[1]LISTE!$A$1:$D$431,4,FALSE)</f>
        <v>BEN SAOUD SOFIANE</v>
      </c>
      <c r="D39" s="14" t="s">
        <v>22</v>
      </c>
      <c r="E39" s="15">
        <v>45677</v>
      </c>
      <c r="F39" s="14" t="s">
        <v>23</v>
      </c>
      <c r="G39" s="16">
        <v>30</v>
      </c>
    </row>
    <row r="40" spans="1:7" x14ac:dyDescent="0.25">
      <c r="A40" s="13" t="s">
        <v>287</v>
      </c>
      <c r="B40" s="13">
        <v>1664</v>
      </c>
      <c r="C40" s="14" t="str">
        <f>+VLOOKUP(B40,[1]LISTE!$A$1:$D$431,4,FALSE)</f>
        <v>BEN SAOUD SOFIANE</v>
      </c>
      <c r="D40" s="15" t="s">
        <v>22</v>
      </c>
      <c r="E40" s="15">
        <v>45678</v>
      </c>
      <c r="F40" s="14" t="s">
        <v>20</v>
      </c>
      <c r="G40" s="16">
        <v>40.790999999999997</v>
      </c>
    </row>
    <row r="41" spans="1:7" x14ac:dyDescent="0.25">
      <c r="A41" s="13" t="s">
        <v>288</v>
      </c>
      <c r="B41" s="13">
        <v>1664</v>
      </c>
      <c r="C41" s="14" t="str">
        <f>+VLOOKUP(B41,[1]LISTE!$A$1:$D$431,4,FALSE)</f>
        <v>BEN SAOUD SOFIANE</v>
      </c>
      <c r="D41" s="14" t="s">
        <v>31</v>
      </c>
      <c r="E41" s="15">
        <v>45677</v>
      </c>
      <c r="F41" s="14" t="s">
        <v>23</v>
      </c>
      <c r="G41" s="16">
        <v>30</v>
      </c>
    </row>
    <row r="42" spans="1:7" x14ac:dyDescent="0.25">
      <c r="A42" s="13" t="s">
        <v>288</v>
      </c>
      <c r="B42" s="13">
        <v>1664</v>
      </c>
      <c r="C42" s="14" t="str">
        <f>+VLOOKUP(B42,[1]LISTE!$A$1:$D$431,4,FALSE)</f>
        <v>BEN SAOUD SOFIANE</v>
      </c>
      <c r="D42" s="14" t="s">
        <v>31</v>
      </c>
      <c r="E42" s="15">
        <v>45678</v>
      </c>
      <c r="F42" s="14" t="s">
        <v>20</v>
      </c>
      <c r="G42" s="16">
        <v>40.984999999999999</v>
      </c>
    </row>
    <row r="43" spans="1:7" x14ac:dyDescent="0.25">
      <c r="A43" s="13" t="s">
        <v>384</v>
      </c>
      <c r="B43" s="13">
        <v>1666</v>
      </c>
      <c r="C43" s="14" t="str">
        <f>+VLOOKUP(B43,[1]LISTE!$A$1:$D$431,4,FALSE)</f>
        <v>BOUZIR SAHBI</v>
      </c>
      <c r="D43" s="14" t="s">
        <v>200</v>
      </c>
      <c r="E43" s="15">
        <v>45680</v>
      </c>
      <c r="F43" s="14" t="s">
        <v>18</v>
      </c>
      <c r="G43" s="16">
        <v>70</v>
      </c>
    </row>
    <row r="44" spans="1:7" x14ac:dyDescent="0.25">
      <c r="A44" s="13" t="s">
        <v>384</v>
      </c>
      <c r="B44" s="13">
        <v>1666</v>
      </c>
      <c r="C44" s="14" t="str">
        <f>+VLOOKUP(B44,[1]LISTE!$A$1:$D$431,4,FALSE)</f>
        <v>BOUZIR SAHBI</v>
      </c>
      <c r="D44" s="14" t="s">
        <v>200</v>
      </c>
      <c r="E44" s="15">
        <v>45681</v>
      </c>
      <c r="F44" s="14" t="s">
        <v>20</v>
      </c>
      <c r="G44" s="16">
        <v>11.433999999999999</v>
      </c>
    </row>
    <row r="45" spans="1:7" x14ac:dyDescent="0.25">
      <c r="A45" s="13" t="s">
        <v>384</v>
      </c>
      <c r="B45" s="13">
        <v>1666</v>
      </c>
      <c r="C45" s="14" t="str">
        <f>+VLOOKUP(B45,[1]LISTE!$A$1:$D$431,4,FALSE)</f>
        <v>BOUZIR SAHBI</v>
      </c>
      <c r="D45" s="14" t="s">
        <v>200</v>
      </c>
      <c r="E45" s="15">
        <v>45680</v>
      </c>
      <c r="F45" s="14" t="s">
        <v>21</v>
      </c>
      <c r="G45" s="16">
        <v>60</v>
      </c>
    </row>
    <row r="46" spans="1:7" x14ac:dyDescent="0.25">
      <c r="A46" s="13" t="s">
        <v>285</v>
      </c>
      <c r="B46" s="13">
        <v>1667</v>
      </c>
      <c r="C46" s="14" t="str">
        <f>+VLOOKUP(B46,[1]LISTE!$A$1:$D$431,4,FALSE)</f>
        <v>MRIZEK TAOUFIK</v>
      </c>
      <c r="D46" s="14" t="s">
        <v>286</v>
      </c>
      <c r="E46" s="15">
        <v>45678</v>
      </c>
      <c r="F46" s="14" t="s">
        <v>18</v>
      </c>
      <c r="G46" s="16">
        <v>70</v>
      </c>
    </row>
    <row r="47" spans="1:7" x14ac:dyDescent="0.25">
      <c r="A47" s="13" t="s">
        <v>285</v>
      </c>
      <c r="B47" s="13">
        <v>1667</v>
      </c>
      <c r="C47" s="14" t="str">
        <f>+VLOOKUP(B47,[1]LISTE!$A$1:$D$431,4,FALSE)</f>
        <v>MRIZEK TAOUFIK</v>
      </c>
      <c r="D47" s="14" t="s">
        <v>286</v>
      </c>
      <c r="E47" s="15">
        <v>45678</v>
      </c>
      <c r="F47" s="14" t="s">
        <v>20</v>
      </c>
      <c r="G47" s="16">
        <v>49.905999999999999</v>
      </c>
    </row>
    <row r="48" spans="1:7" x14ac:dyDescent="0.25">
      <c r="A48" s="13" t="s">
        <v>241</v>
      </c>
      <c r="B48" s="13">
        <v>1680</v>
      </c>
      <c r="C48" s="14" t="str">
        <f>+VLOOKUP(B48,[1]LISTE!$A$1:$D$431,4,FALSE)</f>
        <v>SASSI WALID</v>
      </c>
      <c r="D48" s="15" t="s">
        <v>242</v>
      </c>
      <c r="E48" s="15">
        <v>45670</v>
      </c>
      <c r="F48" s="14" t="s">
        <v>23</v>
      </c>
      <c r="G48" s="16">
        <v>50</v>
      </c>
    </row>
    <row r="49" spans="1:7" x14ac:dyDescent="0.25">
      <c r="A49" s="13" t="s">
        <v>241</v>
      </c>
      <c r="B49" s="13">
        <v>1680</v>
      </c>
      <c r="C49" s="14" t="str">
        <f>+VLOOKUP(B49,[1]LISTE!$A$1:$D$431,4,FALSE)</f>
        <v>SASSI WALID</v>
      </c>
      <c r="D49" s="14" t="s">
        <v>242</v>
      </c>
      <c r="E49" s="15">
        <v>45670</v>
      </c>
      <c r="F49" s="14" t="s">
        <v>20</v>
      </c>
      <c r="G49" s="16">
        <v>10.292999999999999</v>
      </c>
    </row>
    <row r="50" spans="1:7" x14ac:dyDescent="0.25">
      <c r="A50" s="13" t="s">
        <v>355</v>
      </c>
      <c r="B50" s="13">
        <v>1685</v>
      </c>
      <c r="C50" s="14" t="str">
        <f>+VLOOKUP(B50,[1]LISTE!$A$1:$D$431,4,FALSE)</f>
        <v>MAHJOUB MOHAMED KARIM</v>
      </c>
      <c r="D50" s="14" t="s">
        <v>356</v>
      </c>
      <c r="E50" s="15">
        <v>45683</v>
      </c>
      <c r="F50" s="14" t="s">
        <v>23</v>
      </c>
      <c r="G50" s="16">
        <v>3</v>
      </c>
    </row>
    <row r="51" spans="1:7" x14ac:dyDescent="0.25">
      <c r="A51" s="13" t="s">
        <v>355</v>
      </c>
      <c r="B51" s="13">
        <v>1685</v>
      </c>
      <c r="C51" s="14" t="str">
        <f>+VLOOKUP(B51,[1]LISTE!$A$1:$D$431,4,FALSE)</f>
        <v>MAHJOUB MOHAMED KARIM</v>
      </c>
      <c r="D51" s="14" t="s">
        <v>356</v>
      </c>
      <c r="E51" s="15">
        <v>45683</v>
      </c>
      <c r="F51" s="14" t="s">
        <v>20</v>
      </c>
      <c r="G51" s="16">
        <v>39.01</v>
      </c>
    </row>
    <row r="52" spans="1:7" x14ac:dyDescent="0.25">
      <c r="A52" s="13" t="s">
        <v>348</v>
      </c>
      <c r="B52" s="13">
        <v>1687</v>
      </c>
      <c r="C52" s="14" t="str">
        <f>+VLOOKUP(B52,[1]LISTE!$A$1:$D$431,4,FALSE)</f>
        <v>LACHHAB SAHBI</v>
      </c>
      <c r="D52" s="14" t="s">
        <v>349</v>
      </c>
      <c r="E52" s="15">
        <v>45674</v>
      </c>
      <c r="F52" s="14" t="s">
        <v>18</v>
      </c>
      <c r="G52" s="16">
        <v>70</v>
      </c>
    </row>
    <row r="53" spans="1:7" x14ac:dyDescent="0.25">
      <c r="A53" s="13" t="s">
        <v>348</v>
      </c>
      <c r="B53" s="13">
        <v>1687</v>
      </c>
      <c r="C53" s="14" t="str">
        <f>+VLOOKUP(B53,[1]LISTE!$A$1:$D$431,4,FALSE)</f>
        <v>LACHHAB SAHBI</v>
      </c>
      <c r="D53" s="14" t="s">
        <v>349</v>
      </c>
      <c r="E53" s="15">
        <v>45675</v>
      </c>
      <c r="F53" s="14" t="s">
        <v>21</v>
      </c>
      <c r="G53" s="16">
        <v>50</v>
      </c>
    </row>
    <row r="54" spans="1:7" x14ac:dyDescent="0.25">
      <c r="A54" s="13" t="s">
        <v>348</v>
      </c>
      <c r="B54" s="13">
        <v>1687</v>
      </c>
      <c r="C54" s="14" t="str">
        <f>+VLOOKUP(B54,[1]LISTE!$A$1:$D$431,4,FALSE)</f>
        <v>LACHHAB SAHBI</v>
      </c>
      <c r="D54" s="14" t="s">
        <v>349</v>
      </c>
      <c r="E54" s="15">
        <v>45680</v>
      </c>
      <c r="F54" s="14" t="s">
        <v>69</v>
      </c>
      <c r="G54" s="16">
        <v>990</v>
      </c>
    </row>
    <row r="55" spans="1:7" x14ac:dyDescent="0.25">
      <c r="A55" s="13" t="s">
        <v>269</v>
      </c>
      <c r="B55" s="13">
        <v>1695</v>
      </c>
      <c r="C55" s="14" t="str">
        <f>+VLOOKUP(B55,[1]LISTE!$A$1:$D$431,4,FALSE)</f>
        <v>BEN AROUS FOUED</v>
      </c>
      <c r="D55" s="15" t="s">
        <v>187</v>
      </c>
      <c r="E55" s="15">
        <v>45673</v>
      </c>
      <c r="F55" s="14" t="s">
        <v>23</v>
      </c>
      <c r="G55" s="16">
        <v>45</v>
      </c>
    </row>
    <row r="56" spans="1:7" x14ac:dyDescent="0.25">
      <c r="A56" s="13" t="s">
        <v>269</v>
      </c>
      <c r="B56" s="13">
        <v>1695</v>
      </c>
      <c r="C56" s="14" t="str">
        <f>+VLOOKUP(B56,[1]LISTE!$A$1:$D$431,4,FALSE)</f>
        <v>BEN AROUS FOUED</v>
      </c>
      <c r="D56" s="15" t="s">
        <v>187</v>
      </c>
      <c r="E56" s="15">
        <v>45673</v>
      </c>
      <c r="F56" s="14" t="s">
        <v>20</v>
      </c>
      <c r="G56" s="16">
        <v>26.529</v>
      </c>
    </row>
    <row r="57" spans="1:7" x14ac:dyDescent="0.25">
      <c r="A57" s="13" t="s">
        <v>280</v>
      </c>
      <c r="B57" s="13">
        <v>1702</v>
      </c>
      <c r="C57" s="14" t="str">
        <f>+VLOOKUP(B57,[1]LISTE!$A$1:$D$431,4,FALSE)</f>
        <v>JAIET WALID</v>
      </c>
      <c r="D57" s="14" t="s">
        <v>47</v>
      </c>
      <c r="E57" s="15">
        <v>45668</v>
      </c>
      <c r="F57" s="14" t="s">
        <v>23</v>
      </c>
      <c r="G57" s="16">
        <v>40</v>
      </c>
    </row>
    <row r="58" spans="1:7" x14ac:dyDescent="0.25">
      <c r="A58" s="13" t="s">
        <v>280</v>
      </c>
      <c r="B58" s="13">
        <v>1702</v>
      </c>
      <c r="C58" s="14" t="str">
        <f>+VLOOKUP(B58,[1]LISTE!$A$1:$D$431,4,FALSE)</f>
        <v>JAIET WALID</v>
      </c>
      <c r="D58" s="14" t="s">
        <v>47</v>
      </c>
      <c r="E58" s="15">
        <v>45668</v>
      </c>
      <c r="F58" s="14" t="s">
        <v>20</v>
      </c>
      <c r="G58" s="16">
        <v>71.55</v>
      </c>
    </row>
    <row r="59" spans="1:7" x14ac:dyDescent="0.25">
      <c r="A59" s="13" t="s">
        <v>281</v>
      </c>
      <c r="B59" s="13">
        <v>1702</v>
      </c>
      <c r="C59" s="14" t="str">
        <f>+VLOOKUP(B59,[1]LISTE!$A$1:$D$431,4,FALSE)</f>
        <v>JAIET WALID</v>
      </c>
      <c r="D59" s="15" t="s">
        <v>151</v>
      </c>
      <c r="E59" s="15">
        <v>45670</v>
      </c>
      <c r="F59" s="14" t="s">
        <v>23</v>
      </c>
      <c r="G59" s="16">
        <v>40</v>
      </c>
    </row>
    <row r="60" spans="1:7" x14ac:dyDescent="0.25">
      <c r="A60" s="13" t="s">
        <v>281</v>
      </c>
      <c r="B60" s="13">
        <v>1702</v>
      </c>
      <c r="C60" s="14" t="str">
        <f>+VLOOKUP(B60,[1]LISTE!$A$1:$D$431,4,FALSE)</f>
        <v>JAIET WALID</v>
      </c>
      <c r="D60" s="14" t="s">
        <v>151</v>
      </c>
      <c r="E60" s="15">
        <v>45670</v>
      </c>
      <c r="F60" s="14" t="s">
        <v>20</v>
      </c>
      <c r="G60" s="16">
        <v>75.234999999999999</v>
      </c>
    </row>
    <row r="61" spans="1:7" x14ac:dyDescent="0.25">
      <c r="A61" s="13" t="s">
        <v>297</v>
      </c>
      <c r="B61" s="13">
        <v>1702</v>
      </c>
      <c r="C61" s="14" t="str">
        <f>+VLOOKUP(B61,[1]LISTE!$A$1:$D$431,4,FALSE)</f>
        <v>JAIET WALID</v>
      </c>
      <c r="D61" s="15" t="s">
        <v>298</v>
      </c>
      <c r="E61" s="15">
        <v>45670</v>
      </c>
      <c r="F61" s="14" t="s">
        <v>23</v>
      </c>
      <c r="G61" s="16">
        <v>40</v>
      </c>
    </row>
    <row r="62" spans="1:7" x14ac:dyDescent="0.25">
      <c r="A62" s="13" t="s">
        <v>297</v>
      </c>
      <c r="B62" s="13">
        <v>1702</v>
      </c>
      <c r="C62" s="14" t="str">
        <f>+VLOOKUP(B62,[1]LISTE!$A$1:$D$431,4,FALSE)</f>
        <v>JAIET WALID</v>
      </c>
      <c r="D62" s="14" t="s">
        <v>298</v>
      </c>
      <c r="E62" s="15">
        <v>45670</v>
      </c>
      <c r="F62" s="14" t="s">
        <v>20</v>
      </c>
      <c r="G62" s="16">
        <v>75.754999999999995</v>
      </c>
    </row>
    <row r="63" spans="1:7" x14ac:dyDescent="0.25">
      <c r="A63" s="13" t="s">
        <v>299</v>
      </c>
      <c r="B63" s="13">
        <v>1702</v>
      </c>
      <c r="C63" s="14" t="str">
        <f>+VLOOKUP(B63,[1]LISTE!$A$1:$D$431,4,FALSE)</f>
        <v>JAIET WALID</v>
      </c>
      <c r="D63" s="14" t="s">
        <v>22</v>
      </c>
      <c r="E63" s="15">
        <v>45674</v>
      </c>
      <c r="F63" s="14" t="s">
        <v>23</v>
      </c>
      <c r="G63" s="16">
        <v>40</v>
      </c>
    </row>
    <row r="64" spans="1:7" x14ac:dyDescent="0.25">
      <c r="A64" s="13" t="s">
        <v>299</v>
      </c>
      <c r="B64" s="13">
        <v>1702</v>
      </c>
      <c r="C64" s="14" t="str">
        <f>+VLOOKUP(B64,[1]LISTE!$A$1:$D$431,4,FALSE)</f>
        <v>JAIET WALID</v>
      </c>
      <c r="D64" s="14" t="s">
        <v>22</v>
      </c>
      <c r="E64" s="15">
        <v>45674</v>
      </c>
      <c r="F64" s="14" t="s">
        <v>20</v>
      </c>
      <c r="G64" s="16">
        <v>77.619</v>
      </c>
    </row>
    <row r="65" spans="1:7" x14ac:dyDescent="0.25">
      <c r="A65" s="13" t="s">
        <v>244</v>
      </c>
      <c r="B65" s="13">
        <v>1704</v>
      </c>
      <c r="C65" s="14" t="str">
        <f>+VLOOKUP(B65,[1]LISTE!$A$1:$D$431,4,FALSE)</f>
        <v>EL GAZZAH RIADH</v>
      </c>
      <c r="D65" s="14" t="s">
        <v>245</v>
      </c>
      <c r="E65" s="15">
        <v>45670</v>
      </c>
      <c r="F65" s="14" t="s">
        <v>23</v>
      </c>
      <c r="G65" s="16">
        <v>20</v>
      </c>
    </row>
    <row r="66" spans="1:7" x14ac:dyDescent="0.25">
      <c r="A66" s="13" t="s">
        <v>244</v>
      </c>
      <c r="B66" s="13">
        <v>1704</v>
      </c>
      <c r="C66" s="14" t="str">
        <f>+VLOOKUP(B66,[1]LISTE!$A$1:$D$431,4,FALSE)</f>
        <v>EL GAZZAH RIADH</v>
      </c>
      <c r="D66" s="14" t="s">
        <v>245</v>
      </c>
      <c r="E66" s="15">
        <v>45670</v>
      </c>
      <c r="F66" s="14" t="s">
        <v>20</v>
      </c>
      <c r="G66" s="16">
        <v>10.071</v>
      </c>
    </row>
    <row r="67" spans="1:7" x14ac:dyDescent="0.25">
      <c r="A67" s="13" t="s">
        <v>320</v>
      </c>
      <c r="B67" s="13">
        <v>1707</v>
      </c>
      <c r="C67" s="14" t="str">
        <f>+VLOOKUP(B67,[1]LISTE!$A$1:$D$431,4,FALSE)</f>
        <v>MKHININI MOHAMED BEN SALAH</v>
      </c>
      <c r="D67" s="15" t="s">
        <v>303</v>
      </c>
      <c r="E67" s="15">
        <v>45677</v>
      </c>
      <c r="F67" s="14" t="s">
        <v>23</v>
      </c>
      <c r="G67" s="16">
        <v>45</v>
      </c>
    </row>
    <row r="68" spans="1:7" x14ac:dyDescent="0.25">
      <c r="A68" s="13" t="s">
        <v>320</v>
      </c>
      <c r="B68" s="13">
        <v>1707</v>
      </c>
      <c r="C68" s="14" t="str">
        <f>+VLOOKUP(B68,[1]LISTE!$A$1:$D$431,4,FALSE)</f>
        <v>MKHININI MOHAMED BEN SALAH</v>
      </c>
      <c r="D68" s="15" t="s">
        <v>303</v>
      </c>
      <c r="E68" s="15">
        <v>45677</v>
      </c>
      <c r="F68" s="14" t="s">
        <v>20</v>
      </c>
      <c r="G68" s="16">
        <v>60.844000000000001</v>
      </c>
    </row>
    <row r="69" spans="1:7" x14ac:dyDescent="0.25">
      <c r="A69" s="13" t="s">
        <v>275</v>
      </c>
      <c r="B69" s="13">
        <v>1709</v>
      </c>
      <c r="C69" s="14" t="str">
        <f>+VLOOKUP(B69,[1]LISTE!$A$1:$D$431,4,FALSE)</f>
        <v>MAJDOUB SAMI</v>
      </c>
      <c r="D69" s="15" t="s">
        <v>253</v>
      </c>
      <c r="E69" s="15">
        <v>45663</v>
      </c>
      <c r="F69" s="14" t="s">
        <v>23</v>
      </c>
      <c r="G69" s="16">
        <v>40</v>
      </c>
    </row>
    <row r="70" spans="1:7" x14ac:dyDescent="0.25">
      <c r="A70" s="13" t="s">
        <v>275</v>
      </c>
      <c r="B70" s="13">
        <v>1709</v>
      </c>
      <c r="C70" s="14" t="str">
        <f>+VLOOKUP(B70,[1]LISTE!$A$1:$D$431,4,FALSE)</f>
        <v>MAJDOUB SAMI</v>
      </c>
      <c r="D70" s="15" t="s">
        <v>253</v>
      </c>
      <c r="E70" s="15">
        <v>45663</v>
      </c>
      <c r="F70" s="14" t="s">
        <v>20</v>
      </c>
      <c r="G70" s="16">
        <v>5.38</v>
      </c>
    </row>
    <row r="71" spans="1:7" x14ac:dyDescent="0.25">
      <c r="A71" s="13" t="s">
        <v>272</v>
      </c>
      <c r="B71" s="13">
        <v>1716</v>
      </c>
      <c r="C71" s="14" t="s">
        <v>219</v>
      </c>
      <c r="D71" s="15" t="s">
        <v>44</v>
      </c>
      <c r="E71" s="15">
        <v>45664</v>
      </c>
      <c r="F71" s="14" t="s">
        <v>23</v>
      </c>
      <c r="G71" s="16">
        <v>50</v>
      </c>
    </row>
    <row r="72" spans="1:7" x14ac:dyDescent="0.25">
      <c r="A72" s="13" t="s">
        <v>272</v>
      </c>
      <c r="B72" s="13">
        <v>1716</v>
      </c>
      <c r="C72" s="14" t="s">
        <v>219</v>
      </c>
      <c r="D72" s="15" t="s">
        <v>44</v>
      </c>
      <c r="E72" s="15">
        <v>45668</v>
      </c>
      <c r="F72" s="14" t="s">
        <v>24</v>
      </c>
      <c r="G72" s="16">
        <v>270</v>
      </c>
    </row>
    <row r="73" spans="1:7" x14ac:dyDescent="0.25">
      <c r="A73" s="13" t="s">
        <v>376</v>
      </c>
      <c r="B73" s="13">
        <v>1747</v>
      </c>
      <c r="C73" s="14" t="str">
        <f>+VLOOKUP(B73,[1]LISTE!$A$1:$D$431,4,FALSE)</f>
        <v>BRAHIM THEMEUR</v>
      </c>
      <c r="D73" s="14" t="s">
        <v>377</v>
      </c>
      <c r="E73" s="15">
        <v>45679</v>
      </c>
      <c r="F73" s="14" t="s">
        <v>18</v>
      </c>
      <c r="G73" s="16">
        <v>60</v>
      </c>
    </row>
    <row r="74" spans="1:7" x14ac:dyDescent="0.25">
      <c r="A74" s="13" t="s">
        <v>376</v>
      </c>
      <c r="B74" s="13">
        <v>1747</v>
      </c>
      <c r="C74" s="14" t="str">
        <f>+VLOOKUP(B74,[1]LISTE!$A$1:$D$431,4,FALSE)</f>
        <v>BRAHIM THEMEUR</v>
      </c>
      <c r="D74" s="14" t="s">
        <v>377</v>
      </c>
      <c r="E74" s="15">
        <v>45679</v>
      </c>
      <c r="F74" s="14" t="s">
        <v>20</v>
      </c>
      <c r="G74" s="16">
        <v>37.719000000000001</v>
      </c>
    </row>
    <row r="75" spans="1:7" x14ac:dyDescent="0.25">
      <c r="A75" s="13" t="s">
        <v>378</v>
      </c>
      <c r="B75" s="13">
        <v>1747</v>
      </c>
      <c r="C75" s="14" t="str">
        <f>+VLOOKUP(B75,[1]LISTE!$A$1:$D$431,4,FALSE)</f>
        <v>BRAHIM THEMEUR</v>
      </c>
      <c r="D75" s="14" t="s">
        <v>379</v>
      </c>
      <c r="E75" s="15">
        <v>45679</v>
      </c>
      <c r="F75" s="14" t="s">
        <v>23</v>
      </c>
      <c r="G75" s="16">
        <v>60</v>
      </c>
    </row>
    <row r="76" spans="1:7" x14ac:dyDescent="0.25">
      <c r="A76" s="13" t="s">
        <v>378</v>
      </c>
      <c r="B76" s="13">
        <v>1747</v>
      </c>
      <c r="C76" s="14" t="str">
        <f>+VLOOKUP(B76,[1]LISTE!$A$1:$D$431,4,FALSE)</f>
        <v>BRAHIM THEMEUR</v>
      </c>
      <c r="D76" s="14" t="s">
        <v>379</v>
      </c>
      <c r="E76" s="15">
        <v>45679</v>
      </c>
      <c r="F76" s="14" t="s">
        <v>20</v>
      </c>
      <c r="G76" s="16">
        <v>46.764000000000003</v>
      </c>
    </row>
    <row r="77" spans="1:7" x14ac:dyDescent="0.25">
      <c r="A77" s="13" t="s">
        <v>390</v>
      </c>
      <c r="B77" s="13">
        <v>1756</v>
      </c>
      <c r="C77" s="14" t="str">
        <f>+VLOOKUP(B77,[1]LISTE!$A$1:$D$431,4,FALSE)</f>
        <v>SOUA FOUED</v>
      </c>
      <c r="D77" s="14" t="s">
        <v>22</v>
      </c>
      <c r="E77" s="15">
        <v>45680</v>
      </c>
      <c r="F77" s="14" t="s">
        <v>18</v>
      </c>
      <c r="G77" s="16">
        <v>60</v>
      </c>
    </row>
    <row r="78" spans="1:7" x14ac:dyDescent="0.25">
      <c r="A78" s="13" t="s">
        <v>390</v>
      </c>
      <c r="B78" s="13">
        <v>1756</v>
      </c>
      <c r="C78" s="14" t="str">
        <f>+VLOOKUP(B78,[1]LISTE!$A$1:$D$431,4,FALSE)</f>
        <v>SOUA FOUED</v>
      </c>
      <c r="D78" s="14" t="s">
        <v>22</v>
      </c>
      <c r="E78" s="15">
        <v>45680</v>
      </c>
      <c r="F78" s="14" t="s">
        <v>19</v>
      </c>
      <c r="G78" s="16">
        <v>157.61099999999999</v>
      </c>
    </row>
    <row r="79" spans="1:7" x14ac:dyDescent="0.25">
      <c r="A79" s="13" t="s">
        <v>390</v>
      </c>
      <c r="B79" s="13">
        <v>1756</v>
      </c>
      <c r="C79" s="14" t="str">
        <f>+VLOOKUP(B79,[1]LISTE!$A$1:$D$431,4,FALSE)</f>
        <v>SOUA FOUED</v>
      </c>
      <c r="D79" s="14" t="s">
        <v>22</v>
      </c>
      <c r="E79" s="15">
        <v>45680</v>
      </c>
      <c r="F79" s="14" t="s">
        <v>20</v>
      </c>
      <c r="G79" s="16">
        <v>50.445</v>
      </c>
    </row>
    <row r="80" spans="1:7" x14ac:dyDescent="0.25">
      <c r="A80" s="13" t="s">
        <v>250</v>
      </c>
      <c r="B80" s="13">
        <v>1767</v>
      </c>
      <c r="C80" s="14" t="str">
        <f>+VLOOKUP(B80,[1]LISTE!$A$1:$D$431,4,FALSE)</f>
        <v>B.H.SGHAIER NAOUFEL</v>
      </c>
      <c r="D80" s="14" t="s">
        <v>251</v>
      </c>
      <c r="E80" s="15">
        <v>45666</v>
      </c>
      <c r="F80" s="14" t="s">
        <v>18</v>
      </c>
      <c r="G80" s="16">
        <v>70</v>
      </c>
    </row>
    <row r="81" spans="1:7" x14ac:dyDescent="0.25">
      <c r="A81" s="13" t="s">
        <v>250</v>
      </c>
      <c r="B81" s="13">
        <v>1767</v>
      </c>
      <c r="C81" s="14" t="str">
        <f>+VLOOKUP(B81,[1]LISTE!$A$1:$D$431,4,FALSE)</f>
        <v>B.H.SGHAIER NAOUFEL</v>
      </c>
      <c r="D81" s="15" t="s">
        <v>251</v>
      </c>
      <c r="E81" s="15">
        <v>45670</v>
      </c>
      <c r="F81" s="14" t="s">
        <v>20</v>
      </c>
      <c r="G81" s="16">
        <v>57.35</v>
      </c>
    </row>
    <row r="82" spans="1:7" x14ac:dyDescent="0.25">
      <c r="A82" s="13" t="s">
        <v>282</v>
      </c>
      <c r="B82" s="13">
        <v>1781</v>
      </c>
      <c r="C82" s="14" t="str">
        <f>+VLOOKUP(B82,[1]LISTE!$A$1:$D$431,4,FALSE)</f>
        <v>KEMIMECH MOHAMED</v>
      </c>
      <c r="D82" s="14" t="s">
        <v>160</v>
      </c>
      <c r="E82" s="15">
        <v>45663</v>
      </c>
      <c r="F82" s="14" t="s">
        <v>20</v>
      </c>
      <c r="G82" s="16">
        <v>167.76</v>
      </c>
    </row>
    <row r="83" spans="1:7" x14ac:dyDescent="0.25">
      <c r="A83" s="13" t="s">
        <v>369</v>
      </c>
      <c r="B83" s="13">
        <v>1784</v>
      </c>
      <c r="C83" s="14" t="str">
        <f>+VLOOKUP(B83,[1]LISTE!$A$1:$D$431,4,FALSE)</f>
        <v>LAYOUNI KHALED</v>
      </c>
      <c r="D83" s="14" t="s">
        <v>22</v>
      </c>
      <c r="E83" s="15">
        <v>45671</v>
      </c>
      <c r="F83" s="14" t="s">
        <v>18</v>
      </c>
      <c r="G83" s="16">
        <v>70</v>
      </c>
    </row>
    <row r="84" spans="1:7" x14ac:dyDescent="0.25">
      <c r="A84" s="13" t="s">
        <v>369</v>
      </c>
      <c r="B84" s="13">
        <v>1784</v>
      </c>
      <c r="C84" s="14" t="str">
        <f>+VLOOKUP(B84,[1]LISTE!$A$1:$D$431,4,FALSE)</f>
        <v>LAYOUNI KHALED</v>
      </c>
      <c r="D84" s="14" t="s">
        <v>22</v>
      </c>
      <c r="E84" s="15">
        <v>45671</v>
      </c>
      <c r="F84" s="14" t="s">
        <v>20</v>
      </c>
      <c r="G84" s="16">
        <v>4.4950000000000001</v>
      </c>
    </row>
    <row r="85" spans="1:7" x14ac:dyDescent="0.25">
      <c r="A85" s="13" t="s">
        <v>237</v>
      </c>
      <c r="B85" s="13">
        <v>1789</v>
      </c>
      <c r="C85" s="14" t="str">
        <f>+VLOOKUP(B85,[1]LISTE!$A$1:$D$431,4,FALSE)</f>
        <v>CHIHI MOHAMED SALAH</v>
      </c>
      <c r="D85" s="15" t="s">
        <v>22</v>
      </c>
      <c r="E85" s="15">
        <v>45670</v>
      </c>
      <c r="F85" s="14" t="s">
        <v>18</v>
      </c>
      <c r="G85" s="16">
        <v>70</v>
      </c>
    </row>
    <row r="86" spans="1:7" x14ac:dyDescent="0.25">
      <c r="A86" s="13" t="s">
        <v>237</v>
      </c>
      <c r="B86" s="13">
        <v>1789</v>
      </c>
      <c r="C86" s="14" t="str">
        <f>+VLOOKUP(B86,[1]LISTE!$A$1:$D$431,4,FALSE)</f>
        <v>CHIHI MOHAMED SALAH</v>
      </c>
      <c r="D86" s="14" t="s">
        <v>22</v>
      </c>
      <c r="E86" s="15">
        <v>45670</v>
      </c>
      <c r="F86" s="14" t="s">
        <v>20</v>
      </c>
      <c r="G86" s="16">
        <v>24.82</v>
      </c>
    </row>
    <row r="87" spans="1:7" x14ac:dyDescent="0.25">
      <c r="A87" s="13" t="s">
        <v>237</v>
      </c>
      <c r="B87" s="13">
        <v>1789</v>
      </c>
      <c r="C87" s="14" t="str">
        <f>+VLOOKUP(B87,[1]LISTE!$A$1:$D$431,4,FALSE)</f>
        <v>CHIHI MOHAMED SALAH</v>
      </c>
      <c r="D87" s="15" t="s">
        <v>22</v>
      </c>
      <c r="E87" s="15">
        <v>45670</v>
      </c>
      <c r="F87" s="14" t="s">
        <v>21</v>
      </c>
      <c r="G87" s="16">
        <v>60</v>
      </c>
    </row>
    <row r="88" spans="1:7" x14ac:dyDescent="0.25">
      <c r="A88" s="13" t="s">
        <v>278</v>
      </c>
      <c r="B88" s="13">
        <v>1789</v>
      </c>
      <c r="C88" s="14" t="str">
        <f>+VLOOKUP(B88,[1]LISTE!$A$1:$D$431,4,FALSE)</f>
        <v>CHIHI MOHAMED SALAH</v>
      </c>
      <c r="D88" s="14" t="s">
        <v>279</v>
      </c>
      <c r="E88" s="15">
        <v>45674</v>
      </c>
      <c r="F88" s="14" t="s">
        <v>23</v>
      </c>
      <c r="G88" s="16">
        <v>3</v>
      </c>
    </row>
    <row r="89" spans="1:7" x14ac:dyDescent="0.25">
      <c r="A89" s="13" t="s">
        <v>278</v>
      </c>
      <c r="B89" s="13">
        <v>1789</v>
      </c>
      <c r="C89" s="14" t="str">
        <f>+VLOOKUP(B89,[1]LISTE!$A$1:$D$431,4,FALSE)</f>
        <v>CHIHI MOHAMED SALAH</v>
      </c>
      <c r="D89" s="15" t="s">
        <v>279</v>
      </c>
      <c r="E89" s="15">
        <v>45674</v>
      </c>
      <c r="F89" s="14" t="s">
        <v>20</v>
      </c>
      <c r="G89" s="16">
        <v>46.286999999999999</v>
      </c>
    </row>
    <row r="90" spans="1:7" x14ac:dyDescent="0.25">
      <c r="A90" s="13" t="s">
        <v>252</v>
      </c>
      <c r="B90" s="13">
        <v>1797</v>
      </c>
      <c r="C90" s="14" t="str">
        <f>+VLOOKUP(B90,[1]LISTE!$A$1:$D$431,4,FALSE)</f>
        <v>ABBADI MOHAMED</v>
      </c>
      <c r="D90" s="15" t="s">
        <v>253</v>
      </c>
      <c r="E90" s="15">
        <v>45661</v>
      </c>
      <c r="F90" s="14" t="s">
        <v>18</v>
      </c>
      <c r="G90" s="16">
        <v>70</v>
      </c>
    </row>
    <row r="91" spans="1:7" x14ac:dyDescent="0.25">
      <c r="A91" s="13" t="s">
        <v>252</v>
      </c>
      <c r="B91" s="13">
        <v>1797</v>
      </c>
      <c r="C91" s="14" t="str">
        <f>+VLOOKUP(B91,[1]LISTE!$A$1:$D$431,4,FALSE)</f>
        <v>ABBADI MOHAMED</v>
      </c>
      <c r="D91" s="14" t="s">
        <v>253</v>
      </c>
      <c r="E91" s="15">
        <v>45661</v>
      </c>
      <c r="F91" s="14" t="s">
        <v>20</v>
      </c>
      <c r="G91" s="16">
        <v>4.2450000000000001</v>
      </c>
    </row>
    <row r="92" spans="1:7" x14ac:dyDescent="0.25">
      <c r="A92" s="13" t="s">
        <v>254</v>
      </c>
      <c r="B92" s="13">
        <v>1809</v>
      </c>
      <c r="C92" s="14" t="str">
        <f>+VLOOKUP(B92,[1]LISTE!$A$1:$D$431,4,FALSE)</f>
        <v>JUILI AFIF</v>
      </c>
      <c r="D92" s="14" t="s">
        <v>144</v>
      </c>
      <c r="E92" s="15">
        <v>45667</v>
      </c>
      <c r="F92" s="14" t="s">
        <v>23</v>
      </c>
      <c r="G92" s="16">
        <v>40</v>
      </c>
    </row>
    <row r="93" spans="1:7" x14ac:dyDescent="0.25">
      <c r="A93" s="13" t="s">
        <v>254</v>
      </c>
      <c r="B93" s="13">
        <v>1809</v>
      </c>
      <c r="C93" s="14" t="str">
        <f>+VLOOKUP(B93,[1]LISTE!$A$1:$D$431,4,FALSE)</f>
        <v>JUILI AFIF</v>
      </c>
      <c r="D93" s="14" t="s">
        <v>144</v>
      </c>
      <c r="E93" s="15">
        <v>45667</v>
      </c>
      <c r="F93" s="14" t="s">
        <v>20</v>
      </c>
      <c r="G93" s="16">
        <v>64.89</v>
      </c>
    </row>
    <row r="94" spans="1:7" x14ac:dyDescent="0.25">
      <c r="A94" s="13" t="s">
        <v>300</v>
      </c>
      <c r="B94" s="13">
        <v>1819</v>
      </c>
      <c r="C94" s="14" t="str">
        <f>+VLOOKUP(B94,[1]LISTE!$A$1:$D$431,4,FALSE)</f>
        <v>SASSI MOHAMED WALID</v>
      </c>
      <c r="D94" s="14" t="s">
        <v>22</v>
      </c>
      <c r="E94" s="15">
        <v>45621</v>
      </c>
      <c r="F94" s="14" t="s">
        <v>18</v>
      </c>
      <c r="G94" s="16">
        <v>60</v>
      </c>
    </row>
    <row r="95" spans="1:7" x14ac:dyDescent="0.25">
      <c r="A95" s="13" t="s">
        <v>300</v>
      </c>
      <c r="B95" s="13">
        <v>1819</v>
      </c>
      <c r="C95" s="14" t="str">
        <f>+VLOOKUP(B95,[1]LISTE!$A$1:$D$431,4,FALSE)</f>
        <v>SASSI MOHAMED WALID</v>
      </c>
      <c r="D95" s="14" t="s">
        <v>22</v>
      </c>
      <c r="E95" s="15">
        <v>45674</v>
      </c>
      <c r="F95" s="14" t="s">
        <v>65</v>
      </c>
      <c r="G95" s="16">
        <v>600</v>
      </c>
    </row>
    <row r="96" spans="1:7" x14ac:dyDescent="0.25">
      <c r="A96" s="13" t="s">
        <v>393</v>
      </c>
      <c r="B96" s="13">
        <v>1827</v>
      </c>
      <c r="C96" s="14" t="str">
        <f>+VLOOKUP(B96,[1]LISTE!$A$1:$D$431,4,FALSE)</f>
        <v>CHTIOUI HAMADI</v>
      </c>
      <c r="D96" s="14" t="s">
        <v>394</v>
      </c>
      <c r="E96" s="15">
        <v>45675</v>
      </c>
      <c r="F96" s="14" t="s">
        <v>23</v>
      </c>
      <c r="G96" s="16">
        <v>50</v>
      </c>
    </row>
    <row r="97" spans="1:7" x14ac:dyDescent="0.25">
      <c r="A97" s="13" t="s">
        <v>393</v>
      </c>
      <c r="B97" s="13">
        <v>1827</v>
      </c>
      <c r="C97" s="14" t="str">
        <f>+VLOOKUP(B97,[1]LISTE!$A$1:$D$431,4,FALSE)</f>
        <v>CHTIOUI HAMADI</v>
      </c>
      <c r="D97" s="14" t="s">
        <v>394</v>
      </c>
      <c r="E97" s="15">
        <v>45683</v>
      </c>
      <c r="F97" s="14" t="s">
        <v>20</v>
      </c>
      <c r="G97" s="16">
        <v>3.11</v>
      </c>
    </row>
    <row r="98" spans="1:7" x14ac:dyDescent="0.25">
      <c r="A98" s="13" t="s">
        <v>393</v>
      </c>
      <c r="B98" s="13">
        <v>1827</v>
      </c>
      <c r="C98" s="14" t="str">
        <f>+VLOOKUP(B98,[1]LISTE!$A$1:$D$431,4,FALSE)</f>
        <v>CHTIOUI HAMADI</v>
      </c>
      <c r="D98" s="14" t="s">
        <v>394</v>
      </c>
      <c r="E98" s="15">
        <v>45681</v>
      </c>
      <c r="F98" s="14" t="s">
        <v>25</v>
      </c>
      <c r="G98" s="16">
        <v>260</v>
      </c>
    </row>
    <row r="99" spans="1:7" x14ac:dyDescent="0.25">
      <c r="A99" s="13" t="s">
        <v>233</v>
      </c>
      <c r="B99" s="13">
        <v>1830</v>
      </c>
      <c r="C99" s="14" t="str">
        <f>+VLOOKUP(B99,[1]LISTE!$A$1:$D$431,4,FALSE)</f>
        <v>LOURIMI ABDALLAH</v>
      </c>
      <c r="D99" s="15" t="s">
        <v>234</v>
      </c>
      <c r="E99" s="15">
        <v>45668</v>
      </c>
      <c r="F99" s="14" t="s">
        <v>18</v>
      </c>
      <c r="G99" s="16">
        <v>70</v>
      </c>
    </row>
    <row r="100" spans="1:7" x14ac:dyDescent="0.25">
      <c r="A100" s="13" t="s">
        <v>233</v>
      </c>
      <c r="B100" s="13">
        <v>1830</v>
      </c>
      <c r="C100" s="14" t="str">
        <f>+VLOOKUP(B100,[1]LISTE!$A$1:$D$431,4,FALSE)</f>
        <v>LOURIMI ABDALLAH</v>
      </c>
      <c r="D100" s="15" t="s">
        <v>234</v>
      </c>
      <c r="E100" s="15">
        <v>45668</v>
      </c>
      <c r="F100" s="14" t="s">
        <v>20</v>
      </c>
      <c r="G100" s="16">
        <v>16.427</v>
      </c>
    </row>
    <row r="101" spans="1:7" x14ac:dyDescent="0.25">
      <c r="A101" s="13" t="s">
        <v>333</v>
      </c>
      <c r="B101" s="13">
        <v>1830</v>
      </c>
      <c r="C101" s="14" t="str">
        <f>+VLOOKUP(B101,[1]LISTE!$A$1:$D$431,4,FALSE)</f>
        <v>LOURIMI ABDALLAH</v>
      </c>
      <c r="D101" s="14" t="s">
        <v>22</v>
      </c>
      <c r="E101" s="15">
        <v>45679</v>
      </c>
      <c r="F101" s="14" t="s">
        <v>23</v>
      </c>
      <c r="G101" s="16">
        <v>45</v>
      </c>
    </row>
    <row r="102" spans="1:7" x14ac:dyDescent="0.25">
      <c r="A102" s="13" t="s">
        <v>333</v>
      </c>
      <c r="B102" s="13">
        <v>1830</v>
      </c>
      <c r="C102" s="14" t="str">
        <f>+VLOOKUP(B102,[1]LISTE!$A$1:$D$431,4,FALSE)</f>
        <v>LOURIMI ABDALLAH</v>
      </c>
      <c r="D102" s="14" t="s">
        <v>22</v>
      </c>
      <c r="E102" s="15">
        <v>45679</v>
      </c>
      <c r="F102" s="14" t="s">
        <v>20</v>
      </c>
      <c r="G102" s="16">
        <v>40.99</v>
      </c>
    </row>
    <row r="103" spans="1:7" x14ac:dyDescent="0.25">
      <c r="A103" s="13" t="s">
        <v>346</v>
      </c>
      <c r="B103" s="13">
        <v>1830</v>
      </c>
      <c r="C103" s="14" t="str">
        <f>+VLOOKUP(B103,[1]LISTE!$A$1:$D$431,4,FALSE)</f>
        <v>LOURIMI ABDALLAH</v>
      </c>
      <c r="D103" s="14" t="s">
        <v>347</v>
      </c>
      <c r="E103" s="15">
        <v>45679</v>
      </c>
      <c r="F103" s="14" t="s">
        <v>23</v>
      </c>
      <c r="G103" s="16">
        <v>45</v>
      </c>
    </row>
    <row r="104" spans="1:7" x14ac:dyDescent="0.25">
      <c r="A104" s="13" t="s">
        <v>346</v>
      </c>
      <c r="B104" s="13">
        <v>1830</v>
      </c>
      <c r="C104" s="14" t="str">
        <f>+VLOOKUP(B104,[1]LISTE!$A$1:$D$431,4,FALSE)</f>
        <v>LOURIMI ABDALLAH</v>
      </c>
      <c r="D104" s="14" t="s">
        <v>347</v>
      </c>
      <c r="E104" s="15">
        <v>45679</v>
      </c>
      <c r="F104" s="14" t="s">
        <v>20</v>
      </c>
      <c r="G104" s="16">
        <v>23.195</v>
      </c>
    </row>
    <row r="105" spans="1:7" x14ac:dyDescent="0.25">
      <c r="A105" s="13" t="s">
        <v>346</v>
      </c>
      <c r="B105" s="13">
        <v>1830</v>
      </c>
      <c r="C105" s="14" t="str">
        <f>+VLOOKUP(B105,[1]LISTE!$A$1:$D$431,4,FALSE)</f>
        <v>LOURIMI ABDALLAH</v>
      </c>
      <c r="D105" s="14" t="s">
        <v>347</v>
      </c>
      <c r="E105" s="15">
        <v>45679</v>
      </c>
      <c r="F105" s="14" t="s">
        <v>65</v>
      </c>
      <c r="G105" s="16">
        <v>4</v>
      </c>
    </row>
    <row r="106" spans="1:7" x14ac:dyDescent="0.25">
      <c r="A106" s="13" t="s">
        <v>341</v>
      </c>
      <c r="B106" s="13">
        <v>1831</v>
      </c>
      <c r="C106" s="14" t="str">
        <f>+VLOOKUP(B106,[1]LISTE!$A$1:$D$431,4,FALSE)</f>
        <v>KEMIMECH MOHAMED BEN MOHAMED</v>
      </c>
      <c r="D106" s="14" t="s">
        <v>187</v>
      </c>
      <c r="E106" s="15">
        <v>45676</v>
      </c>
      <c r="F106" s="14" t="s">
        <v>23</v>
      </c>
      <c r="G106" s="16">
        <v>3</v>
      </c>
    </row>
    <row r="107" spans="1:7" x14ac:dyDescent="0.25">
      <c r="A107" s="13" t="s">
        <v>341</v>
      </c>
      <c r="B107" s="13">
        <v>1831</v>
      </c>
      <c r="C107" s="14" t="str">
        <f>+VLOOKUP(B107,[1]LISTE!$A$1:$D$431,4,FALSE)</f>
        <v>KEMIMECH MOHAMED BEN MOHAMED</v>
      </c>
      <c r="D107" s="14" t="s">
        <v>187</v>
      </c>
      <c r="E107" s="15">
        <v>45676</v>
      </c>
      <c r="F107" s="14" t="s">
        <v>20</v>
      </c>
      <c r="G107" s="16">
        <v>24.375</v>
      </c>
    </row>
    <row r="108" spans="1:7" x14ac:dyDescent="0.25">
      <c r="A108" s="13" t="s">
        <v>342</v>
      </c>
      <c r="B108" s="13">
        <v>1831</v>
      </c>
      <c r="C108" s="14" t="str">
        <f>+VLOOKUP(B108,[1]LISTE!$A$1:$D$431,4,FALSE)</f>
        <v>KEMIMECH MOHAMED BEN MOHAMED</v>
      </c>
      <c r="D108" s="14" t="s">
        <v>343</v>
      </c>
      <c r="E108" s="15">
        <v>45674</v>
      </c>
      <c r="F108" s="14" t="s">
        <v>23</v>
      </c>
      <c r="G108" s="16">
        <v>50</v>
      </c>
    </row>
    <row r="109" spans="1:7" x14ac:dyDescent="0.25">
      <c r="A109" s="13" t="s">
        <v>342</v>
      </c>
      <c r="B109" s="13">
        <v>1831</v>
      </c>
      <c r="C109" s="14" t="str">
        <f>+VLOOKUP(B109,[1]LISTE!$A$1:$D$431,4,FALSE)</f>
        <v>KEMIMECH MOHAMED BEN MOHAMED</v>
      </c>
      <c r="D109" s="14" t="s">
        <v>343</v>
      </c>
      <c r="E109" s="15">
        <v>45674</v>
      </c>
      <c r="F109" s="14" t="s">
        <v>20</v>
      </c>
      <c r="G109" s="16">
        <v>26.51</v>
      </c>
    </row>
    <row r="110" spans="1:7" x14ac:dyDescent="0.25">
      <c r="A110" s="13" t="s">
        <v>230</v>
      </c>
      <c r="B110" s="13">
        <v>1836</v>
      </c>
      <c r="C110" s="14" t="str">
        <f>+VLOOKUP(B110,[1]LISTE!$A$1:$D$431,4,FALSE)</f>
        <v>BEN KALIA LOTFI</v>
      </c>
      <c r="D110" s="14" t="s">
        <v>22</v>
      </c>
      <c r="E110" s="15">
        <v>45664</v>
      </c>
      <c r="F110" s="14" t="s">
        <v>23</v>
      </c>
      <c r="G110" s="16">
        <v>50</v>
      </c>
    </row>
    <row r="111" spans="1:7" x14ac:dyDescent="0.25">
      <c r="A111" s="13" t="s">
        <v>230</v>
      </c>
      <c r="B111" s="13">
        <v>1836</v>
      </c>
      <c r="C111" s="14" t="str">
        <f>+VLOOKUP(B111,[1]LISTE!$A$1:$D$431,4,FALSE)</f>
        <v>BEN KALIA LOTFI</v>
      </c>
      <c r="D111" s="14" t="s">
        <v>22</v>
      </c>
      <c r="E111" s="15">
        <v>45664</v>
      </c>
      <c r="F111" s="14" t="s">
        <v>20</v>
      </c>
      <c r="G111" s="16">
        <v>24.593</v>
      </c>
    </row>
    <row r="112" spans="1:7" x14ac:dyDescent="0.25">
      <c r="A112" s="13" t="s">
        <v>230</v>
      </c>
      <c r="B112" s="13">
        <v>1836</v>
      </c>
      <c r="C112" s="14" t="str">
        <f>+VLOOKUP(B112,[1]LISTE!$A$1:$D$431,4,FALSE)</f>
        <v>BEN KALIA LOTFI</v>
      </c>
      <c r="D112" s="14" t="s">
        <v>22</v>
      </c>
      <c r="E112" s="15">
        <v>45671</v>
      </c>
      <c r="F112" s="14" t="s">
        <v>24</v>
      </c>
      <c r="G112" s="16">
        <v>80</v>
      </c>
    </row>
    <row r="113" spans="1:7" x14ac:dyDescent="0.25">
      <c r="A113" s="13" t="s">
        <v>323</v>
      </c>
      <c r="B113" s="13">
        <v>1849</v>
      </c>
      <c r="C113" s="14" t="str">
        <f>+VLOOKUP(B113,[1]LISTE!$A$1:$D$431,4,FALSE)</f>
        <v>GANHOUBA MEHDI</v>
      </c>
      <c r="D113" s="15" t="s">
        <v>22</v>
      </c>
      <c r="E113" s="15">
        <v>45637</v>
      </c>
      <c r="F113" s="14" t="s">
        <v>20</v>
      </c>
      <c r="G113" s="16">
        <v>23.405000000000001</v>
      </c>
    </row>
    <row r="114" spans="1:7" x14ac:dyDescent="0.25">
      <c r="A114" s="13" t="s">
        <v>323</v>
      </c>
      <c r="B114" s="13">
        <v>1849</v>
      </c>
      <c r="C114" s="14" t="str">
        <f>+VLOOKUP(B114,[1]LISTE!$A$1:$D$431,4,FALSE)</f>
        <v>GANHOUBA MEHDI</v>
      </c>
      <c r="D114" s="15" t="s">
        <v>22</v>
      </c>
      <c r="E114" s="15">
        <v>45673</v>
      </c>
      <c r="F114" s="14" t="s">
        <v>24</v>
      </c>
      <c r="G114" s="16">
        <v>160</v>
      </c>
    </row>
    <row r="115" spans="1:7" x14ac:dyDescent="0.25">
      <c r="A115" s="13" t="s">
        <v>323</v>
      </c>
      <c r="B115" s="13">
        <v>1849</v>
      </c>
      <c r="C115" s="14" t="str">
        <f>+VLOOKUP(B115,[1]LISTE!$A$1:$D$431,4,FALSE)</f>
        <v>GANHOUBA MEHDI</v>
      </c>
      <c r="D115" s="15" t="s">
        <v>22</v>
      </c>
      <c r="E115" s="15">
        <v>45680</v>
      </c>
      <c r="F115" s="14" t="s">
        <v>25</v>
      </c>
      <c r="G115" s="16">
        <v>200</v>
      </c>
    </row>
    <row r="116" spans="1:7" x14ac:dyDescent="0.25">
      <c r="A116" s="13" t="s">
        <v>324</v>
      </c>
      <c r="B116" s="13">
        <v>1849</v>
      </c>
      <c r="C116" s="14" t="str">
        <f>+VLOOKUP(B116,[1]LISTE!$A$1:$D$431,4,FALSE)</f>
        <v>GANHOUBA MEHDI</v>
      </c>
      <c r="D116" s="15" t="s">
        <v>325</v>
      </c>
      <c r="E116" s="15">
        <v>45680</v>
      </c>
      <c r="F116" s="14" t="s">
        <v>23</v>
      </c>
      <c r="G116" s="16">
        <v>50</v>
      </c>
    </row>
    <row r="117" spans="1:7" x14ac:dyDescent="0.25">
      <c r="A117" s="13" t="s">
        <v>324</v>
      </c>
      <c r="B117" s="13">
        <v>1849</v>
      </c>
      <c r="C117" s="14" t="str">
        <f>+VLOOKUP(B117,[1]LISTE!$A$1:$D$431,4,FALSE)</f>
        <v>GANHOUBA MEHDI</v>
      </c>
      <c r="D117" s="15" t="s">
        <v>325</v>
      </c>
      <c r="E117" s="15">
        <v>45680</v>
      </c>
      <c r="F117" s="14" t="s">
        <v>20</v>
      </c>
      <c r="G117" s="16">
        <v>3.9350000000000001</v>
      </c>
    </row>
    <row r="118" spans="1:7" x14ac:dyDescent="0.25">
      <c r="A118" s="13" t="s">
        <v>294</v>
      </c>
      <c r="B118" s="13">
        <v>1856</v>
      </c>
      <c r="C118" s="14" t="str">
        <f>+VLOOKUP(B118,[1]LISTE!$A$1:$D$431,4,FALSE)</f>
        <v>ABDELLATIF MOHAMED ALI</v>
      </c>
      <c r="D118" s="15" t="s">
        <v>75</v>
      </c>
      <c r="E118" s="15">
        <v>45665</v>
      </c>
      <c r="F118" s="14" t="s">
        <v>23</v>
      </c>
      <c r="G118" s="16">
        <v>40</v>
      </c>
    </row>
    <row r="119" spans="1:7" x14ac:dyDescent="0.25">
      <c r="A119" s="13" t="s">
        <v>294</v>
      </c>
      <c r="B119" s="13">
        <v>1856</v>
      </c>
      <c r="C119" s="14" t="str">
        <f>+VLOOKUP(B119,[1]LISTE!$A$1:$D$431,4,FALSE)</f>
        <v>ABDELLATIF MOHAMED ALI</v>
      </c>
      <c r="D119" s="15" t="s">
        <v>75</v>
      </c>
      <c r="E119" s="15">
        <v>45665</v>
      </c>
      <c r="F119" s="14" t="s">
        <v>20</v>
      </c>
      <c r="G119" s="16">
        <v>72.715000000000003</v>
      </c>
    </row>
    <row r="120" spans="1:7" x14ac:dyDescent="0.25">
      <c r="A120" s="13" t="s">
        <v>295</v>
      </c>
      <c r="B120" s="13">
        <v>1856</v>
      </c>
      <c r="C120" s="14" t="str">
        <f>+VLOOKUP(B120,[1]LISTE!$A$1:$D$431,4,FALSE)</f>
        <v>ABDELLATIF MOHAMED ALI</v>
      </c>
      <c r="D120" s="15" t="s">
        <v>296</v>
      </c>
      <c r="E120" s="15">
        <v>45669</v>
      </c>
      <c r="F120" s="14" t="s">
        <v>23</v>
      </c>
      <c r="G120" s="16">
        <v>40</v>
      </c>
    </row>
    <row r="121" spans="1:7" x14ac:dyDescent="0.25">
      <c r="A121" s="13" t="s">
        <v>295</v>
      </c>
      <c r="B121" s="13">
        <v>1856</v>
      </c>
      <c r="C121" s="14" t="str">
        <f>+VLOOKUP(B121,[1]LISTE!$A$1:$D$431,4,FALSE)</f>
        <v>ABDELLATIF MOHAMED ALI</v>
      </c>
      <c r="D121" s="15" t="s">
        <v>296</v>
      </c>
      <c r="E121" s="15">
        <v>45669</v>
      </c>
      <c r="F121" s="14" t="s">
        <v>20</v>
      </c>
      <c r="G121" s="16">
        <v>74.775000000000006</v>
      </c>
    </row>
    <row r="122" spans="1:7" x14ac:dyDescent="0.25">
      <c r="A122" s="13" t="s">
        <v>328</v>
      </c>
      <c r="B122" s="13">
        <v>1856</v>
      </c>
      <c r="C122" s="14" t="str">
        <f>+VLOOKUP(B122,[1]LISTE!$A$1:$D$431,4,FALSE)</f>
        <v>ABDELLATIF MOHAMED ALI</v>
      </c>
      <c r="D122" s="15" t="s">
        <v>329</v>
      </c>
      <c r="E122" s="15">
        <v>45674</v>
      </c>
      <c r="F122" s="14" t="s">
        <v>23</v>
      </c>
      <c r="G122" s="16">
        <v>40</v>
      </c>
    </row>
    <row r="123" spans="1:7" x14ac:dyDescent="0.25">
      <c r="A123" s="13" t="s">
        <v>328</v>
      </c>
      <c r="B123" s="13">
        <v>1856</v>
      </c>
      <c r="C123" s="14" t="str">
        <f>+VLOOKUP(B123,[1]LISTE!$A$1:$D$431,4,FALSE)</f>
        <v>ABDELLATIF MOHAMED ALI</v>
      </c>
      <c r="D123" s="14" t="s">
        <v>329</v>
      </c>
      <c r="E123" s="15">
        <v>45674</v>
      </c>
      <c r="F123" s="14" t="s">
        <v>20</v>
      </c>
      <c r="G123" s="16">
        <v>70.302000000000007</v>
      </c>
    </row>
    <row r="124" spans="1:7" x14ac:dyDescent="0.25">
      <c r="A124" s="13" t="s">
        <v>330</v>
      </c>
      <c r="B124" s="13">
        <v>1856</v>
      </c>
      <c r="C124" s="14" t="str">
        <f>+VLOOKUP(B124,[1]LISTE!$A$1:$D$431,4,FALSE)</f>
        <v>ABDELLATIF MOHAMED ALI</v>
      </c>
      <c r="D124" s="14" t="s">
        <v>22</v>
      </c>
      <c r="E124" s="15">
        <v>45672</v>
      </c>
      <c r="F124" s="14" t="s">
        <v>23</v>
      </c>
      <c r="G124" s="16">
        <v>40</v>
      </c>
    </row>
    <row r="125" spans="1:7" x14ac:dyDescent="0.25">
      <c r="A125" s="13" t="s">
        <v>330</v>
      </c>
      <c r="B125" s="13">
        <v>1856</v>
      </c>
      <c r="C125" s="14" t="str">
        <f>+VLOOKUP(B125,[1]LISTE!$A$1:$D$431,4,FALSE)</f>
        <v>ABDELLATIF MOHAMED ALI</v>
      </c>
      <c r="D125" s="14" t="s">
        <v>22</v>
      </c>
      <c r="E125" s="15">
        <v>45672</v>
      </c>
      <c r="F125" s="14" t="s">
        <v>20</v>
      </c>
      <c r="G125" s="16">
        <v>73.27</v>
      </c>
    </row>
    <row r="126" spans="1:7" x14ac:dyDescent="0.25">
      <c r="A126" s="13" t="s">
        <v>331</v>
      </c>
      <c r="B126" s="13">
        <v>1860</v>
      </c>
      <c r="C126" s="14" t="str">
        <f>+VLOOKUP(B126,[1]LISTE!$A$1:$D$431,4,FALSE)</f>
        <v>KTAIEB FREDJ</v>
      </c>
      <c r="D126" s="14" t="s">
        <v>332</v>
      </c>
      <c r="E126" s="15">
        <v>45674</v>
      </c>
      <c r="F126" s="14" t="s">
        <v>18</v>
      </c>
      <c r="G126" s="16">
        <v>70</v>
      </c>
    </row>
    <row r="127" spans="1:7" x14ac:dyDescent="0.25">
      <c r="A127" s="13" t="s">
        <v>331</v>
      </c>
      <c r="B127" s="13">
        <v>1860</v>
      </c>
      <c r="C127" s="14" t="str">
        <f>+VLOOKUP(B127,[1]LISTE!$A$1:$D$431,4,FALSE)</f>
        <v>KTAIEB FREDJ</v>
      </c>
      <c r="D127" s="14" t="s">
        <v>332</v>
      </c>
      <c r="E127" s="15">
        <v>45674</v>
      </c>
      <c r="F127" s="14" t="s">
        <v>20</v>
      </c>
      <c r="G127" s="16">
        <v>4.3040000000000003</v>
      </c>
    </row>
    <row r="128" spans="1:7" x14ac:dyDescent="0.25">
      <c r="A128" s="13" t="s">
        <v>273</v>
      </c>
      <c r="B128" s="13">
        <v>1861</v>
      </c>
      <c r="C128" s="14" t="str">
        <f>+VLOOKUP(B128,[1]LISTE!$A$1:$D$431,4,FALSE)</f>
        <v>BOUHLEL ANIS BEN MUSTAPHA</v>
      </c>
      <c r="D128" s="14" t="s">
        <v>212</v>
      </c>
      <c r="E128" s="15">
        <v>45670</v>
      </c>
      <c r="F128" s="14" t="s">
        <v>23</v>
      </c>
      <c r="G128" s="16">
        <v>40</v>
      </c>
    </row>
    <row r="129" spans="1:7" x14ac:dyDescent="0.25">
      <c r="A129" s="13" t="s">
        <v>273</v>
      </c>
      <c r="B129" s="13">
        <v>1861</v>
      </c>
      <c r="C129" s="14" t="str">
        <f>+VLOOKUP(B129,[1]LISTE!$A$1:$D$431,4,FALSE)</f>
        <v>BOUHLEL ANIS BEN MUSTAPHA</v>
      </c>
      <c r="D129" s="15" t="s">
        <v>212</v>
      </c>
      <c r="E129" s="15">
        <v>45670</v>
      </c>
      <c r="F129" s="14" t="s">
        <v>20</v>
      </c>
      <c r="G129" s="16">
        <v>82.66</v>
      </c>
    </row>
    <row r="130" spans="1:7" x14ac:dyDescent="0.25">
      <c r="A130" s="13" t="s">
        <v>274</v>
      </c>
      <c r="B130" s="13">
        <v>1861</v>
      </c>
      <c r="C130" s="14" t="str">
        <f>+VLOOKUP(B130,[1]LISTE!$A$1:$D$431,4,FALSE)</f>
        <v>BOUHLEL ANIS BEN MUSTAPHA</v>
      </c>
      <c r="D130" s="15" t="s">
        <v>22</v>
      </c>
      <c r="E130" s="15">
        <v>45672</v>
      </c>
      <c r="F130" s="14" t="s">
        <v>23</v>
      </c>
      <c r="G130" s="16">
        <v>40</v>
      </c>
    </row>
    <row r="131" spans="1:7" x14ac:dyDescent="0.25">
      <c r="A131" s="13" t="s">
        <v>274</v>
      </c>
      <c r="B131" s="13">
        <v>1861</v>
      </c>
      <c r="C131" s="14" t="str">
        <f>+VLOOKUP(B131,[1]LISTE!$A$1:$D$431,4,FALSE)</f>
        <v>BOUHLEL ANIS BEN MUSTAPHA</v>
      </c>
      <c r="D131" s="15" t="s">
        <v>22</v>
      </c>
      <c r="E131" s="15">
        <v>45672</v>
      </c>
      <c r="F131" s="14" t="s">
        <v>20</v>
      </c>
      <c r="G131" s="16">
        <v>51.45</v>
      </c>
    </row>
    <row r="132" spans="1:7" x14ac:dyDescent="0.25">
      <c r="A132" s="13" t="s">
        <v>313</v>
      </c>
      <c r="B132" s="13">
        <v>1876</v>
      </c>
      <c r="C132" s="14" t="str">
        <f>+VLOOKUP(B132,[1]LISTE!$A$1:$D$431,4,FALSE)</f>
        <v>LADHERI SAMI</v>
      </c>
      <c r="D132" s="15" t="s">
        <v>22</v>
      </c>
      <c r="E132" s="15">
        <v>45671</v>
      </c>
      <c r="F132" s="14" t="s">
        <v>23</v>
      </c>
      <c r="G132" s="16">
        <v>50</v>
      </c>
    </row>
    <row r="133" spans="1:7" x14ac:dyDescent="0.25">
      <c r="A133" s="13" t="s">
        <v>313</v>
      </c>
      <c r="B133" s="13">
        <v>1876</v>
      </c>
      <c r="C133" s="14" t="str">
        <f>+VLOOKUP(B133,[1]LISTE!$A$1:$D$431,4,FALSE)</f>
        <v>LADHERI SAMI</v>
      </c>
      <c r="D133" s="14" t="s">
        <v>22</v>
      </c>
      <c r="E133" s="15">
        <v>45671</v>
      </c>
      <c r="F133" s="14" t="s">
        <v>20</v>
      </c>
      <c r="G133" s="16">
        <v>39.195</v>
      </c>
    </row>
    <row r="134" spans="1:7" x14ac:dyDescent="0.25">
      <c r="A134" s="13" t="s">
        <v>313</v>
      </c>
      <c r="B134" s="13">
        <v>1876</v>
      </c>
      <c r="C134" s="14" t="str">
        <f>+VLOOKUP(B134,[1]LISTE!$A$1:$D$431,4,FALSE)</f>
        <v>LADHERI SAMI</v>
      </c>
      <c r="D134" s="15" t="s">
        <v>22</v>
      </c>
      <c r="E134" s="15">
        <v>45671</v>
      </c>
      <c r="F134" s="14" t="s">
        <v>21</v>
      </c>
      <c r="G134" s="16">
        <v>70</v>
      </c>
    </row>
    <row r="135" spans="1:7" x14ac:dyDescent="0.25">
      <c r="A135" s="13" t="s">
        <v>391</v>
      </c>
      <c r="B135" s="13">
        <v>1876</v>
      </c>
      <c r="C135" s="14" t="str">
        <f>+VLOOKUP(B135,[1]LISTE!$A$1:$D$431,4,FALSE)</f>
        <v>LADHERI SAMI</v>
      </c>
      <c r="D135" s="14" t="s">
        <v>361</v>
      </c>
      <c r="E135" s="15">
        <v>45681</v>
      </c>
      <c r="F135" s="14" t="s">
        <v>19</v>
      </c>
      <c r="G135" s="16">
        <v>30.5</v>
      </c>
    </row>
    <row r="136" spans="1:7" x14ac:dyDescent="0.25">
      <c r="A136" s="13" t="s">
        <v>391</v>
      </c>
      <c r="B136" s="13">
        <v>1876</v>
      </c>
      <c r="C136" s="14" t="str">
        <f>+VLOOKUP(B136,[1]LISTE!$A$1:$D$431,4,FALSE)</f>
        <v>LADHERI SAMI</v>
      </c>
      <c r="D136" s="14" t="s">
        <v>361</v>
      </c>
      <c r="E136" s="15">
        <v>45681</v>
      </c>
      <c r="F136" s="14" t="s">
        <v>20</v>
      </c>
      <c r="G136" s="16">
        <v>30.132999999999999</v>
      </c>
    </row>
    <row r="137" spans="1:7" x14ac:dyDescent="0.25">
      <c r="A137" s="13" t="s">
        <v>276</v>
      </c>
      <c r="B137" s="13">
        <v>1882</v>
      </c>
      <c r="C137" s="14" t="str">
        <f>+VLOOKUP(B137,[1]LISTE!$A$1:$D$431,4,FALSE)</f>
        <v>AMARA SOFIANE</v>
      </c>
      <c r="D137" s="14" t="s">
        <v>277</v>
      </c>
      <c r="E137" s="15">
        <v>45677</v>
      </c>
      <c r="F137" s="14" t="s">
        <v>23</v>
      </c>
      <c r="G137" s="16">
        <v>40</v>
      </c>
    </row>
    <row r="138" spans="1:7" x14ac:dyDescent="0.25">
      <c r="A138" s="13" t="s">
        <v>276</v>
      </c>
      <c r="B138" s="13">
        <v>1882</v>
      </c>
      <c r="C138" s="14" t="str">
        <f>+VLOOKUP(B138,[1]LISTE!$A$1:$D$431,4,FALSE)</f>
        <v>AMARA SOFIANE</v>
      </c>
      <c r="D138" s="14" t="s">
        <v>277</v>
      </c>
      <c r="E138" s="15">
        <v>45677</v>
      </c>
      <c r="F138" s="14" t="s">
        <v>20</v>
      </c>
      <c r="G138" s="16">
        <v>56.14</v>
      </c>
    </row>
    <row r="139" spans="1:7" x14ac:dyDescent="0.25">
      <c r="A139" s="13" t="s">
        <v>392</v>
      </c>
      <c r="B139" s="13">
        <v>1896</v>
      </c>
      <c r="C139" s="14" t="str">
        <f>+VLOOKUP(B139,[1]LISTE!$A$1:$D$431,4,FALSE)</f>
        <v>LAJIMI ABDELKADER</v>
      </c>
      <c r="D139" s="14" t="s">
        <v>22</v>
      </c>
      <c r="E139" s="15">
        <v>45682</v>
      </c>
      <c r="F139" s="14" t="s">
        <v>23</v>
      </c>
      <c r="G139" s="16">
        <v>15</v>
      </c>
    </row>
    <row r="140" spans="1:7" x14ac:dyDescent="0.25">
      <c r="A140" s="13" t="s">
        <v>392</v>
      </c>
      <c r="B140" s="13">
        <v>1896</v>
      </c>
      <c r="C140" s="14" t="str">
        <f>+VLOOKUP(B140,[1]LISTE!$A$1:$D$431,4,FALSE)</f>
        <v>LAJIMI ABDELKADER</v>
      </c>
      <c r="D140" s="14" t="s">
        <v>22</v>
      </c>
      <c r="E140" s="15">
        <v>45682</v>
      </c>
      <c r="F140" s="14" t="s">
        <v>20</v>
      </c>
      <c r="G140" s="16">
        <v>11.288</v>
      </c>
    </row>
    <row r="141" spans="1:7" x14ac:dyDescent="0.25">
      <c r="A141" s="13" t="s">
        <v>339</v>
      </c>
      <c r="B141" s="13">
        <v>1901</v>
      </c>
      <c r="C141" s="14" t="str">
        <f>+VLOOKUP(B141,[1]LISTE!$A$1:$D$431,4,FALSE)</f>
        <v>BACH ZOUHAIER</v>
      </c>
      <c r="D141" s="14" t="s">
        <v>340</v>
      </c>
      <c r="E141" s="15">
        <v>45680</v>
      </c>
      <c r="F141" s="14" t="s">
        <v>18</v>
      </c>
      <c r="G141" s="16">
        <v>70</v>
      </c>
    </row>
    <row r="142" spans="1:7" x14ac:dyDescent="0.25">
      <c r="A142" s="13" t="s">
        <v>339</v>
      </c>
      <c r="B142" s="13">
        <v>1901</v>
      </c>
      <c r="C142" s="14" t="str">
        <f>+VLOOKUP(B142,[1]LISTE!$A$1:$D$431,4,FALSE)</f>
        <v>BACH ZOUHAIER</v>
      </c>
      <c r="D142" s="14" t="s">
        <v>340</v>
      </c>
      <c r="E142" s="15">
        <v>45680</v>
      </c>
      <c r="F142" s="14" t="s">
        <v>20</v>
      </c>
      <c r="G142" s="16">
        <v>54.744999999999997</v>
      </c>
    </row>
    <row r="143" spans="1:7" x14ac:dyDescent="0.25">
      <c r="A143" s="13" t="s">
        <v>231</v>
      </c>
      <c r="B143" s="13">
        <v>1905</v>
      </c>
      <c r="C143" s="14" t="str">
        <f>+VLOOKUP(B143,[1]LISTE!$A$1:$D$431,4,FALSE)</f>
        <v>LADHARI MOHAMED</v>
      </c>
      <c r="D143" s="14" t="s">
        <v>200</v>
      </c>
      <c r="E143" s="15">
        <v>45668</v>
      </c>
      <c r="F143" s="14" t="s">
        <v>23</v>
      </c>
      <c r="G143" s="16">
        <v>50</v>
      </c>
    </row>
    <row r="144" spans="1:7" x14ac:dyDescent="0.25">
      <c r="A144" s="13" t="s">
        <v>231</v>
      </c>
      <c r="B144" s="13">
        <v>1905</v>
      </c>
      <c r="C144" s="14" t="str">
        <f>+VLOOKUP(B144,[1]LISTE!$A$1:$D$431,4,FALSE)</f>
        <v>LADHARI MOHAMED</v>
      </c>
      <c r="D144" s="15" t="s">
        <v>200</v>
      </c>
      <c r="E144" s="15">
        <v>45668</v>
      </c>
      <c r="F144" s="14" t="s">
        <v>20</v>
      </c>
      <c r="G144" s="16">
        <v>36.805</v>
      </c>
    </row>
    <row r="145" spans="1:7" x14ac:dyDescent="0.25">
      <c r="A145" s="13" t="s">
        <v>291</v>
      </c>
      <c r="B145" s="13">
        <v>1910</v>
      </c>
      <c r="C145" s="14" t="str">
        <f>+VLOOKUP(B145,[1]LISTE!$A$1:$D$431,4,FALSE)</f>
        <v>YOUSFI MEHDI</v>
      </c>
      <c r="D145" s="14" t="s">
        <v>292</v>
      </c>
      <c r="E145" s="15">
        <v>45678</v>
      </c>
      <c r="F145" s="14" t="s">
        <v>18</v>
      </c>
      <c r="G145" s="16">
        <v>70</v>
      </c>
    </row>
    <row r="146" spans="1:7" x14ac:dyDescent="0.25">
      <c r="A146" s="13" t="s">
        <v>291</v>
      </c>
      <c r="B146" s="13">
        <v>1910</v>
      </c>
      <c r="C146" s="14" t="str">
        <f>+VLOOKUP(B146,[1]LISTE!$A$1:$D$431,4,FALSE)</f>
        <v>YOUSFI MEHDI</v>
      </c>
      <c r="D146" s="14" t="s">
        <v>292</v>
      </c>
      <c r="E146" s="15">
        <v>45678</v>
      </c>
      <c r="F146" s="14" t="s">
        <v>20</v>
      </c>
      <c r="G146" s="16">
        <v>196.67</v>
      </c>
    </row>
    <row r="147" spans="1:7" x14ac:dyDescent="0.25">
      <c r="A147" s="13" t="s">
        <v>293</v>
      </c>
      <c r="B147" s="13">
        <v>1910</v>
      </c>
      <c r="C147" s="14" t="str">
        <f>+VLOOKUP(B147,[1]LISTE!$A$1:$D$431,4,FALSE)</f>
        <v>YOUSFI MEHDI</v>
      </c>
      <c r="D147" s="15" t="s">
        <v>22</v>
      </c>
      <c r="E147" s="15">
        <v>45678</v>
      </c>
      <c r="F147" s="14" t="s">
        <v>18</v>
      </c>
      <c r="G147" s="16">
        <v>80</v>
      </c>
    </row>
    <row r="148" spans="1:7" x14ac:dyDescent="0.25">
      <c r="A148" s="13" t="s">
        <v>293</v>
      </c>
      <c r="B148" s="13">
        <v>1910</v>
      </c>
      <c r="C148" s="14" t="str">
        <f>+VLOOKUP(B148,[1]LISTE!$A$1:$D$431,4,FALSE)</f>
        <v>YOUSFI MEHDI</v>
      </c>
      <c r="D148" s="15" t="s">
        <v>22</v>
      </c>
      <c r="E148" s="15">
        <v>45678</v>
      </c>
      <c r="F148" s="14" t="s">
        <v>20</v>
      </c>
      <c r="G148" s="16">
        <v>15.68</v>
      </c>
    </row>
    <row r="149" spans="1:7" x14ac:dyDescent="0.25">
      <c r="A149" s="13" t="s">
        <v>310</v>
      </c>
      <c r="B149" s="13">
        <v>1915</v>
      </c>
      <c r="C149" s="14" t="str">
        <f>+VLOOKUP(B149,[1]LISTE!$A$1:$D$431,4,FALSE)</f>
        <v>BEN ABDALLAH MOHAMED SALAH</v>
      </c>
      <c r="D149" s="14" t="s">
        <v>311</v>
      </c>
      <c r="E149" s="15">
        <v>45668</v>
      </c>
      <c r="F149" s="14" t="s">
        <v>312</v>
      </c>
      <c r="G149" s="16">
        <v>250</v>
      </c>
    </row>
    <row r="150" spans="1:7" x14ac:dyDescent="0.25">
      <c r="A150" s="13" t="s">
        <v>243</v>
      </c>
      <c r="B150" s="13">
        <v>1918</v>
      </c>
      <c r="C150" s="14" t="str">
        <f>+VLOOKUP(B150,[1]LISTE!$A$1:$D$431,4,FALSE)</f>
        <v>BOURIGUA MOHAMED ALI</v>
      </c>
      <c r="D150" s="15" t="s">
        <v>163</v>
      </c>
      <c r="E150" s="15">
        <v>45667</v>
      </c>
      <c r="F150" s="14" t="s">
        <v>23</v>
      </c>
      <c r="G150" s="16">
        <v>7</v>
      </c>
    </row>
    <row r="151" spans="1:7" x14ac:dyDescent="0.25">
      <c r="A151" s="13" t="s">
        <v>243</v>
      </c>
      <c r="B151" s="13">
        <v>1918</v>
      </c>
      <c r="C151" s="14" t="str">
        <f>+VLOOKUP(B151,[1]LISTE!$A$1:$D$431,4,FALSE)</f>
        <v>BOURIGUA MOHAMED ALI</v>
      </c>
      <c r="D151" s="15" t="s">
        <v>163</v>
      </c>
      <c r="E151" s="15">
        <v>45667</v>
      </c>
      <c r="F151" s="14" t="s">
        <v>20</v>
      </c>
      <c r="G151" s="16">
        <v>22.1</v>
      </c>
    </row>
    <row r="152" spans="1:7" x14ac:dyDescent="0.25">
      <c r="A152" s="13" t="s">
        <v>350</v>
      </c>
      <c r="B152" s="13">
        <v>1969</v>
      </c>
      <c r="C152" s="14" t="str">
        <f>+VLOOKUP(B152,[1]LISTE!$A$1:$D$431,4,FALSE)</f>
        <v>BOUKADDIDA MEHREZ</v>
      </c>
      <c r="D152" s="14" t="s">
        <v>22</v>
      </c>
      <c r="E152" s="15">
        <v>45668</v>
      </c>
      <c r="F152" s="14" t="s">
        <v>18</v>
      </c>
      <c r="G152" s="16">
        <v>70</v>
      </c>
    </row>
    <row r="153" spans="1:7" x14ac:dyDescent="0.25">
      <c r="A153" s="13" t="s">
        <v>350</v>
      </c>
      <c r="B153" s="13">
        <v>1969</v>
      </c>
      <c r="C153" s="14" t="str">
        <f>+VLOOKUP(B153,[1]LISTE!$A$1:$D$431,4,FALSE)</f>
        <v>BOUKADDIDA MEHREZ</v>
      </c>
      <c r="D153" s="14" t="s">
        <v>22</v>
      </c>
      <c r="E153" s="15">
        <v>45668</v>
      </c>
      <c r="F153" s="14" t="s">
        <v>20</v>
      </c>
      <c r="G153" s="16">
        <v>12.734999999999999</v>
      </c>
    </row>
    <row r="154" spans="1:7" x14ac:dyDescent="0.25">
      <c r="A154" s="13" t="s">
        <v>262</v>
      </c>
      <c r="B154" s="13">
        <v>2013</v>
      </c>
      <c r="C154" s="14" t="str">
        <f>+VLOOKUP(B154,[1]LISTE!$A$1:$D$431,4,FALSE)</f>
        <v>BEL HADJ ALI MOHAMED ALI</v>
      </c>
      <c r="D154" s="15" t="s">
        <v>186</v>
      </c>
      <c r="E154" s="15">
        <v>45675</v>
      </c>
      <c r="F154" s="14" t="s">
        <v>18</v>
      </c>
      <c r="G154" s="16">
        <v>70</v>
      </c>
    </row>
    <row r="155" spans="1:7" x14ac:dyDescent="0.25">
      <c r="A155" s="13" t="s">
        <v>262</v>
      </c>
      <c r="B155" s="13">
        <v>2013</v>
      </c>
      <c r="C155" s="14" t="str">
        <f>+VLOOKUP(B155,[1]LISTE!$A$1:$D$431,4,FALSE)</f>
        <v>BEL HADJ ALI MOHAMED ALI</v>
      </c>
      <c r="D155" s="15" t="s">
        <v>186</v>
      </c>
      <c r="E155" s="15">
        <v>45675</v>
      </c>
      <c r="F155" s="14" t="s">
        <v>20</v>
      </c>
      <c r="G155" s="16">
        <v>3.63</v>
      </c>
    </row>
    <row r="156" spans="1:7" x14ac:dyDescent="0.25">
      <c r="A156" s="13" t="s">
        <v>337</v>
      </c>
      <c r="B156" s="13">
        <v>2013</v>
      </c>
      <c r="C156" s="14" t="str">
        <f>+VLOOKUP(B156,[1]LISTE!$A$1:$D$431,4,FALSE)</f>
        <v>BEL HADJ ALI MOHAMED ALI</v>
      </c>
      <c r="D156" s="14" t="s">
        <v>160</v>
      </c>
      <c r="E156" s="15">
        <v>45675</v>
      </c>
      <c r="F156" s="14" t="s">
        <v>18</v>
      </c>
      <c r="G156" s="16">
        <v>70</v>
      </c>
    </row>
    <row r="157" spans="1:7" x14ac:dyDescent="0.25">
      <c r="A157" s="13" t="s">
        <v>337</v>
      </c>
      <c r="B157" s="13">
        <v>2013</v>
      </c>
      <c r="C157" s="14" t="str">
        <f>+VLOOKUP(B157,[1]LISTE!$A$1:$D$431,4,FALSE)</f>
        <v>BEL HADJ ALI MOHAMED ALI</v>
      </c>
      <c r="D157" s="14" t="s">
        <v>160</v>
      </c>
      <c r="E157" s="15">
        <v>45677</v>
      </c>
      <c r="F157" s="14" t="s">
        <v>69</v>
      </c>
      <c r="G157" s="16">
        <v>200</v>
      </c>
    </row>
    <row r="158" spans="1:7" x14ac:dyDescent="0.25">
      <c r="A158" s="13" t="s">
        <v>263</v>
      </c>
      <c r="B158" s="13">
        <v>2036</v>
      </c>
      <c r="C158" s="14" t="s">
        <v>131</v>
      </c>
      <c r="D158" s="14" t="s">
        <v>22</v>
      </c>
      <c r="E158" s="15">
        <v>45672</v>
      </c>
      <c r="F158" s="14" t="s">
        <v>23</v>
      </c>
      <c r="G158" s="16">
        <v>50</v>
      </c>
    </row>
    <row r="159" spans="1:7" x14ac:dyDescent="0.25">
      <c r="A159" s="13" t="s">
        <v>263</v>
      </c>
      <c r="B159" s="13">
        <v>2036</v>
      </c>
      <c r="C159" s="14" t="s">
        <v>131</v>
      </c>
      <c r="D159" s="14" t="s">
        <v>22</v>
      </c>
      <c r="E159" s="15">
        <v>45672</v>
      </c>
      <c r="F159" s="14" t="s">
        <v>20</v>
      </c>
      <c r="G159" s="16">
        <v>108.94199999999999</v>
      </c>
    </row>
    <row r="160" spans="1:7" x14ac:dyDescent="0.25">
      <c r="A160" s="13" t="s">
        <v>267</v>
      </c>
      <c r="B160" s="13">
        <v>2040</v>
      </c>
      <c r="C160" s="14" t="str">
        <f>+VLOOKUP(B160,[1]LISTE!$A$1:$D$431,4,FALSE)</f>
        <v>GHEZAL YOUSSEF</v>
      </c>
      <c r="D160" s="15" t="s">
        <v>268</v>
      </c>
      <c r="E160" s="15">
        <v>45672</v>
      </c>
      <c r="F160" s="14" t="s">
        <v>18</v>
      </c>
      <c r="G160" s="16">
        <v>60</v>
      </c>
    </row>
    <row r="161" spans="1:7" x14ac:dyDescent="0.25">
      <c r="A161" s="13" t="s">
        <v>267</v>
      </c>
      <c r="B161" s="13">
        <v>2040</v>
      </c>
      <c r="C161" s="14" t="str">
        <f>+VLOOKUP(B161,[1]LISTE!$A$1:$D$431,4,FALSE)</f>
        <v>GHEZAL YOUSSEF</v>
      </c>
      <c r="D161" s="14" t="s">
        <v>268</v>
      </c>
      <c r="E161" s="15">
        <v>45672</v>
      </c>
      <c r="F161" s="14" t="s">
        <v>20</v>
      </c>
      <c r="G161" s="16">
        <v>41.658999999999999</v>
      </c>
    </row>
    <row r="162" spans="1:7" x14ac:dyDescent="0.25">
      <c r="A162" s="13" t="s">
        <v>264</v>
      </c>
      <c r="B162" s="13">
        <v>2053</v>
      </c>
      <c r="C162" s="14" t="str">
        <f>+VLOOKUP(B162,[1]LISTE!$A$1:$D$431,4,FALSE)</f>
        <v>SAID YASSINE</v>
      </c>
      <c r="D162" s="14" t="s">
        <v>22</v>
      </c>
      <c r="E162" s="15">
        <v>45665</v>
      </c>
      <c r="F162" s="14" t="s">
        <v>23</v>
      </c>
      <c r="G162" s="16">
        <v>55</v>
      </c>
    </row>
    <row r="163" spans="1:7" x14ac:dyDescent="0.25">
      <c r="A163" s="13" t="s">
        <v>264</v>
      </c>
      <c r="B163" s="13">
        <v>2053</v>
      </c>
      <c r="C163" s="14" t="str">
        <f>+VLOOKUP(B163,[1]LISTE!$A$1:$D$431,4,FALSE)</f>
        <v>SAID YASSINE</v>
      </c>
      <c r="D163" s="15" t="s">
        <v>22</v>
      </c>
      <c r="E163" s="15">
        <v>45665</v>
      </c>
      <c r="F163" s="14" t="s">
        <v>20</v>
      </c>
      <c r="G163" s="16">
        <v>33.323999999999998</v>
      </c>
    </row>
    <row r="164" spans="1:7" x14ac:dyDescent="0.25">
      <c r="A164" s="13" t="s">
        <v>264</v>
      </c>
      <c r="B164" s="13">
        <v>2053</v>
      </c>
      <c r="C164" s="14" t="str">
        <f>+VLOOKUP(B164,[1]LISTE!$A$1:$D$431,4,FALSE)</f>
        <v>SAID YASSINE</v>
      </c>
      <c r="D164" s="15" t="s">
        <v>22</v>
      </c>
      <c r="E164" s="15">
        <v>45666</v>
      </c>
      <c r="F164" s="14" t="s">
        <v>21</v>
      </c>
      <c r="G164" s="16">
        <v>80</v>
      </c>
    </row>
    <row r="165" spans="1:7" x14ac:dyDescent="0.25">
      <c r="A165" s="13" t="s">
        <v>383</v>
      </c>
      <c r="B165" s="13">
        <v>2065</v>
      </c>
      <c r="C165" s="14" t="str">
        <f>+VLOOKUP(B165,[1]LISTE!$A$1:$D$431,4,FALSE)</f>
        <v>CHIHAOUI ALAAEDDINE</v>
      </c>
      <c r="D165" s="14" t="s">
        <v>22</v>
      </c>
      <c r="E165" s="15">
        <v>45682</v>
      </c>
      <c r="F165" s="14" t="s">
        <v>23</v>
      </c>
      <c r="G165" s="16">
        <v>60</v>
      </c>
    </row>
    <row r="166" spans="1:7" x14ac:dyDescent="0.25">
      <c r="A166" s="13" t="s">
        <v>383</v>
      </c>
      <c r="B166" s="13">
        <v>2065</v>
      </c>
      <c r="C166" s="14" t="str">
        <f>+VLOOKUP(B166,[1]LISTE!$A$1:$D$431,4,FALSE)</f>
        <v>CHIHAOUI ALAAEDDINE</v>
      </c>
      <c r="D166" s="14" t="s">
        <v>22</v>
      </c>
      <c r="E166" s="15">
        <v>45684</v>
      </c>
      <c r="F166" s="14" t="s">
        <v>20</v>
      </c>
      <c r="G166" s="16">
        <v>41.225000000000001</v>
      </c>
    </row>
    <row r="167" spans="1:7" x14ac:dyDescent="0.25">
      <c r="A167" s="13" t="s">
        <v>259</v>
      </c>
      <c r="B167" s="13">
        <v>2102</v>
      </c>
      <c r="C167" s="14" t="str">
        <f>+VLOOKUP(B167,[1]LISTE!$A$1:$D$431,4,FALSE)</f>
        <v>BENAMER MARWA</v>
      </c>
      <c r="D167" s="14" t="s">
        <v>190</v>
      </c>
      <c r="E167" s="15">
        <v>45667</v>
      </c>
      <c r="F167" s="14" t="s">
        <v>18</v>
      </c>
      <c r="G167" s="16">
        <v>60</v>
      </c>
    </row>
    <row r="168" spans="1:7" x14ac:dyDescent="0.25">
      <c r="A168" s="13" t="s">
        <v>259</v>
      </c>
      <c r="B168" s="13">
        <v>2102</v>
      </c>
      <c r="C168" s="14" t="str">
        <f>+VLOOKUP(B168,[1]LISTE!$A$1:$D$431,4,FALSE)</f>
        <v>BENAMER MARWA</v>
      </c>
      <c r="D168" s="15" t="s">
        <v>190</v>
      </c>
      <c r="E168" s="15">
        <v>45667</v>
      </c>
      <c r="F168" s="14" t="s">
        <v>20</v>
      </c>
      <c r="G168" s="16">
        <v>124.55500000000001</v>
      </c>
    </row>
    <row r="169" spans="1:7" x14ac:dyDescent="0.25">
      <c r="A169" s="13" t="s">
        <v>259</v>
      </c>
      <c r="B169" s="13">
        <v>2102</v>
      </c>
      <c r="C169" s="14" t="str">
        <f>+VLOOKUP(B169,[1]LISTE!$A$1:$D$431,4,FALSE)</f>
        <v>BENAMER MARWA</v>
      </c>
      <c r="D169" s="15" t="s">
        <v>190</v>
      </c>
      <c r="E169" s="15">
        <v>45668</v>
      </c>
      <c r="F169" s="14" t="s">
        <v>21</v>
      </c>
      <c r="G169" s="16">
        <v>70</v>
      </c>
    </row>
    <row r="170" spans="1:7" x14ac:dyDescent="0.25">
      <c r="A170" s="13" t="s">
        <v>334</v>
      </c>
      <c r="B170" s="13">
        <v>2124</v>
      </c>
      <c r="C170" s="14" t="str">
        <f>+VLOOKUP(B170,[1]LISTE!$A$1:$D$431,4,FALSE)</f>
        <v>AHMED BEN HADJ MESSAOUD</v>
      </c>
      <c r="D170" s="14" t="s">
        <v>22</v>
      </c>
      <c r="E170" s="15">
        <v>45675</v>
      </c>
      <c r="F170" s="14" t="s">
        <v>18</v>
      </c>
      <c r="G170" s="16">
        <v>70</v>
      </c>
    </row>
    <row r="171" spans="1:7" x14ac:dyDescent="0.25">
      <c r="A171" s="13" t="s">
        <v>334</v>
      </c>
      <c r="B171" s="13">
        <v>2124</v>
      </c>
      <c r="C171" s="14" t="str">
        <f>+VLOOKUP(B171,[1]LISTE!$A$1:$D$431,4,FALSE)</f>
        <v>AHMED BEN HADJ MESSAOUD</v>
      </c>
      <c r="D171" s="14" t="s">
        <v>22</v>
      </c>
      <c r="E171" s="15">
        <v>45679</v>
      </c>
      <c r="F171" s="14" t="s">
        <v>20</v>
      </c>
      <c r="G171" s="16">
        <v>13.576000000000001</v>
      </c>
    </row>
    <row r="172" spans="1:7" x14ac:dyDescent="0.25">
      <c r="A172" s="13" t="s">
        <v>266</v>
      </c>
      <c r="B172" s="13">
        <v>2158</v>
      </c>
      <c r="C172" s="14" t="str">
        <f>+VLOOKUP(B172,[1]LISTE!$A$1:$D$431,4,FALSE)</f>
        <v>BEN MASSOUD MOHAMED ALI</v>
      </c>
      <c r="D172" s="14" t="s">
        <v>22</v>
      </c>
      <c r="E172" s="15">
        <v>45674</v>
      </c>
      <c r="F172" s="14" t="s">
        <v>18</v>
      </c>
      <c r="G172" s="16">
        <v>70</v>
      </c>
    </row>
    <row r="173" spans="1:7" x14ac:dyDescent="0.25">
      <c r="A173" s="13" t="s">
        <v>266</v>
      </c>
      <c r="B173" s="13">
        <v>2158</v>
      </c>
      <c r="C173" s="14" t="str">
        <f>+VLOOKUP(B173,[1]LISTE!$A$1:$D$431,4,FALSE)</f>
        <v>BEN MASSOUD MOHAMED ALI</v>
      </c>
      <c r="D173" s="15" t="s">
        <v>22</v>
      </c>
      <c r="E173" s="15">
        <v>45674</v>
      </c>
      <c r="F173" s="14" t="s">
        <v>20</v>
      </c>
      <c r="G173" s="16">
        <v>12.56</v>
      </c>
    </row>
    <row r="174" spans="1:7" x14ac:dyDescent="0.25">
      <c r="A174" s="13" t="s">
        <v>326</v>
      </c>
      <c r="B174" s="13">
        <v>2170</v>
      </c>
      <c r="C174" s="14" t="str">
        <f>+VLOOKUP(B174,[1]LISTE!$A$1:$D$431,4,FALSE)</f>
        <v>BEN AHMED ANOUAR</v>
      </c>
      <c r="D174" s="15" t="s">
        <v>327</v>
      </c>
      <c r="E174" s="15">
        <v>45679</v>
      </c>
      <c r="F174" s="14" t="s">
        <v>18</v>
      </c>
      <c r="G174" s="16">
        <v>70</v>
      </c>
    </row>
    <row r="175" spans="1:7" x14ac:dyDescent="0.25">
      <c r="A175" s="13" t="s">
        <v>326</v>
      </c>
      <c r="B175" s="13">
        <v>2170</v>
      </c>
      <c r="C175" s="14" t="str">
        <f>+VLOOKUP(B175,[1]LISTE!$A$1:$D$431,4,FALSE)</f>
        <v>BEN AHMED ANOUAR</v>
      </c>
      <c r="D175" s="15" t="s">
        <v>327</v>
      </c>
      <c r="E175" s="15">
        <v>45680</v>
      </c>
      <c r="F175" s="14" t="s">
        <v>20</v>
      </c>
      <c r="G175" s="16">
        <v>38.356999999999999</v>
      </c>
    </row>
    <row r="176" spans="1:7" x14ac:dyDescent="0.25">
      <c r="A176" s="13" t="s">
        <v>380</v>
      </c>
      <c r="B176" s="13">
        <v>2172</v>
      </c>
      <c r="C176" s="14" t="str">
        <f>+VLOOKUP(B176,[1]LISTE!$A$1:$D$431,4,FALSE)</f>
        <v>ACHECHE HABIB</v>
      </c>
      <c r="D176" s="14" t="s">
        <v>22</v>
      </c>
      <c r="E176" s="15">
        <v>45661</v>
      </c>
      <c r="F176" s="14" t="s">
        <v>18</v>
      </c>
      <c r="G176" s="16">
        <v>60</v>
      </c>
    </row>
    <row r="177" spans="1:7" x14ac:dyDescent="0.25">
      <c r="A177" s="13" t="s">
        <v>380</v>
      </c>
      <c r="B177" s="13">
        <v>2172</v>
      </c>
      <c r="C177" s="14" t="str">
        <f>+VLOOKUP(B177,[1]LISTE!$A$1:$D$431,4,FALSE)</f>
        <v>ACHECHE HABIB</v>
      </c>
      <c r="D177" s="14" t="s">
        <v>22</v>
      </c>
      <c r="E177" s="15">
        <v>45661</v>
      </c>
      <c r="F177" s="14" t="s">
        <v>20</v>
      </c>
      <c r="G177" s="16">
        <v>5.125</v>
      </c>
    </row>
    <row r="178" spans="1:7" x14ac:dyDescent="0.25">
      <c r="A178" s="13" t="s">
        <v>380</v>
      </c>
      <c r="B178" s="13">
        <v>2172</v>
      </c>
      <c r="C178" s="14" t="str">
        <f>+VLOOKUP(B178,[1]LISTE!$A$1:$D$431,4,FALSE)</f>
        <v>ACHECHE HABIB</v>
      </c>
      <c r="D178" s="14" t="s">
        <v>22</v>
      </c>
      <c r="E178" s="15">
        <v>45661</v>
      </c>
      <c r="F178" s="14" t="s">
        <v>24</v>
      </c>
      <c r="G178" s="16">
        <v>120</v>
      </c>
    </row>
    <row r="179" spans="1:7" x14ac:dyDescent="0.25">
      <c r="A179" s="13" t="s">
        <v>381</v>
      </c>
      <c r="B179" s="13">
        <v>2172</v>
      </c>
      <c r="C179" s="14" t="str">
        <f>+VLOOKUP(B179,[1]LISTE!$A$1:$D$431,4,FALSE)</f>
        <v>ACHECHE HABIB</v>
      </c>
      <c r="D179" s="14" t="s">
        <v>371</v>
      </c>
      <c r="E179" s="15">
        <v>45679</v>
      </c>
      <c r="F179" s="14" t="s">
        <v>18</v>
      </c>
      <c r="G179" s="16">
        <v>70</v>
      </c>
    </row>
    <row r="180" spans="1:7" x14ac:dyDescent="0.25">
      <c r="A180" s="13" t="s">
        <v>381</v>
      </c>
      <c r="B180" s="13">
        <v>2172</v>
      </c>
      <c r="C180" s="14" t="str">
        <f>+VLOOKUP(B180,[1]LISTE!$A$1:$D$431,4,FALSE)</f>
        <v>ACHECHE HABIB</v>
      </c>
      <c r="D180" s="14" t="s">
        <v>371</v>
      </c>
      <c r="E180" s="15">
        <v>45679</v>
      </c>
      <c r="F180" s="14" t="s">
        <v>20</v>
      </c>
      <c r="G180" s="16">
        <v>86.274000000000001</v>
      </c>
    </row>
    <row r="181" spans="1:7" x14ac:dyDescent="0.25">
      <c r="A181" s="13" t="s">
        <v>381</v>
      </c>
      <c r="B181" s="13">
        <v>2172</v>
      </c>
      <c r="C181" s="14" t="str">
        <f>+VLOOKUP(B181,[1]LISTE!$A$1:$D$431,4,FALSE)</f>
        <v>ACHECHE HABIB</v>
      </c>
      <c r="D181" s="14" t="s">
        <v>371</v>
      </c>
      <c r="E181" s="15">
        <v>45679</v>
      </c>
      <c r="F181" s="14" t="s">
        <v>20</v>
      </c>
      <c r="G181" s="16">
        <v>53.170999999999999</v>
      </c>
    </row>
    <row r="182" spans="1:7" x14ac:dyDescent="0.25">
      <c r="A182" s="13" t="s">
        <v>301</v>
      </c>
      <c r="B182" s="13">
        <v>2180</v>
      </c>
      <c r="C182" s="14" t="s">
        <v>92</v>
      </c>
      <c r="D182" s="14" t="s">
        <v>93</v>
      </c>
      <c r="E182" s="15">
        <v>45677</v>
      </c>
      <c r="F182" s="14" t="s">
        <v>18</v>
      </c>
      <c r="G182" s="16">
        <v>70</v>
      </c>
    </row>
    <row r="183" spans="1:7" x14ac:dyDescent="0.25">
      <c r="A183" s="13" t="s">
        <v>301</v>
      </c>
      <c r="B183" s="13">
        <v>2180</v>
      </c>
      <c r="C183" s="14" t="s">
        <v>92</v>
      </c>
      <c r="D183" s="14" t="s">
        <v>93</v>
      </c>
      <c r="E183" s="15">
        <v>45677</v>
      </c>
      <c r="F183" s="14" t="s">
        <v>20</v>
      </c>
      <c r="G183" s="16">
        <v>134.79</v>
      </c>
    </row>
    <row r="184" spans="1:7" x14ac:dyDescent="0.25">
      <c r="A184" s="13" t="s">
        <v>385</v>
      </c>
      <c r="B184" s="13">
        <v>2184</v>
      </c>
      <c r="C184" s="14" t="s">
        <v>386</v>
      </c>
      <c r="D184" s="14" t="s">
        <v>387</v>
      </c>
      <c r="E184" s="15">
        <v>45671</v>
      </c>
      <c r="F184" s="14" t="s">
        <v>23</v>
      </c>
      <c r="G184" s="16">
        <v>30</v>
      </c>
    </row>
    <row r="185" spans="1:7" x14ac:dyDescent="0.25">
      <c r="A185" s="13" t="s">
        <v>385</v>
      </c>
      <c r="B185" s="13">
        <v>2184</v>
      </c>
      <c r="C185" s="14" t="s">
        <v>386</v>
      </c>
      <c r="D185" s="14" t="s">
        <v>387</v>
      </c>
      <c r="E185" s="15">
        <v>45673</v>
      </c>
      <c r="F185" s="14" t="s">
        <v>20</v>
      </c>
      <c r="G185" s="16">
        <v>49.366999999999997</v>
      </c>
    </row>
    <row r="186" spans="1:7" x14ac:dyDescent="0.25">
      <c r="A186" s="13" t="s">
        <v>388</v>
      </c>
      <c r="B186" s="13">
        <v>2184</v>
      </c>
      <c r="C186" s="14" t="s">
        <v>386</v>
      </c>
      <c r="D186" s="14" t="s">
        <v>22</v>
      </c>
      <c r="E186" s="15">
        <v>45668</v>
      </c>
      <c r="F186" s="14" t="s">
        <v>18</v>
      </c>
      <c r="G186" s="16">
        <v>70</v>
      </c>
    </row>
    <row r="187" spans="1:7" x14ac:dyDescent="0.25">
      <c r="A187" s="13" t="s">
        <v>388</v>
      </c>
      <c r="B187" s="13">
        <v>2184</v>
      </c>
      <c r="C187" s="14" t="s">
        <v>386</v>
      </c>
      <c r="D187" s="14" t="s">
        <v>22</v>
      </c>
      <c r="E187" s="15">
        <v>45668</v>
      </c>
      <c r="F187" s="14" t="s">
        <v>20</v>
      </c>
      <c r="G187" s="16">
        <v>420</v>
      </c>
    </row>
    <row r="188" spans="1:7" x14ac:dyDescent="0.25">
      <c r="A188" s="13" t="s">
        <v>389</v>
      </c>
      <c r="B188" s="13">
        <v>2184</v>
      </c>
      <c r="C188" s="14" t="s">
        <v>386</v>
      </c>
      <c r="D188" s="14" t="s">
        <v>22</v>
      </c>
      <c r="E188" s="15">
        <v>45673</v>
      </c>
      <c r="F188" s="14" t="s">
        <v>23</v>
      </c>
      <c r="G188" s="16">
        <v>30</v>
      </c>
    </row>
    <row r="189" spans="1:7" x14ac:dyDescent="0.25">
      <c r="A189" s="13" t="s">
        <v>389</v>
      </c>
      <c r="B189" s="13">
        <v>2184</v>
      </c>
      <c r="C189" s="14" t="s">
        <v>386</v>
      </c>
      <c r="D189" s="14" t="s">
        <v>22</v>
      </c>
      <c r="E189" s="15">
        <v>45673</v>
      </c>
      <c r="F189" s="14" t="s">
        <v>20</v>
      </c>
      <c r="G189" s="16">
        <v>28.013000000000002</v>
      </c>
    </row>
    <row r="190" spans="1:7" x14ac:dyDescent="0.25">
      <c r="A190" s="13" t="s">
        <v>304</v>
      </c>
      <c r="B190" s="13">
        <v>2200</v>
      </c>
      <c r="C190" s="14" t="s">
        <v>305</v>
      </c>
      <c r="D190" s="14" t="s">
        <v>306</v>
      </c>
      <c r="E190" s="15">
        <v>45678</v>
      </c>
      <c r="F190" s="14" t="s">
        <v>23</v>
      </c>
      <c r="G190" s="16">
        <v>45</v>
      </c>
    </row>
    <row r="191" spans="1:7" x14ac:dyDescent="0.25">
      <c r="A191" s="13" t="s">
        <v>304</v>
      </c>
      <c r="B191" s="13">
        <v>2200</v>
      </c>
      <c r="C191" s="14" t="s">
        <v>305</v>
      </c>
      <c r="D191" s="14" t="s">
        <v>306</v>
      </c>
      <c r="E191" s="15">
        <v>45678</v>
      </c>
      <c r="F191" s="14" t="s">
        <v>20</v>
      </c>
      <c r="G191" s="16">
        <v>14.84</v>
      </c>
    </row>
    <row r="192" spans="1:7" x14ac:dyDescent="0.25">
      <c r="A192" s="13" t="s">
        <v>335</v>
      </c>
      <c r="B192" s="13">
        <v>2236</v>
      </c>
      <c r="C192" s="14" t="s">
        <v>336</v>
      </c>
      <c r="D192" s="14" t="s">
        <v>22</v>
      </c>
      <c r="E192" s="15">
        <v>45661</v>
      </c>
      <c r="F192" s="14" t="s">
        <v>20</v>
      </c>
      <c r="G192" s="16">
        <v>41.412999999999997</v>
      </c>
    </row>
    <row r="193" spans="1:7" x14ac:dyDescent="0.25">
      <c r="A193" s="13" t="s">
        <v>335</v>
      </c>
      <c r="B193" s="13">
        <v>2236</v>
      </c>
      <c r="C193" s="14" t="s">
        <v>336</v>
      </c>
      <c r="D193" s="14" t="s">
        <v>22</v>
      </c>
      <c r="E193" s="15">
        <v>45666</v>
      </c>
      <c r="F193" s="14" t="s">
        <v>24</v>
      </c>
      <c r="G193" s="16">
        <v>80</v>
      </c>
    </row>
    <row r="194" spans="1:7" x14ac:dyDescent="0.25">
      <c r="A194" s="13" t="s">
        <v>308</v>
      </c>
      <c r="B194" s="13">
        <v>2243</v>
      </c>
      <c r="C194" s="14" t="s">
        <v>309</v>
      </c>
      <c r="D194" s="14" t="s">
        <v>22</v>
      </c>
      <c r="E194" s="15">
        <v>45675</v>
      </c>
      <c r="F194" s="14" t="s">
        <v>18</v>
      </c>
      <c r="G194" s="16">
        <v>70</v>
      </c>
    </row>
    <row r="195" spans="1:7" x14ac:dyDescent="0.25">
      <c r="A195" s="13" t="s">
        <v>308</v>
      </c>
      <c r="B195" s="13">
        <v>2243</v>
      </c>
      <c r="C195" s="14" t="s">
        <v>309</v>
      </c>
      <c r="D195" s="14" t="s">
        <v>22</v>
      </c>
      <c r="E195" s="15">
        <v>45673</v>
      </c>
      <c r="F195" s="14" t="s">
        <v>19</v>
      </c>
      <c r="G195" s="16">
        <v>151.833</v>
      </c>
    </row>
    <row r="196" spans="1:7" x14ac:dyDescent="0.25">
      <c r="A196" s="13" t="s">
        <v>308</v>
      </c>
      <c r="B196" s="13">
        <v>2243</v>
      </c>
      <c r="C196" s="14" t="s">
        <v>309</v>
      </c>
      <c r="D196" s="15" t="s">
        <v>22</v>
      </c>
      <c r="E196" s="15">
        <v>45676</v>
      </c>
      <c r="F196" s="14" t="s">
        <v>20</v>
      </c>
      <c r="G196" s="16">
        <v>286.07799999999997</v>
      </c>
    </row>
    <row r="197" spans="1:7" x14ac:dyDescent="0.25">
      <c r="A197" s="13" t="s">
        <v>338</v>
      </c>
      <c r="B197" s="13">
        <v>2243</v>
      </c>
      <c r="C197" s="14" t="s">
        <v>309</v>
      </c>
      <c r="D197" s="14" t="s">
        <v>249</v>
      </c>
      <c r="E197" s="15">
        <v>45679</v>
      </c>
      <c r="F197" s="14" t="s">
        <v>18</v>
      </c>
      <c r="G197" s="16">
        <v>70</v>
      </c>
    </row>
    <row r="198" spans="1:7" x14ac:dyDescent="0.25">
      <c r="A198" s="13" t="s">
        <v>338</v>
      </c>
      <c r="B198" s="13">
        <v>2243</v>
      </c>
      <c r="C198" s="14" t="s">
        <v>309</v>
      </c>
      <c r="D198" s="14" t="s">
        <v>249</v>
      </c>
      <c r="E198" s="15">
        <v>45679</v>
      </c>
      <c r="F198" s="14" t="s">
        <v>20</v>
      </c>
      <c r="G198" s="16">
        <v>47.174999999999997</v>
      </c>
    </row>
    <row r="199" spans="1:7" x14ac:dyDescent="0.25">
      <c r="A199" s="13" t="s">
        <v>265</v>
      </c>
      <c r="B199" s="13">
        <v>2254</v>
      </c>
      <c r="C199" s="14" t="s">
        <v>106</v>
      </c>
      <c r="D199" s="15" t="s">
        <v>22</v>
      </c>
      <c r="E199" s="15">
        <v>45659</v>
      </c>
      <c r="F199" s="14" t="s">
        <v>23</v>
      </c>
      <c r="G199" s="16">
        <v>50</v>
      </c>
    </row>
    <row r="200" spans="1:7" x14ac:dyDescent="0.25">
      <c r="A200" s="13" t="s">
        <v>265</v>
      </c>
      <c r="B200" s="13">
        <v>2254</v>
      </c>
      <c r="C200" s="14" t="s">
        <v>106</v>
      </c>
      <c r="D200" s="15" t="s">
        <v>22</v>
      </c>
      <c r="E200" s="15">
        <v>45672</v>
      </c>
      <c r="F200" s="14" t="s">
        <v>20</v>
      </c>
      <c r="G200" s="16">
        <v>2.605</v>
      </c>
    </row>
    <row r="201" spans="1:7" x14ac:dyDescent="0.25">
      <c r="A201" s="13" t="s">
        <v>265</v>
      </c>
      <c r="B201" s="13">
        <v>2254</v>
      </c>
      <c r="C201" s="14" t="s">
        <v>106</v>
      </c>
      <c r="D201" s="15" t="s">
        <v>22</v>
      </c>
      <c r="E201" s="15">
        <v>45665</v>
      </c>
      <c r="F201" s="14" t="s">
        <v>24</v>
      </c>
      <c r="G201" s="16">
        <v>80</v>
      </c>
    </row>
    <row r="202" spans="1:7" x14ac:dyDescent="0.25">
      <c r="A202" s="13" t="s">
        <v>344</v>
      </c>
      <c r="B202" s="13">
        <v>2258</v>
      </c>
      <c r="C202" s="14" t="s">
        <v>345</v>
      </c>
      <c r="D202" s="14" t="s">
        <v>22</v>
      </c>
      <c r="E202" s="15">
        <v>45678</v>
      </c>
      <c r="F202" s="14" t="s">
        <v>21</v>
      </c>
      <c r="G202" s="16">
        <v>240</v>
      </c>
    </row>
    <row r="203" spans="1:7" x14ac:dyDescent="0.25">
      <c r="A203" s="13" t="s">
        <v>319</v>
      </c>
      <c r="B203" s="13">
        <v>2271</v>
      </c>
      <c r="C203" s="14" t="s">
        <v>27</v>
      </c>
      <c r="D203" s="15" t="s">
        <v>63</v>
      </c>
      <c r="E203" s="15">
        <v>45675</v>
      </c>
      <c r="F203" s="14" t="s">
        <v>18</v>
      </c>
      <c r="G203" s="16">
        <v>50</v>
      </c>
    </row>
    <row r="204" spans="1:7" x14ac:dyDescent="0.25">
      <c r="A204" s="13" t="s">
        <v>319</v>
      </c>
      <c r="B204" s="13">
        <v>2271</v>
      </c>
      <c r="C204" s="14" t="s">
        <v>27</v>
      </c>
      <c r="D204" s="15" t="s">
        <v>63</v>
      </c>
      <c r="E204" s="15">
        <v>45675</v>
      </c>
      <c r="F204" s="14" t="s">
        <v>20</v>
      </c>
      <c r="G204" s="16">
        <v>36.414000000000001</v>
      </c>
    </row>
    <row r="205" spans="1:7" x14ac:dyDescent="0.25">
      <c r="A205" s="13" t="s">
        <v>397</v>
      </c>
      <c r="B205" s="13">
        <v>2312</v>
      </c>
      <c r="C205" s="14" t="s">
        <v>398</v>
      </c>
      <c r="D205" s="14" t="s">
        <v>327</v>
      </c>
      <c r="E205" s="15">
        <v>45682</v>
      </c>
      <c r="F205" s="14" t="s">
        <v>23</v>
      </c>
      <c r="G205" s="16">
        <v>2</v>
      </c>
    </row>
    <row r="206" spans="1:7" x14ac:dyDescent="0.25">
      <c r="A206" s="13" t="s">
        <v>397</v>
      </c>
      <c r="B206" s="13">
        <v>2312</v>
      </c>
      <c r="C206" s="14" t="s">
        <v>398</v>
      </c>
      <c r="D206" s="14" t="s">
        <v>327</v>
      </c>
      <c r="E206" s="15">
        <v>45682</v>
      </c>
      <c r="F206" s="14" t="s">
        <v>20</v>
      </c>
      <c r="G206" s="16">
        <v>17.893000000000001</v>
      </c>
    </row>
    <row r="207" spans="1:7" x14ac:dyDescent="0.25">
      <c r="A207" s="13" t="s">
        <v>397</v>
      </c>
      <c r="B207" s="13">
        <v>2312</v>
      </c>
      <c r="C207" s="14" t="s">
        <v>398</v>
      </c>
      <c r="D207" s="14" t="s">
        <v>327</v>
      </c>
      <c r="E207" s="15">
        <v>45682</v>
      </c>
      <c r="F207" s="14" t="s">
        <v>65</v>
      </c>
      <c r="G207" s="16">
        <v>2</v>
      </c>
    </row>
    <row r="208" spans="1:7" x14ac:dyDescent="0.25">
      <c r="A208" s="13" t="s">
        <v>354</v>
      </c>
      <c r="B208" s="13">
        <v>2326</v>
      </c>
      <c r="C208" s="14" t="s">
        <v>28</v>
      </c>
      <c r="D208" s="14" t="s">
        <v>67</v>
      </c>
      <c r="E208" s="15">
        <v>45681</v>
      </c>
      <c r="F208" s="14" t="s">
        <v>23</v>
      </c>
      <c r="G208" s="16">
        <v>1.5</v>
      </c>
    </row>
    <row r="209" spans="1:7" x14ac:dyDescent="0.25">
      <c r="A209" s="13" t="s">
        <v>354</v>
      </c>
      <c r="B209" s="13">
        <v>2326</v>
      </c>
      <c r="C209" s="14" t="s">
        <v>28</v>
      </c>
      <c r="D209" s="14" t="s">
        <v>67</v>
      </c>
      <c r="E209" s="15">
        <v>45681</v>
      </c>
      <c r="F209" s="14" t="s">
        <v>20</v>
      </c>
      <c r="G209" s="16">
        <v>14.275</v>
      </c>
    </row>
    <row r="210" spans="1:7" x14ac:dyDescent="0.25">
      <c r="A210" s="13" t="s">
        <v>352</v>
      </c>
      <c r="B210" s="13">
        <v>2337</v>
      </c>
      <c r="C210" s="14" t="s">
        <v>210</v>
      </c>
      <c r="D210" s="14" t="s">
        <v>353</v>
      </c>
      <c r="E210" s="15">
        <v>45674</v>
      </c>
      <c r="F210" s="14" t="s">
        <v>23</v>
      </c>
      <c r="G210" s="16">
        <v>50</v>
      </c>
    </row>
    <row r="211" spans="1:7" x14ac:dyDescent="0.25">
      <c r="A211" s="13" t="s">
        <v>352</v>
      </c>
      <c r="B211" s="13">
        <v>2337</v>
      </c>
      <c r="C211" s="14" t="s">
        <v>210</v>
      </c>
      <c r="D211" s="14" t="s">
        <v>353</v>
      </c>
      <c r="E211" s="15">
        <v>45675</v>
      </c>
      <c r="F211" s="14" t="s">
        <v>19</v>
      </c>
      <c r="G211" s="16">
        <v>54.17</v>
      </c>
    </row>
    <row r="212" spans="1:7" x14ac:dyDescent="0.25">
      <c r="A212" s="13" t="s">
        <v>352</v>
      </c>
      <c r="B212" s="13">
        <v>2337</v>
      </c>
      <c r="C212" s="14" t="s">
        <v>210</v>
      </c>
      <c r="D212" s="14" t="s">
        <v>353</v>
      </c>
      <c r="E212" s="15">
        <v>45677</v>
      </c>
      <c r="F212" s="14" t="s">
        <v>20</v>
      </c>
      <c r="G212" s="16">
        <v>32</v>
      </c>
    </row>
    <row r="213" spans="1:7" x14ac:dyDescent="0.25">
      <c r="A213" s="13" t="s">
        <v>255</v>
      </c>
      <c r="B213" s="13">
        <v>2414</v>
      </c>
      <c r="C213" s="14" t="s">
        <v>256</v>
      </c>
      <c r="D213" s="14" t="s">
        <v>22</v>
      </c>
      <c r="E213" s="15">
        <v>45670</v>
      </c>
      <c r="F213" s="14" t="s">
        <v>20</v>
      </c>
      <c r="G213" s="16">
        <v>17.215</v>
      </c>
    </row>
    <row r="214" spans="1:7" x14ac:dyDescent="0.25">
      <c r="A214" s="13" t="s">
        <v>255</v>
      </c>
      <c r="B214" s="13">
        <v>2414</v>
      </c>
      <c r="C214" s="14" t="s">
        <v>256</v>
      </c>
      <c r="D214" s="15" t="s">
        <v>22</v>
      </c>
      <c r="E214" s="15">
        <v>45670</v>
      </c>
      <c r="F214" s="14" t="s">
        <v>24</v>
      </c>
      <c r="G214" s="16">
        <v>160</v>
      </c>
    </row>
    <row r="215" spans="1:7" x14ac:dyDescent="0.25">
      <c r="A215" s="13" t="s">
        <v>270</v>
      </c>
      <c r="B215" s="13">
        <v>2444</v>
      </c>
      <c r="C215" s="14" t="s">
        <v>271</v>
      </c>
      <c r="D215" s="15" t="s">
        <v>236</v>
      </c>
      <c r="E215" s="15">
        <v>45659</v>
      </c>
      <c r="F215" s="14" t="s">
        <v>18</v>
      </c>
      <c r="G215" s="16">
        <v>70</v>
      </c>
    </row>
    <row r="216" spans="1:7" x14ac:dyDescent="0.25">
      <c r="A216" s="13" t="s">
        <v>270</v>
      </c>
      <c r="B216" s="13">
        <v>2444</v>
      </c>
      <c r="C216" s="14" t="s">
        <v>271</v>
      </c>
      <c r="D216" s="15" t="s">
        <v>236</v>
      </c>
      <c r="E216" s="15">
        <v>45659</v>
      </c>
      <c r="F216" s="14" t="s">
        <v>20</v>
      </c>
      <c r="G216" s="16">
        <v>96.06</v>
      </c>
    </row>
    <row r="217" spans="1:7" x14ac:dyDescent="0.25">
      <c r="A217" s="13" t="s">
        <v>270</v>
      </c>
      <c r="B217" s="13">
        <v>2444</v>
      </c>
      <c r="C217" s="14" t="s">
        <v>271</v>
      </c>
      <c r="D217" s="15" t="s">
        <v>236</v>
      </c>
      <c r="E217" s="15">
        <v>45667</v>
      </c>
      <c r="F217" s="14" t="s">
        <v>19</v>
      </c>
      <c r="G217" s="16">
        <v>71.83</v>
      </c>
    </row>
    <row r="218" spans="1:7" x14ac:dyDescent="0.25">
      <c r="A218" s="13" t="s">
        <v>246</v>
      </c>
      <c r="B218" s="13">
        <v>2515</v>
      </c>
      <c r="C218" s="14" t="s">
        <v>247</v>
      </c>
      <c r="D218" s="15" t="s">
        <v>22</v>
      </c>
      <c r="E218" s="15">
        <v>45667</v>
      </c>
      <c r="F218" s="14" t="s">
        <v>23</v>
      </c>
      <c r="G218" s="16">
        <v>40</v>
      </c>
    </row>
    <row r="219" spans="1:7" x14ac:dyDescent="0.25">
      <c r="A219" s="13" t="s">
        <v>246</v>
      </c>
      <c r="B219" s="13">
        <v>2515</v>
      </c>
      <c r="C219" s="14" t="s">
        <v>247</v>
      </c>
      <c r="D219" s="14" t="s">
        <v>22</v>
      </c>
      <c r="E219" s="15">
        <v>45667</v>
      </c>
      <c r="F219" s="14" t="s">
        <v>20</v>
      </c>
      <c r="G219" s="16">
        <v>18.725000000000001</v>
      </c>
    </row>
    <row r="220" spans="1:7" x14ac:dyDescent="0.25">
      <c r="A220" s="13" t="s">
        <v>248</v>
      </c>
      <c r="B220" s="13">
        <v>2515</v>
      </c>
      <c r="C220" s="14" t="s">
        <v>247</v>
      </c>
      <c r="D220" s="14" t="s">
        <v>249</v>
      </c>
      <c r="E220" s="15">
        <v>45670</v>
      </c>
      <c r="F220" s="14" t="s">
        <v>23</v>
      </c>
      <c r="G220" s="16">
        <v>40</v>
      </c>
    </row>
    <row r="221" spans="1:7" x14ac:dyDescent="0.25">
      <c r="A221" s="13" t="s">
        <v>248</v>
      </c>
      <c r="B221" s="13">
        <v>2515</v>
      </c>
      <c r="C221" s="14" t="s">
        <v>247</v>
      </c>
      <c r="D221" s="14" t="s">
        <v>249</v>
      </c>
      <c r="E221" s="15">
        <v>45670</v>
      </c>
      <c r="F221" s="14" t="s">
        <v>20</v>
      </c>
      <c r="G221" s="16">
        <v>32.33</v>
      </c>
    </row>
    <row r="222" spans="1:7" x14ac:dyDescent="0.25">
      <c r="A222" s="13" t="s">
        <v>316</v>
      </c>
      <c r="B222" s="13">
        <v>2592</v>
      </c>
      <c r="C222" s="14" t="s">
        <v>317</v>
      </c>
      <c r="D222" s="15" t="s">
        <v>318</v>
      </c>
      <c r="E222" s="15">
        <v>45675</v>
      </c>
      <c r="F222" s="14" t="s">
        <v>18</v>
      </c>
      <c r="G222" s="16">
        <v>70</v>
      </c>
    </row>
    <row r="223" spans="1:7" x14ac:dyDescent="0.25">
      <c r="A223" s="13" t="s">
        <v>316</v>
      </c>
      <c r="B223" s="13">
        <v>2592</v>
      </c>
      <c r="C223" s="14" t="s">
        <v>317</v>
      </c>
      <c r="D223" s="15" t="s">
        <v>318</v>
      </c>
      <c r="E223" s="15">
        <v>45677</v>
      </c>
      <c r="F223" s="14" t="s">
        <v>20</v>
      </c>
      <c r="G223" s="16">
        <v>10.930999999999999</v>
      </c>
    </row>
    <row r="224" spans="1:7" x14ac:dyDescent="0.25">
      <c r="A224" s="13" t="s">
        <v>260</v>
      </c>
      <c r="B224" s="13">
        <v>2593</v>
      </c>
      <c r="C224" s="14" t="s">
        <v>261</v>
      </c>
      <c r="D224" s="14" t="s">
        <v>22</v>
      </c>
      <c r="E224" s="15">
        <v>45675</v>
      </c>
      <c r="F224" s="14" t="s">
        <v>23</v>
      </c>
      <c r="G224" s="16">
        <v>50</v>
      </c>
    </row>
    <row r="225" spans="1:7" x14ac:dyDescent="0.25">
      <c r="A225" s="13" t="s">
        <v>260</v>
      </c>
      <c r="B225" s="13">
        <v>2593</v>
      </c>
      <c r="C225" s="14" t="s">
        <v>261</v>
      </c>
      <c r="D225" s="14" t="s">
        <v>22</v>
      </c>
      <c r="E225" s="15">
        <v>45675</v>
      </c>
      <c r="F225" s="14" t="s">
        <v>20</v>
      </c>
      <c r="G225" s="16">
        <v>55.497</v>
      </c>
    </row>
    <row r="226" spans="1:7" x14ac:dyDescent="0.25">
      <c r="A226" s="13" t="s">
        <v>289</v>
      </c>
      <c r="B226" s="13">
        <v>2595</v>
      </c>
      <c r="C226" s="14" t="s">
        <v>290</v>
      </c>
      <c r="D226" s="15" t="s">
        <v>22</v>
      </c>
      <c r="E226" s="15">
        <v>45678</v>
      </c>
      <c r="F226" s="14" t="s">
        <v>23</v>
      </c>
      <c r="G226" s="16">
        <v>7</v>
      </c>
    </row>
    <row r="227" spans="1:7" x14ac:dyDescent="0.25">
      <c r="A227" s="13" t="s">
        <v>289</v>
      </c>
      <c r="B227" s="13">
        <v>2595</v>
      </c>
      <c r="C227" s="14" t="s">
        <v>290</v>
      </c>
      <c r="D227" s="14" t="s">
        <v>22</v>
      </c>
      <c r="E227" s="15">
        <v>45678</v>
      </c>
      <c r="F227" s="14" t="s">
        <v>20</v>
      </c>
      <c r="G227" s="16">
        <v>67.793999999999997</v>
      </c>
    </row>
    <row r="228" spans="1:7" x14ac:dyDescent="0.25">
      <c r="A228" s="13" t="s">
        <v>314</v>
      </c>
      <c r="B228" s="13">
        <v>2637</v>
      </c>
      <c r="C228" s="14" t="s">
        <v>36</v>
      </c>
      <c r="D228" s="15" t="s">
        <v>315</v>
      </c>
      <c r="E228" s="15">
        <v>45666</v>
      </c>
      <c r="F228" s="14" t="s">
        <v>312</v>
      </c>
      <c r="G228" s="16">
        <v>250</v>
      </c>
    </row>
    <row r="229" spans="1:7" ht="18.75" x14ac:dyDescent="0.3">
      <c r="A229" s="14"/>
      <c r="B229" s="28"/>
      <c r="C229" s="29"/>
      <c r="D229" s="14"/>
      <c r="E229" s="28"/>
      <c r="F229" s="17" t="s">
        <v>11</v>
      </c>
      <c r="G229" s="17">
        <f>SUM(G10:G228)</f>
        <v>14174.885999999999</v>
      </c>
    </row>
    <row r="230" spans="1:7" ht="18.75" x14ac:dyDescent="0.3">
      <c r="A230" s="38"/>
      <c r="B230" s="39"/>
      <c r="C230" s="40"/>
      <c r="D230" s="41"/>
      <c r="E230" s="19"/>
      <c r="F230" s="18"/>
      <c r="G230" s="34"/>
    </row>
    <row r="231" spans="1:7" ht="18.75" x14ac:dyDescent="0.3">
      <c r="A231" s="35"/>
      <c r="B231" s="36"/>
      <c r="C231" s="37"/>
      <c r="D231" s="42"/>
      <c r="E231" s="43"/>
      <c r="F231" s="44"/>
      <c r="G231" s="44"/>
    </row>
    <row r="232" spans="1:7" ht="15.75" x14ac:dyDescent="0.25">
      <c r="A232" s="35"/>
      <c r="B232" s="36" t="s">
        <v>12</v>
      </c>
      <c r="C232" s="37"/>
      <c r="E232" s="36" t="s">
        <v>13</v>
      </c>
      <c r="F232" s="18"/>
      <c r="G232" s="18"/>
    </row>
    <row r="233" spans="1:7" ht="15.75" x14ac:dyDescent="0.25">
      <c r="A233" s="45"/>
      <c r="B233" s="46" t="s">
        <v>14</v>
      </c>
      <c r="C233" s="47"/>
      <c r="E233" s="36" t="s">
        <v>15</v>
      </c>
      <c r="F233" s="18"/>
      <c r="G233" s="18"/>
    </row>
    <row r="234" spans="1:7" ht="15.75" x14ac:dyDescent="0.25">
      <c r="A234" s="23"/>
      <c r="B234" s="24"/>
      <c r="C234" s="25"/>
      <c r="E234" s="27"/>
      <c r="F234" s="18"/>
      <c r="G234" s="18"/>
    </row>
    <row r="235" spans="1:7" ht="18.75" x14ac:dyDescent="0.3">
      <c r="B235" s="19"/>
      <c r="C235" s="20"/>
      <c r="D235" s="21"/>
      <c r="E235" s="22"/>
      <c r="F235" s="19"/>
      <c r="G235" s="22"/>
    </row>
    <row r="236" spans="1:7" ht="15.75" x14ac:dyDescent="0.25">
      <c r="A236" s="23"/>
      <c r="B236" s="24"/>
      <c r="C236" s="25"/>
      <c r="D236" s="26"/>
      <c r="E236" s="22"/>
      <c r="F236" s="27"/>
      <c r="G236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pane ySplit="9" topLeftCell="A10" activePane="bottomLeft" state="frozen"/>
      <selection pane="bottomLeft" activeCell="B4" sqref="B1:B1048576"/>
    </sheetView>
  </sheetViews>
  <sheetFormatPr baseColWidth="10" defaultRowHeight="15" x14ac:dyDescent="0.25"/>
  <cols>
    <col min="1" max="1" width="12" customWidth="1"/>
    <col min="3" max="3" width="23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17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21" x14ac:dyDescent="0.25">
      <c r="A4" s="4"/>
      <c r="B4" s="5"/>
      <c r="C4" s="6"/>
      <c r="D4" s="4"/>
    </row>
    <row r="5" spans="1:7" ht="27.75" customHeight="1" x14ac:dyDescent="0.25">
      <c r="A5" s="4"/>
      <c r="B5" s="5" t="s">
        <v>357</v>
      </c>
      <c r="C5" s="7"/>
      <c r="D5" s="4"/>
    </row>
    <row r="6" spans="1:7" ht="25.5" customHeight="1" x14ac:dyDescent="0.25">
      <c r="A6" s="6"/>
      <c r="B6" s="8" t="s">
        <v>395</v>
      </c>
      <c r="C6" s="9"/>
      <c r="D6" s="4"/>
    </row>
    <row r="7" spans="1:7" ht="21" x14ac:dyDescent="0.35">
      <c r="A7" s="4"/>
      <c r="B7" s="10"/>
      <c r="C7" s="11" t="s">
        <v>358</v>
      </c>
      <c r="D7" s="4"/>
    </row>
    <row r="8" spans="1:7" ht="14.25" customHeight="1" x14ac:dyDescent="0.25">
      <c r="A8" s="12"/>
      <c r="B8" s="12"/>
    </row>
    <row r="9" spans="1:7" x14ac:dyDescent="0.25">
      <c r="A9" s="13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366</v>
      </c>
      <c r="B10" s="13">
        <v>832</v>
      </c>
      <c r="C10" s="14" t="str">
        <f>+VLOOKUP(B10,[1]LISTE!$A$1:$D$431,4,FALSE)</f>
        <v>ABBASSI LOTFI</v>
      </c>
      <c r="D10" s="14" t="s">
        <v>22</v>
      </c>
      <c r="E10" s="15">
        <v>45654</v>
      </c>
      <c r="F10" s="14" t="s">
        <v>23</v>
      </c>
      <c r="G10" s="16">
        <v>50</v>
      </c>
    </row>
    <row r="11" spans="1:7" x14ac:dyDescent="0.25">
      <c r="A11" s="13" t="s">
        <v>366</v>
      </c>
      <c r="B11" s="13">
        <v>832</v>
      </c>
      <c r="C11" s="14" t="str">
        <f>+VLOOKUP(B11,[1]LISTE!$A$1:$D$431,4,FALSE)</f>
        <v>ABBASSI LOTFI</v>
      </c>
      <c r="D11" s="14" t="s">
        <v>22</v>
      </c>
      <c r="E11" s="15">
        <v>45654</v>
      </c>
      <c r="F11" s="14" t="s">
        <v>20</v>
      </c>
      <c r="G11" s="16">
        <v>22.08</v>
      </c>
    </row>
    <row r="12" spans="1:7" x14ac:dyDescent="0.25">
      <c r="A12" s="13" t="s">
        <v>366</v>
      </c>
      <c r="B12" s="13">
        <v>832</v>
      </c>
      <c r="C12" s="14" t="str">
        <f>+VLOOKUP(B12,[1]LISTE!$A$1:$D$431,4,FALSE)</f>
        <v>ABBASSI LOTFI</v>
      </c>
      <c r="D12" s="14" t="s">
        <v>22</v>
      </c>
      <c r="E12" s="15">
        <v>45664</v>
      </c>
      <c r="F12" s="14" t="s">
        <v>21</v>
      </c>
      <c r="G12" s="16">
        <v>60</v>
      </c>
    </row>
    <row r="13" spans="1:7" x14ac:dyDescent="0.25">
      <c r="A13" s="13" t="s">
        <v>366</v>
      </c>
      <c r="B13" s="13">
        <v>832</v>
      </c>
      <c r="C13" s="14" t="str">
        <f>+VLOOKUP(B13,[1]LISTE!$A$1:$D$431,4,FALSE)</f>
        <v>ABBASSI LOTFI</v>
      </c>
      <c r="D13" s="14" t="s">
        <v>22</v>
      </c>
      <c r="E13" s="15">
        <v>45665</v>
      </c>
      <c r="F13" s="14" t="s">
        <v>24</v>
      </c>
      <c r="G13" s="16">
        <v>180</v>
      </c>
    </row>
    <row r="14" spans="1:7" x14ac:dyDescent="0.25">
      <c r="A14" s="13" t="s">
        <v>373</v>
      </c>
      <c r="B14" s="13">
        <v>957</v>
      </c>
      <c r="C14" s="14" t="str">
        <f>+VLOOKUP(B14,[1]LISTE!$A$1:$D$431,4,FALSE)</f>
        <v>GAZZAH NIZAR</v>
      </c>
      <c r="D14" s="14" t="s">
        <v>374</v>
      </c>
      <c r="E14" s="15">
        <v>45656</v>
      </c>
      <c r="F14" s="14" t="s">
        <v>18</v>
      </c>
      <c r="G14" s="16">
        <v>70</v>
      </c>
    </row>
    <row r="15" spans="1:7" x14ac:dyDescent="0.25">
      <c r="A15" s="13" t="s">
        <v>373</v>
      </c>
      <c r="B15" s="13">
        <v>957</v>
      </c>
      <c r="C15" s="14" t="str">
        <f>+VLOOKUP(B15,[1]LISTE!$A$1:$D$431,4,FALSE)</f>
        <v>GAZZAH NIZAR</v>
      </c>
      <c r="D15" s="14" t="s">
        <v>374</v>
      </c>
      <c r="E15" s="15">
        <v>45667</v>
      </c>
      <c r="F15" s="14" t="s">
        <v>20</v>
      </c>
      <c r="G15" s="16">
        <v>41.92</v>
      </c>
    </row>
    <row r="16" spans="1:7" x14ac:dyDescent="0.25">
      <c r="A16" s="13" t="s">
        <v>375</v>
      </c>
      <c r="B16" s="13">
        <v>1510</v>
      </c>
      <c r="C16" s="14" t="str">
        <f>+VLOOKUP(B16,[1]LISTE!$A$1:$D$431,4,FALSE)</f>
        <v>GAALOUL FETHI</v>
      </c>
      <c r="D16" s="14" t="s">
        <v>251</v>
      </c>
      <c r="E16" s="15">
        <v>45647</v>
      </c>
      <c r="F16" s="14" t="s">
        <v>20</v>
      </c>
      <c r="G16" s="16">
        <v>28.41</v>
      </c>
    </row>
    <row r="17" spans="1:7" x14ac:dyDescent="0.25">
      <c r="A17" s="13" t="s">
        <v>375</v>
      </c>
      <c r="B17" s="13">
        <v>1510</v>
      </c>
      <c r="C17" s="14" t="str">
        <f>+VLOOKUP(B17,[1]LISTE!$A$1:$D$431,4,FALSE)</f>
        <v>GAALOUL FETHI</v>
      </c>
      <c r="D17" s="14" t="s">
        <v>251</v>
      </c>
      <c r="E17" s="15">
        <v>45674</v>
      </c>
      <c r="F17" s="14" t="s">
        <v>65</v>
      </c>
      <c r="G17" s="16">
        <v>120</v>
      </c>
    </row>
    <row r="18" spans="1:7" x14ac:dyDescent="0.25">
      <c r="A18" s="13" t="s">
        <v>367</v>
      </c>
      <c r="B18" s="13">
        <v>1511</v>
      </c>
      <c r="C18" s="14" t="str">
        <f>+VLOOKUP(B18,[1]LISTE!$A$1:$D$431,4,FALSE)</f>
        <v>SOYAH NEJIB</v>
      </c>
      <c r="D18" s="14" t="s">
        <v>368</v>
      </c>
      <c r="E18" s="15">
        <v>45656</v>
      </c>
      <c r="F18" s="14" t="s">
        <v>18</v>
      </c>
      <c r="G18" s="16">
        <v>70</v>
      </c>
    </row>
    <row r="19" spans="1:7" x14ac:dyDescent="0.25">
      <c r="A19" s="13" t="s">
        <v>367</v>
      </c>
      <c r="B19" s="13">
        <v>1511</v>
      </c>
      <c r="C19" s="14" t="str">
        <f>+VLOOKUP(B19,[1]LISTE!$A$1:$D$431,4,FALSE)</f>
        <v>SOYAH NEJIB</v>
      </c>
      <c r="D19" s="14" t="s">
        <v>368</v>
      </c>
      <c r="E19" s="15">
        <v>45656</v>
      </c>
      <c r="F19" s="14" t="s">
        <v>20</v>
      </c>
      <c r="G19" s="16">
        <v>43.198999999999998</v>
      </c>
    </row>
    <row r="20" spans="1:7" x14ac:dyDescent="0.25">
      <c r="A20" s="13" t="s">
        <v>367</v>
      </c>
      <c r="B20" s="13">
        <v>1511</v>
      </c>
      <c r="C20" s="14" t="str">
        <f>+VLOOKUP(B20,[1]LISTE!$A$1:$D$431,4,FALSE)</f>
        <v>SOYAH NEJIB</v>
      </c>
      <c r="D20" s="14" t="s">
        <v>368</v>
      </c>
      <c r="E20" s="15">
        <v>45657</v>
      </c>
      <c r="F20" s="14" t="s">
        <v>21</v>
      </c>
      <c r="G20" s="16">
        <v>150</v>
      </c>
    </row>
    <row r="21" spans="1:7" x14ac:dyDescent="0.25">
      <c r="A21" s="13" t="s">
        <v>365</v>
      </c>
      <c r="B21" s="13">
        <v>1915</v>
      </c>
      <c r="C21" s="14" t="str">
        <f>+VLOOKUP(B21,[1]LISTE!$A$1:$D$431,4,FALSE)</f>
        <v>BEN ABDALLAH MOHAMED SALAH</v>
      </c>
      <c r="D21" s="14" t="s">
        <v>206</v>
      </c>
      <c r="E21" s="15">
        <v>45650</v>
      </c>
      <c r="F21" s="14" t="s">
        <v>18</v>
      </c>
      <c r="G21" s="16">
        <v>70</v>
      </c>
    </row>
    <row r="22" spans="1:7" x14ac:dyDescent="0.25">
      <c r="A22" s="13" t="s">
        <v>365</v>
      </c>
      <c r="B22" s="13">
        <v>1915</v>
      </c>
      <c r="C22" s="14" t="str">
        <f>+VLOOKUP(B22,[1]LISTE!$A$1:$D$431,4,FALSE)</f>
        <v>BEN ABDALLAH MOHAMED SALAH</v>
      </c>
      <c r="D22" s="14" t="s">
        <v>206</v>
      </c>
      <c r="E22" s="15">
        <v>45650</v>
      </c>
      <c r="F22" s="14" t="s">
        <v>19</v>
      </c>
      <c r="G22" s="16">
        <v>42.8</v>
      </c>
    </row>
    <row r="23" spans="1:7" x14ac:dyDescent="0.25">
      <c r="A23" s="13" t="s">
        <v>370</v>
      </c>
      <c r="B23" s="13">
        <v>1922</v>
      </c>
      <c r="C23" s="14" t="str">
        <f>+VLOOKUP(B23,[1]LISTE!$A$1:$D$431,4,FALSE)</f>
        <v>MAHJOUB FAKER</v>
      </c>
      <c r="D23" s="14" t="s">
        <v>371</v>
      </c>
      <c r="E23" s="15">
        <v>45654</v>
      </c>
      <c r="F23" s="14" t="s">
        <v>18</v>
      </c>
      <c r="G23" s="16">
        <v>70</v>
      </c>
    </row>
    <row r="24" spans="1:7" x14ac:dyDescent="0.25">
      <c r="A24" s="13" t="s">
        <v>370</v>
      </c>
      <c r="B24" s="13">
        <v>1922</v>
      </c>
      <c r="C24" s="14" t="str">
        <f>+VLOOKUP(B24,[1]LISTE!$A$1:$D$431,4,FALSE)</f>
        <v>MAHJOUB FAKER</v>
      </c>
      <c r="D24" s="14" t="s">
        <v>371</v>
      </c>
      <c r="E24" s="15">
        <v>45654</v>
      </c>
      <c r="F24" s="14" t="s">
        <v>20</v>
      </c>
      <c r="G24" s="16">
        <v>51.314999999999998</v>
      </c>
    </row>
    <row r="25" spans="1:7" x14ac:dyDescent="0.25">
      <c r="A25" s="13" t="s">
        <v>372</v>
      </c>
      <c r="B25" s="13">
        <v>1969</v>
      </c>
      <c r="C25" s="14" t="str">
        <f>+VLOOKUP(B25,[1]LISTE!$A$1:$D$431,4,FALSE)</f>
        <v>BOUKADDIDA MEHREZ</v>
      </c>
      <c r="D25" s="14" t="s">
        <v>22</v>
      </c>
      <c r="E25" s="15">
        <v>45653</v>
      </c>
      <c r="F25" s="14" t="s">
        <v>20</v>
      </c>
      <c r="G25" s="16">
        <v>72.122</v>
      </c>
    </row>
    <row r="26" spans="1:7" x14ac:dyDescent="0.25">
      <c r="A26" s="13" t="s">
        <v>372</v>
      </c>
      <c r="B26" s="13">
        <v>1969</v>
      </c>
      <c r="C26" s="14" t="str">
        <f>+VLOOKUP(B26,[1]LISTE!$A$1:$D$431,4,FALSE)</f>
        <v>BOUKADDIDA MEHREZ</v>
      </c>
      <c r="D26" s="14" t="s">
        <v>22</v>
      </c>
      <c r="E26" s="15">
        <v>45653</v>
      </c>
      <c r="F26" s="14" t="s">
        <v>21</v>
      </c>
      <c r="G26" s="16">
        <v>117.217</v>
      </c>
    </row>
    <row r="27" spans="1:7" x14ac:dyDescent="0.25">
      <c r="A27" s="13" t="s">
        <v>359</v>
      </c>
      <c r="B27" s="13">
        <v>1990</v>
      </c>
      <c r="C27" s="14" t="s">
        <v>360</v>
      </c>
      <c r="D27" s="14" t="s">
        <v>361</v>
      </c>
      <c r="E27" s="15">
        <v>45647</v>
      </c>
      <c r="F27" s="14" t="s">
        <v>18</v>
      </c>
      <c r="G27" s="16">
        <v>70</v>
      </c>
    </row>
    <row r="28" spans="1:7" x14ac:dyDescent="0.25">
      <c r="A28" s="13" t="s">
        <v>359</v>
      </c>
      <c r="B28" s="13">
        <v>1990</v>
      </c>
      <c r="C28" s="14" t="s">
        <v>360</v>
      </c>
      <c r="D28" s="14" t="s">
        <v>361</v>
      </c>
      <c r="E28" s="15">
        <v>45642</v>
      </c>
      <c r="F28" s="14" t="s">
        <v>19</v>
      </c>
      <c r="G28" s="16">
        <v>129.41999999999999</v>
      </c>
    </row>
    <row r="29" spans="1:7" x14ac:dyDescent="0.25">
      <c r="A29" s="13" t="s">
        <v>359</v>
      </c>
      <c r="B29" s="13">
        <v>1990</v>
      </c>
      <c r="C29" s="14" t="s">
        <v>360</v>
      </c>
      <c r="D29" s="14" t="s">
        <v>361</v>
      </c>
      <c r="E29" s="15">
        <v>45647</v>
      </c>
      <c r="F29" s="14" t="s">
        <v>20</v>
      </c>
      <c r="G29" s="16">
        <v>32.299999999999997</v>
      </c>
    </row>
    <row r="30" spans="1:7" x14ac:dyDescent="0.25">
      <c r="A30" s="13" t="s">
        <v>359</v>
      </c>
      <c r="B30" s="13">
        <v>1990</v>
      </c>
      <c r="C30" s="14" t="s">
        <v>360</v>
      </c>
      <c r="D30" s="14" t="s">
        <v>361</v>
      </c>
      <c r="E30" s="15">
        <v>45649</v>
      </c>
      <c r="F30" s="14" t="s">
        <v>65</v>
      </c>
      <c r="G30" s="16">
        <v>25.61</v>
      </c>
    </row>
    <row r="31" spans="1:7" x14ac:dyDescent="0.25">
      <c r="A31" s="13" t="s">
        <v>362</v>
      </c>
      <c r="B31" s="13">
        <v>1990</v>
      </c>
      <c r="C31" s="14" t="s">
        <v>360</v>
      </c>
      <c r="D31" s="14" t="s">
        <v>361</v>
      </c>
      <c r="E31" s="15">
        <v>45657</v>
      </c>
      <c r="F31" s="14" t="s">
        <v>18</v>
      </c>
      <c r="G31" s="16">
        <v>250</v>
      </c>
    </row>
    <row r="32" spans="1:7" x14ac:dyDescent="0.25">
      <c r="A32" s="13" t="s">
        <v>362</v>
      </c>
      <c r="B32" s="13">
        <v>1990</v>
      </c>
      <c r="C32" s="14" t="s">
        <v>360</v>
      </c>
      <c r="D32" s="14" t="s">
        <v>361</v>
      </c>
      <c r="E32" s="15">
        <v>45657</v>
      </c>
      <c r="F32" s="14" t="s">
        <v>363</v>
      </c>
      <c r="G32" s="16">
        <v>1000</v>
      </c>
    </row>
    <row r="33" spans="1:7" x14ac:dyDescent="0.25">
      <c r="A33" s="13" t="s">
        <v>362</v>
      </c>
      <c r="B33" s="13">
        <v>1990</v>
      </c>
      <c r="C33" s="14" t="s">
        <v>360</v>
      </c>
      <c r="D33" s="14" t="s">
        <v>361</v>
      </c>
      <c r="E33" s="15">
        <v>45657</v>
      </c>
      <c r="F33" s="14" t="s">
        <v>19</v>
      </c>
      <c r="G33" s="16">
        <v>54.356000000000002</v>
      </c>
    </row>
    <row r="34" spans="1:7" x14ac:dyDescent="0.25">
      <c r="A34" s="13" t="s">
        <v>362</v>
      </c>
      <c r="B34" s="13">
        <v>1990</v>
      </c>
      <c r="C34" s="14" t="s">
        <v>360</v>
      </c>
      <c r="D34" s="14" t="s">
        <v>361</v>
      </c>
      <c r="E34" s="15">
        <v>45657</v>
      </c>
      <c r="F34" s="14" t="s">
        <v>363</v>
      </c>
      <c r="G34" s="16">
        <v>350</v>
      </c>
    </row>
    <row r="35" spans="1:7" x14ac:dyDescent="0.25">
      <c r="A35" s="13" t="s">
        <v>362</v>
      </c>
      <c r="B35" s="13">
        <v>1990</v>
      </c>
      <c r="C35" s="14" t="s">
        <v>360</v>
      </c>
      <c r="D35" s="14" t="s">
        <v>361</v>
      </c>
      <c r="E35" s="15">
        <v>45657</v>
      </c>
      <c r="F35" s="14" t="s">
        <v>20</v>
      </c>
      <c r="G35" s="16">
        <v>142.92099999999999</v>
      </c>
    </row>
    <row r="36" spans="1:7" x14ac:dyDescent="0.25">
      <c r="A36" s="13" t="s">
        <v>362</v>
      </c>
      <c r="B36" s="13">
        <v>1990</v>
      </c>
      <c r="C36" s="14" t="s">
        <v>360</v>
      </c>
      <c r="D36" s="14" t="s">
        <v>361</v>
      </c>
      <c r="E36" s="15">
        <v>45657</v>
      </c>
      <c r="F36" s="14" t="s">
        <v>20</v>
      </c>
      <c r="G36" s="16">
        <v>68.453000000000003</v>
      </c>
    </row>
    <row r="37" spans="1:7" x14ac:dyDescent="0.25">
      <c r="A37" s="13" t="s">
        <v>362</v>
      </c>
      <c r="B37" s="13">
        <v>1990</v>
      </c>
      <c r="C37" s="14" t="s">
        <v>360</v>
      </c>
      <c r="D37" s="14" t="s">
        <v>361</v>
      </c>
      <c r="E37" s="15">
        <v>45657</v>
      </c>
      <c r="F37" s="14" t="s">
        <v>364</v>
      </c>
      <c r="G37" s="16">
        <v>999.10500000000002</v>
      </c>
    </row>
    <row r="38" spans="1:7" x14ac:dyDescent="0.25">
      <c r="A38" s="13" t="s">
        <v>362</v>
      </c>
      <c r="B38" s="13">
        <v>1990</v>
      </c>
      <c r="C38" s="14" t="s">
        <v>360</v>
      </c>
      <c r="D38" s="14" t="s">
        <v>361</v>
      </c>
      <c r="E38" s="15">
        <v>45657</v>
      </c>
      <c r="F38" s="14" t="s">
        <v>312</v>
      </c>
      <c r="G38" s="16"/>
    </row>
    <row r="39" spans="1:7" x14ac:dyDescent="0.25">
      <c r="A39" s="13"/>
      <c r="B39" s="13"/>
      <c r="C39" s="14" t="e">
        <f>+VLOOKUP(B39,[1]LISTE!$A$1:$D$431,4,FALSE)</f>
        <v>#N/A</v>
      </c>
      <c r="D39" s="14"/>
      <c r="E39" s="15"/>
      <c r="F39" s="14"/>
      <c r="G39" s="16"/>
    </row>
    <row r="40" spans="1:7" ht="18.75" x14ac:dyDescent="0.3">
      <c r="A40" s="13"/>
      <c r="B40" s="13"/>
      <c r="C40" s="14"/>
      <c r="D40" s="14"/>
      <c r="E40" s="14"/>
      <c r="F40" s="17" t="s">
        <v>11</v>
      </c>
      <c r="G40" s="17">
        <f>SUM(G10:G39)</f>
        <v>4381.2280000000001</v>
      </c>
    </row>
    <row r="41" spans="1:7" x14ac:dyDescent="0.25">
      <c r="A41" s="12"/>
      <c r="B41" s="12"/>
    </row>
    <row r="42" spans="1:7" x14ac:dyDescent="0.25">
      <c r="A42" s="12"/>
      <c r="B42" s="12"/>
    </row>
    <row r="43" spans="1:7" x14ac:dyDescent="0.25">
      <c r="A43" s="12"/>
      <c r="B43" s="12"/>
      <c r="E43" s="18"/>
      <c r="F43" s="18"/>
      <c r="G43" s="18"/>
    </row>
    <row r="44" spans="1:7" x14ac:dyDescent="0.25">
      <c r="A44" s="12"/>
      <c r="B44" s="12"/>
      <c r="E44" s="18"/>
      <c r="F44" s="18"/>
      <c r="G44" s="18"/>
    </row>
    <row r="45" spans="1:7" x14ac:dyDescent="0.25">
      <c r="A45" s="12"/>
      <c r="B45" s="12"/>
      <c r="E45" s="18"/>
      <c r="F45" s="18"/>
      <c r="G45" s="18"/>
    </row>
    <row r="46" spans="1:7" ht="18.75" x14ac:dyDescent="0.3">
      <c r="B46" s="19" t="s">
        <v>12</v>
      </c>
      <c r="C46" s="20"/>
      <c r="D46" s="21"/>
      <c r="E46" s="22"/>
      <c r="F46" s="19" t="s">
        <v>13</v>
      </c>
      <c r="G46" s="22"/>
    </row>
    <row r="47" spans="1:7" ht="15.75" x14ac:dyDescent="0.25">
      <c r="A47" s="23"/>
      <c r="B47" s="24" t="s">
        <v>14</v>
      </c>
      <c r="C47" s="25"/>
      <c r="D47" s="26"/>
      <c r="E47" s="22"/>
      <c r="F47" s="27" t="s">
        <v>15</v>
      </c>
      <c r="G47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1"/>
  <sheetViews>
    <sheetView workbookViewId="0">
      <pane ySplit="9" topLeftCell="A10" activePane="bottomLeft" state="frozen"/>
      <selection pane="bottomLeft" activeCell="B124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400</v>
      </c>
      <c r="C5" s="7"/>
      <c r="D5" s="4"/>
    </row>
    <row r="6" spans="1:7" ht="22.5" customHeight="1" x14ac:dyDescent="0.25">
      <c r="A6" s="6"/>
      <c r="B6" s="8" t="s">
        <v>601</v>
      </c>
      <c r="C6" s="9"/>
      <c r="D6" s="4"/>
    </row>
    <row r="7" spans="1:7" ht="21" x14ac:dyDescent="0.35">
      <c r="A7" s="4"/>
      <c r="B7" s="10"/>
      <c r="C7" s="11" t="s">
        <v>600</v>
      </c>
      <c r="D7" s="4"/>
    </row>
    <row r="8" spans="1:7" ht="4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588</v>
      </c>
      <c r="B10" s="13">
        <v>480</v>
      </c>
      <c r="C10" s="14" t="str">
        <f>+VLOOKUP(B10,[1]LISTE!$A$1:$D$431,4,FALSE)</f>
        <v>TOUMI CHOKRI</v>
      </c>
      <c r="D10" s="15" t="s">
        <v>589</v>
      </c>
      <c r="E10" s="15">
        <v>45691</v>
      </c>
      <c r="F10" s="14" t="s">
        <v>18</v>
      </c>
      <c r="G10" s="16">
        <v>60</v>
      </c>
    </row>
    <row r="11" spans="1:7" x14ac:dyDescent="0.25">
      <c r="A11" s="13" t="s">
        <v>588</v>
      </c>
      <c r="B11" s="13">
        <v>480</v>
      </c>
      <c r="C11" s="14" t="str">
        <f>+VLOOKUP(B11,[1]LISTE!$A$1:$D$431,4,FALSE)</f>
        <v>TOUMI CHOKRI</v>
      </c>
      <c r="D11" s="15" t="s">
        <v>589</v>
      </c>
      <c r="E11" s="15">
        <v>45691</v>
      </c>
      <c r="F11" s="14" t="s">
        <v>20</v>
      </c>
      <c r="G11" s="16">
        <v>121.22799999999999</v>
      </c>
    </row>
    <row r="12" spans="1:7" x14ac:dyDescent="0.25">
      <c r="A12" s="13" t="s">
        <v>416</v>
      </c>
      <c r="B12" s="13">
        <v>721</v>
      </c>
      <c r="C12" s="14" t="str">
        <f>+VLOOKUP(B12,[1]LISTE!$A$1:$D$431,4,FALSE)</f>
        <v>BEN ABDELJELIL WAHID</v>
      </c>
      <c r="D12" s="15" t="s">
        <v>22</v>
      </c>
      <c r="E12" s="15">
        <v>45685</v>
      </c>
      <c r="F12" s="14" t="s">
        <v>23</v>
      </c>
      <c r="G12" s="16">
        <v>25</v>
      </c>
    </row>
    <row r="13" spans="1:7" x14ac:dyDescent="0.25">
      <c r="A13" s="13" t="s">
        <v>416</v>
      </c>
      <c r="B13" s="13">
        <v>721</v>
      </c>
      <c r="C13" s="14" t="str">
        <f>+VLOOKUP(B13,[1]LISTE!$A$1:$D$431,4,FALSE)</f>
        <v>BEN ABDELJELIL WAHID</v>
      </c>
      <c r="D13" s="14" t="s">
        <v>22</v>
      </c>
      <c r="E13" s="15">
        <v>45685</v>
      </c>
      <c r="F13" s="14" t="s">
        <v>20</v>
      </c>
      <c r="G13" s="16">
        <v>58.564999999999998</v>
      </c>
    </row>
    <row r="14" spans="1:7" x14ac:dyDescent="0.25">
      <c r="A14" s="13" t="s">
        <v>488</v>
      </c>
      <c r="B14" s="13">
        <v>913</v>
      </c>
      <c r="C14" s="14" t="str">
        <f>+VLOOKUP(B14,[1]LISTE!$A$1:$D$431,4,FALSE)</f>
        <v>MAOUA MED HEDI</v>
      </c>
      <c r="D14" s="14" t="s">
        <v>279</v>
      </c>
      <c r="E14" s="15">
        <v>45689</v>
      </c>
      <c r="F14" s="14" t="s">
        <v>23</v>
      </c>
      <c r="G14" s="16">
        <v>1.5</v>
      </c>
    </row>
    <row r="15" spans="1:7" x14ac:dyDescent="0.25">
      <c r="A15" s="13" t="s">
        <v>488</v>
      </c>
      <c r="B15" s="13">
        <v>913</v>
      </c>
      <c r="C15" s="14" t="str">
        <f>+VLOOKUP(B15,[1]LISTE!$A$1:$D$431,4,FALSE)</f>
        <v>MAOUA MED HEDI</v>
      </c>
      <c r="D15" s="14" t="s">
        <v>279</v>
      </c>
      <c r="E15" s="15">
        <v>45689</v>
      </c>
      <c r="F15" s="14" t="s">
        <v>20</v>
      </c>
      <c r="G15" s="16">
        <v>48.24</v>
      </c>
    </row>
    <row r="16" spans="1:7" x14ac:dyDescent="0.25">
      <c r="A16" s="13" t="s">
        <v>542</v>
      </c>
      <c r="B16" s="13">
        <v>978</v>
      </c>
      <c r="C16" s="14" t="str">
        <f>+VLOOKUP(B16,[1]LISTE!$A$1:$D$431,4,FALSE)</f>
        <v>GRAIET ADEL</v>
      </c>
      <c r="D16" s="14" t="s">
        <v>543</v>
      </c>
      <c r="E16" s="15">
        <v>45689</v>
      </c>
      <c r="F16" s="14" t="s">
        <v>18</v>
      </c>
      <c r="G16" s="16">
        <v>70</v>
      </c>
    </row>
    <row r="17" spans="1:7" x14ac:dyDescent="0.25">
      <c r="A17" s="13" t="s">
        <v>542</v>
      </c>
      <c r="B17" s="13">
        <v>978</v>
      </c>
      <c r="C17" s="14" t="str">
        <f>+VLOOKUP(B17,[1]LISTE!$A$1:$D$431,4,FALSE)</f>
        <v>GRAIET ADEL</v>
      </c>
      <c r="D17" s="14" t="s">
        <v>543</v>
      </c>
      <c r="E17" s="15">
        <v>45689</v>
      </c>
      <c r="F17" s="14" t="s">
        <v>20</v>
      </c>
      <c r="G17" s="16">
        <v>21.704999999999998</v>
      </c>
    </row>
    <row r="18" spans="1:7" x14ac:dyDescent="0.25">
      <c r="A18" s="13" t="s">
        <v>535</v>
      </c>
      <c r="B18" s="13">
        <v>997</v>
      </c>
      <c r="C18" s="14" t="str">
        <f>+VLOOKUP(B18,[1]LISTE!$A$1:$D$431,4,FALSE)</f>
        <v>KOIUISSAH MAHJOUB SLAH</v>
      </c>
      <c r="D18" s="14" t="s">
        <v>37</v>
      </c>
      <c r="E18" s="15">
        <v>45691</v>
      </c>
      <c r="F18" s="14" t="s">
        <v>18</v>
      </c>
      <c r="G18" s="16">
        <v>70</v>
      </c>
    </row>
    <row r="19" spans="1:7" x14ac:dyDescent="0.25">
      <c r="A19" s="13" t="s">
        <v>535</v>
      </c>
      <c r="B19" s="13">
        <v>997</v>
      </c>
      <c r="C19" s="14" t="str">
        <f>+VLOOKUP(B19,[1]LISTE!$A$1:$D$431,4,FALSE)</f>
        <v>KOIUISSAH MAHJOUB SLAH</v>
      </c>
      <c r="D19" s="14" t="s">
        <v>37</v>
      </c>
      <c r="E19" s="15">
        <v>45691</v>
      </c>
      <c r="F19" s="14" t="s">
        <v>20</v>
      </c>
      <c r="G19" s="16">
        <v>7.33</v>
      </c>
    </row>
    <row r="20" spans="1:7" x14ac:dyDescent="0.25">
      <c r="A20" s="13" t="s">
        <v>536</v>
      </c>
      <c r="B20" s="13">
        <v>997</v>
      </c>
      <c r="C20" s="14" t="str">
        <f>+VLOOKUP(B20,[1]LISTE!$A$1:$D$431,4,FALSE)</f>
        <v>KOIUISSAH MAHJOUB SLAH</v>
      </c>
      <c r="D20" s="14" t="s">
        <v>37</v>
      </c>
      <c r="E20" s="15">
        <v>45685</v>
      </c>
      <c r="F20" s="14" t="s">
        <v>23</v>
      </c>
      <c r="G20" s="16">
        <v>50</v>
      </c>
    </row>
    <row r="21" spans="1:7" x14ac:dyDescent="0.25">
      <c r="A21" s="13" t="s">
        <v>536</v>
      </c>
      <c r="B21" s="13">
        <v>997</v>
      </c>
      <c r="C21" s="14" t="str">
        <f>+VLOOKUP(B21,[1]LISTE!$A$1:$D$431,4,FALSE)</f>
        <v>KOIUISSAH MAHJOUB SLAH</v>
      </c>
      <c r="D21" s="14" t="s">
        <v>37</v>
      </c>
      <c r="E21" s="15">
        <v>45685</v>
      </c>
      <c r="F21" s="14" t="s">
        <v>20</v>
      </c>
      <c r="G21" s="16">
        <v>23.83</v>
      </c>
    </row>
    <row r="22" spans="1:7" x14ac:dyDescent="0.25">
      <c r="A22" s="13" t="s">
        <v>536</v>
      </c>
      <c r="B22" s="13">
        <v>997</v>
      </c>
      <c r="C22" s="14" t="str">
        <f>+VLOOKUP(B22,[1]LISTE!$A$1:$D$431,4,FALSE)</f>
        <v>KOIUISSAH MAHJOUB SLAH</v>
      </c>
      <c r="D22" s="14" t="s">
        <v>37</v>
      </c>
      <c r="E22" s="15">
        <v>45691</v>
      </c>
      <c r="F22" s="14" t="s">
        <v>20</v>
      </c>
      <c r="G22" s="16">
        <v>34.58</v>
      </c>
    </row>
    <row r="23" spans="1:7" x14ac:dyDescent="0.25">
      <c r="A23" s="13" t="s">
        <v>490</v>
      </c>
      <c r="B23" s="13">
        <v>1504</v>
      </c>
      <c r="C23" s="14" t="str">
        <f>+VLOOKUP(B23,[1]LISTE!$A$1:$D$431,4,FALSE)</f>
        <v>ABBADI HABIB</v>
      </c>
      <c r="D23" s="14" t="s">
        <v>22</v>
      </c>
      <c r="E23" s="15">
        <v>45679</v>
      </c>
      <c r="F23" s="14" t="s">
        <v>18</v>
      </c>
      <c r="G23" s="16">
        <v>60</v>
      </c>
    </row>
    <row r="24" spans="1:7" x14ac:dyDescent="0.25">
      <c r="A24" s="13" t="s">
        <v>490</v>
      </c>
      <c r="B24" s="13">
        <v>1504</v>
      </c>
      <c r="C24" s="14" t="str">
        <f>+VLOOKUP(B24,[1]LISTE!$A$1:$D$431,4,FALSE)</f>
        <v>ABBADI HABIB</v>
      </c>
      <c r="D24" s="15" t="s">
        <v>22</v>
      </c>
      <c r="E24" s="15">
        <v>45679</v>
      </c>
      <c r="F24" s="14" t="s">
        <v>20</v>
      </c>
      <c r="G24" s="16">
        <v>207.61500000000001</v>
      </c>
    </row>
    <row r="25" spans="1:7" x14ac:dyDescent="0.25">
      <c r="A25" s="13" t="s">
        <v>491</v>
      </c>
      <c r="B25" s="13">
        <v>1504</v>
      </c>
      <c r="C25" s="14" t="str">
        <f>+VLOOKUP(B25,[1]LISTE!$A$1:$D$431,4,FALSE)</f>
        <v>ABBADI HABIB</v>
      </c>
      <c r="D25" s="15" t="s">
        <v>40</v>
      </c>
      <c r="E25" s="15">
        <v>45686</v>
      </c>
      <c r="F25" s="14" t="s">
        <v>18</v>
      </c>
      <c r="G25" s="16">
        <v>60</v>
      </c>
    </row>
    <row r="26" spans="1:7" x14ac:dyDescent="0.25">
      <c r="A26" s="13" t="s">
        <v>491</v>
      </c>
      <c r="B26" s="13">
        <v>1504</v>
      </c>
      <c r="C26" s="14" t="str">
        <f>+VLOOKUP(B26,[1]LISTE!$A$1:$D$431,4,FALSE)</f>
        <v>ABBADI HABIB</v>
      </c>
      <c r="D26" s="14" t="s">
        <v>40</v>
      </c>
      <c r="E26" s="15">
        <v>45686</v>
      </c>
      <c r="F26" s="14" t="s">
        <v>20</v>
      </c>
      <c r="G26" s="16">
        <v>178.69</v>
      </c>
    </row>
    <row r="27" spans="1:7" x14ac:dyDescent="0.25">
      <c r="A27" s="13" t="s">
        <v>557</v>
      </c>
      <c r="B27" s="13">
        <v>1535</v>
      </c>
      <c r="C27" s="14" t="str">
        <f>+VLOOKUP(B27,[1]LISTE!$A$1:$D$431,4,FALSE)</f>
        <v>ROUIS LOTFI</v>
      </c>
      <c r="D27" s="15" t="s">
        <v>22</v>
      </c>
      <c r="E27" s="15">
        <v>45694</v>
      </c>
      <c r="F27" s="14" t="s">
        <v>20</v>
      </c>
      <c r="G27" s="16">
        <v>74.349999999999994</v>
      </c>
    </row>
    <row r="28" spans="1:7" x14ac:dyDescent="0.25">
      <c r="A28" s="13" t="s">
        <v>590</v>
      </c>
      <c r="B28" s="13">
        <v>1535</v>
      </c>
      <c r="C28" s="14" t="str">
        <f>+VLOOKUP(B28,[1]LISTE!$A$1:$D$431,4,FALSE)</f>
        <v>ROUIS LOTFI</v>
      </c>
      <c r="D28" s="15" t="s">
        <v>22</v>
      </c>
      <c r="E28" s="15">
        <v>45693</v>
      </c>
      <c r="F28" s="14" t="s">
        <v>23</v>
      </c>
      <c r="G28" s="16">
        <v>40</v>
      </c>
    </row>
    <row r="29" spans="1:7" x14ac:dyDescent="0.25">
      <c r="A29" s="13" t="s">
        <v>590</v>
      </c>
      <c r="B29" s="13">
        <v>1535</v>
      </c>
      <c r="C29" s="14" t="str">
        <f>+VLOOKUP(B29,[1]LISTE!$A$1:$D$431,4,FALSE)</f>
        <v>ROUIS LOTFI</v>
      </c>
      <c r="D29" s="15" t="s">
        <v>22</v>
      </c>
      <c r="E29" s="15">
        <v>45693</v>
      </c>
      <c r="F29" s="14" t="s">
        <v>20</v>
      </c>
      <c r="G29" s="16">
        <v>4.2450000000000001</v>
      </c>
    </row>
    <row r="30" spans="1:7" x14ac:dyDescent="0.25">
      <c r="A30" s="13" t="s">
        <v>590</v>
      </c>
      <c r="B30" s="13">
        <v>1535</v>
      </c>
      <c r="C30" s="14" t="str">
        <f>+VLOOKUP(B30,[1]LISTE!$A$1:$D$431,4,FALSE)</f>
        <v>ROUIS LOTFI</v>
      </c>
      <c r="D30" s="15" t="s">
        <v>22</v>
      </c>
      <c r="E30" s="15">
        <v>45695</v>
      </c>
      <c r="F30" s="14" t="s">
        <v>24</v>
      </c>
      <c r="G30" s="16">
        <v>160</v>
      </c>
    </row>
    <row r="31" spans="1:7" x14ac:dyDescent="0.25">
      <c r="A31" s="13" t="s">
        <v>505</v>
      </c>
      <c r="B31" s="13">
        <v>1555</v>
      </c>
      <c r="C31" s="14" t="str">
        <f>+VLOOKUP(B31,[1]LISTE!$A$1:$D$431,4,FALSE)</f>
        <v>FHIMA HAMDI</v>
      </c>
      <c r="D31" s="15" t="s">
        <v>506</v>
      </c>
      <c r="E31" s="15">
        <v>45658</v>
      </c>
      <c r="F31" s="14" t="s">
        <v>23</v>
      </c>
      <c r="G31" s="16">
        <v>40</v>
      </c>
    </row>
    <row r="32" spans="1:7" x14ac:dyDescent="0.25">
      <c r="A32" s="13" t="s">
        <v>505</v>
      </c>
      <c r="B32" s="13">
        <v>1555</v>
      </c>
      <c r="C32" s="14" t="str">
        <f>+VLOOKUP(B32,[1]LISTE!$A$1:$D$431,4,FALSE)</f>
        <v>FHIMA HAMDI</v>
      </c>
      <c r="D32" s="14" t="s">
        <v>506</v>
      </c>
      <c r="E32" s="15">
        <v>45658</v>
      </c>
      <c r="F32" s="14" t="s">
        <v>20</v>
      </c>
      <c r="G32" s="16">
        <v>17.292999999999999</v>
      </c>
    </row>
    <row r="33" spans="1:7" x14ac:dyDescent="0.25">
      <c r="A33" s="13" t="s">
        <v>505</v>
      </c>
      <c r="B33" s="13">
        <v>1555</v>
      </c>
      <c r="C33" s="14" t="str">
        <f>+VLOOKUP(B33,[1]LISTE!$A$1:$D$431,4,FALSE)</f>
        <v>FHIMA HAMDI</v>
      </c>
      <c r="D33" s="14" t="s">
        <v>506</v>
      </c>
      <c r="E33" s="15">
        <v>45665</v>
      </c>
      <c r="F33" s="14" t="s">
        <v>19</v>
      </c>
      <c r="G33" s="16">
        <v>37.771000000000001</v>
      </c>
    </row>
    <row r="34" spans="1:7" x14ac:dyDescent="0.25">
      <c r="A34" s="13" t="s">
        <v>441</v>
      </c>
      <c r="B34" s="13">
        <v>1558</v>
      </c>
      <c r="C34" s="14" t="str">
        <f>+VLOOKUP(B34,[1]LISTE!$A$1:$D$431,4,FALSE)</f>
        <v>DRIDI KARIM</v>
      </c>
      <c r="D34" s="14" t="s">
        <v>22</v>
      </c>
      <c r="E34" s="15">
        <v>45686</v>
      </c>
      <c r="F34" s="14" t="s">
        <v>23</v>
      </c>
      <c r="G34" s="16">
        <v>25</v>
      </c>
    </row>
    <row r="35" spans="1:7" x14ac:dyDescent="0.25">
      <c r="A35" s="13" t="s">
        <v>441</v>
      </c>
      <c r="B35" s="13">
        <v>1558</v>
      </c>
      <c r="C35" s="14" t="str">
        <f>+VLOOKUP(B35,[1]LISTE!$A$1:$D$431,4,FALSE)</f>
        <v>DRIDI KARIM</v>
      </c>
      <c r="D35" s="14" t="s">
        <v>22</v>
      </c>
      <c r="E35" s="15">
        <v>45686</v>
      </c>
      <c r="F35" s="14" t="s">
        <v>20</v>
      </c>
      <c r="G35" s="16">
        <v>36.689</v>
      </c>
    </row>
    <row r="36" spans="1:7" x14ac:dyDescent="0.25">
      <c r="A36" s="13" t="s">
        <v>594</v>
      </c>
      <c r="B36" s="13">
        <v>1575</v>
      </c>
      <c r="C36" s="14" t="str">
        <f>+VLOOKUP(B36,[1]LISTE!$A$1:$D$431,4,FALSE)</f>
        <v>BEN ABDELJELIL ZOUHAIER</v>
      </c>
      <c r="D36" s="15" t="s">
        <v>595</v>
      </c>
      <c r="E36" s="15">
        <v>45688</v>
      </c>
      <c r="F36" s="14" t="s">
        <v>18</v>
      </c>
      <c r="G36" s="16">
        <v>70</v>
      </c>
    </row>
    <row r="37" spans="1:7" x14ac:dyDescent="0.25">
      <c r="A37" s="13" t="s">
        <v>594</v>
      </c>
      <c r="B37" s="13">
        <v>1575</v>
      </c>
      <c r="C37" s="14" t="str">
        <f>+VLOOKUP(B37,[1]LISTE!$A$1:$D$431,4,FALSE)</f>
        <v>BEN ABDELJELIL ZOUHAIER</v>
      </c>
      <c r="D37" s="15" t="s">
        <v>595</v>
      </c>
      <c r="E37" s="15">
        <v>45692</v>
      </c>
      <c r="F37" s="14" t="s">
        <v>20</v>
      </c>
      <c r="G37" s="16">
        <v>15.542999999999999</v>
      </c>
    </row>
    <row r="38" spans="1:7" x14ac:dyDescent="0.25">
      <c r="A38" s="13" t="s">
        <v>594</v>
      </c>
      <c r="B38" s="13">
        <v>1575</v>
      </c>
      <c r="C38" s="14" t="str">
        <f>+VLOOKUP(B38,[1]LISTE!$A$1:$D$431,4,FALSE)</f>
        <v>BEN ABDELJELIL ZOUHAIER</v>
      </c>
      <c r="D38" s="15" t="s">
        <v>595</v>
      </c>
      <c r="E38" s="15">
        <v>45698</v>
      </c>
      <c r="F38" s="14" t="s">
        <v>20</v>
      </c>
      <c r="G38" s="16">
        <v>14.24</v>
      </c>
    </row>
    <row r="39" spans="1:7" x14ac:dyDescent="0.25">
      <c r="A39" s="13" t="s">
        <v>514</v>
      </c>
      <c r="B39" s="13">
        <v>1595</v>
      </c>
      <c r="C39" s="14" t="str">
        <f>+VLOOKUP(B39,[1]LISTE!$A$1:$D$431,4,FALSE)</f>
        <v>BEN SALEM FETHI</v>
      </c>
      <c r="D39" s="14" t="s">
        <v>284</v>
      </c>
      <c r="E39" s="15">
        <v>45691</v>
      </c>
      <c r="F39" s="14" t="s">
        <v>23</v>
      </c>
      <c r="G39" s="16">
        <v>50</v>
      </c>
    </row>
    <row r="40" spans="1:7" x14ac:dyDescent="0.25">
      <c r="A40" s="13" t="s">
        <v>514</v>
      </c>
      <c r="B40" s="13">
        <v>1595</v>
      </c>
      <c r="C40" s="14" t="str">
        <f>+VLOOKUP(B40,[1]LISTE!$A$1:$D$431,4,FALSE)</f>
        <v>BEN SALEM FETHI</v>
      </c>
      <c r="D40" s="14" t="s">
        <v>284</v>
      </c>
      <c r="E40" s="15">
        <v>45691</v>
      </c>
      <c r="F40" s="14" t="s">
        <v>20</v>
      </c>
      <c r="G40" s="16">
        <v>21.925000000000001</v>
      </c>
    </row>
    <row r="41" spans="1:7" x14ac:dyDescent="0.25">
      <c r="A41" s="13" t="s">
        <v>510</v>
      </c>
      <c r="B41" s="13">
        <v>1596</v>
      </c>
      <c r="C41" s="14" t="str">
        <f>+VLOOKUP(B41,[1]LISTE!$A$1:$D$431,4,FALSE)</f>
        <v>GORCHENE NOUREDDINE</v>
      </c>
      <c r="D41" s="14" t="s">
        <v>511</v>
      </c>
      <c r="E41" s="15">
        <v>45692</v>
      </c>
      <c r="F41" s="14" t="s">
        <v>23</v>
      </c>
      <c r="G41" s="16">
        <v>45</v>
      </c>
    </row>
    <row r="42" spans="1:7" x14ac:dyDescent="0.25">
      <c r="A42" s="13" t="s">
        <v>510</v>
      </c>
      <c r="B42" s="13">
        <v>1596</v>
      </c>
      <c r="C42" s="14" t="str">
        <f>+VLOOKUP(B42,[1]LISTE!$A$1:$D$431,4,FALSE)</f>
        <v>GORCHENE NOUREDDINE</v>
      </c>
      <c r="D42" s="14" t="s">
        <v>511</v>
      </c>
      <c r="E42" s="15">
        <v>45692</v>
      </c>
      <c r="F42" s="14" t="s">
        <v>20</v>
      </c>
      <c r="G42" s="16">
        <v>50.734999999999999</v>
      </c>
    </row>
    <row r="43" spans="1:7" x14ac:dyDescent="0.25">
      <c r="A43" s="13" t="s">
        <v>457</v>
      </c>
      <c r="B43" s="13">
        <v>1616</v>
      </c>
      <c r="C43" s="14" t="str">
        <f>+VLOOKUP(B43,[1]LISTE!$A$1:$D$431,4,FALSE)</f>
        <v>MOUSSA FETHI</v>
      </c>
      <c r="D43" s="14" t="s">
        <v>180</v>
      </c>
      <c r="E43" s="15">
        <v>45687</v>
      </c>
      <c r="F43" s="14" t="s">
        <v>23</v>
      </c>
      <c r="G43" s="16">
        <v>45</v>
      </c>
    </row>
    <row r="44" spans="1:7" x14ac:dyDescent="0.25">
      <c r="A44" s="13" t="s">
        <v>457</v>
      </c>
      <c r="B44" s="13">
        <v>1616</v>
      </c>
      <c r="C44" s="14" t="str">
        <f>+VLOOKUP(B44,[1]LISTE!$A$1:$D$431,4,FALSE)</f>
        <v>MOUSSA FETHI</v>
      </c>
      <c r="D44" s="14" t="s">
        <v>180</v>
      </c>
      <c r="E44" s="15">
        <v>45687</v>
      </c>
      <c r="F44" s="14" t="s">
        <v>20</v>
      </c>
      <c r="G44" s="16">
        <v>31.016999999999999</v>
      </c>
    </row>
    <row r="45" spans="1:7" x14ac:dyDescent="0.25">
      <c r="A45" s="13" t="s">
        <v>515</v>
      </c>
      <c r="B45" s="13">
        <v>1633</v>
      </c>
      <c r="C45" s="14" t="str">
        <f>+VLOOKUP(B45,[1]LISTE!$A$1:$D$431,4,FALSE)</f>
        <v>ROMDHANE HEDI</v>
      </c>
      <c r="D45" s="14" t="s">
        <v>516</v>
      </c>
      <c r="E45" s="15">
        <v>45677</v>
      </c>
      <c r="F45" s="14" t="s">
        <v>18</v>
      </c>
      <c r="G45" s="16">
        <v>70</v>
      </c>
    </row>
    <row r="46" spans="1:7" x14ac:dyDescent="0.25">
      <c r="A46" s="13" t="s">
        <v>515</v>
      </c>
      <c r="B46" s="13">
        <v>1633</v>
      </c>
      <c r="C46" s="14" t="str">
        <f>+VLOOKUP(B46,[1]LISTE!$A$1:$D$431,4,FALSE)</f>
        <v>ROMDHANE HEDI</v>
      </c>
      <c r="D46" s="14" t="s">
        <v>516</v>
      </c>
      <c r="E46" s="15">
        <v>45677</v>
      </c>
      <c r="F46" s="14" t="s">
        <v>20</v>
      </c>
      <c r="G46" s="16">
        <v>13.186999999999999</v>
      </c>
    </row>
    <row r="47" spans="1:7" x14ac:dyDescent="0.25">
      <c r="A47" s="13" t="s">
        <v>507</v>
      </c>
      <c r="B47" s="13">
        <v>1659</v>
      </c>
      <c r="C47" s="14" t="str">
        <f>+VLOOKUP(B47,[1]LISTE!$A$1:$D$431,4,FALSE)</f>
        <v>BEN ABDALLAH FAOUZI</v>
      </c>
      <c r="D47" s="14" t="s">
        <v>508</v>
      </c>
      <c r="E47" s="15">
        <v>45687</v>
      </c>
      <c r="F47" s="14" t="s">
        <v>18</v>
      </c>
      <c r="G47" s="16">
        <v>70</v>
      </c>
    </row>
    <row r="48" spans="1:7" x14ac:dyDescent="0.25">
      <c r="A48" s="13" t="s">
        <v>507</v>
      </c>
      <c r="B48" s="13">
        <v>1659</v>
      </c>
      <c r="C48" s="14" t="str">
        <f>+VLOOKUP(B48,[1]LISTE!$A$1:$D$431,4,FALSE)</f>
        <v>BEN ABDALLAH FAOUZI</v>
      </c>
      <c r="D48" s="14" t="s">
        <v>508</v>
      </c>
      <c r="E48" s="15">
        <v>45687</v>
      </c>
      <c r="F48" s="14" t="s">
        <v>65</v>
      </c>
      <c r="G48" s="16">
        <v>40</v>
      </c>
    </row>
    <row r="49" spans="1:7" x14ac:dyDescent="0.25">
      <c r="A49" s="13" t="s">
        <v>507</v>
      </c>
      <c r="B49" s="13">
        <v>1659</v>
      </c>
      <c r="C49" s="14" t="str">
        <f>+VLOOKUP(B49,[1]LISTE!$A$1:$D$431,4,FALSE)</f>
        <v>BEN ABDALLAH FAOUZI</v>
      </c>
      <c r="D49" s="14" t="s">
        <v>508</v>
      </c>
      <c r="E49" s="15">
        <v>45691</v>
      </c>
      <c r="F49" s="14" t="s">
        <v>19</v>
      </c>
      <c r="G49" s="16">
        <v>105.60899999999999</v>
      </c>
    </row>
    <row r="50" spans="1:7" x14ac:dyDescent="0.25">
      <c r="A50" s="13" t="s">
        <v>507</v>
      </c>
      <c r="B50" s="13">
        <v>1659</v>
      </c>
      <c r="C50" s="14" t="str">
        <f>+VLOOKUP(B50,[1]LISTE!$A$1:$D$431,4,FALSE)</f>
        <v>BEN ABDALLAH FAOUZI</v>
      </c>
      <c r="D50" s="14" t="s">
        <v>508</v>
      </c>
      <c r="E50" s="15">
        <v>45688</v>
      </c>
      <c r="F50" s="14" t="s">
        <v>20</v>
      </c>
      <c r="G50" s="16">
        <v>127.104</v>
      </c>
    </row>
    <row r="51" spans="1:7" x14ac:dyDescent="0.25">
      <c r="A51" s="13" t="s">
        <v>406</v>
      </c>
      <c r="B51" s="13">
        <v>1664</v>
      </c>
      <c r="C51" s="14" t="str">
        <f>+VLOOKUP(B51,[1]LISTE!$A$1:$D$431,4,FALSE)</f>
        <v>BEN SAOUD SOFIANE</v>
      </c>
      <c r="D51" s="15" t="s">
        <v>37</v>
      </c>
      <c r="E51" s="15">
        <v>45685</v>
      </c>
      <c r="F51" s="14" t="s">
        <v>18</v>
      </c>
      <c r="G51" s="16">
        <v>70</v>
      </c>
    </row>
    <row r="52" spans="1:7" x14ac:dyDescent="0.25">
      <c r="A52" s="13" t="s">
        <v>406</v>
      </c>
      <c r="B52" s="13">
        <v>1664</v>
      </c>
      <c r="C52" s="14" t="str">
        <f>+VLOOKUP(B52,[1]LISTE!$A$1:$D$431,4,FALSE)</f>
        <v>BEN SAOUD SOFIANE</v>
      </c>
      <c r="D52" s="15" t="s">
        <v>37</v>
      </c>
      <c r="E52" s="15">
        <v>45686</v>
      </c>
      <c r="F52" s="14" t="s">
        <v>20</v>
      </c>
      <c r="G52" s="16">
        <v>40.975999999999999</v>
      </c>
    </row>
    <row r="53" spans="1:7" x14ac:dyDescent="0.25">
      <c r="A53" s="13" t="s">
        <v>470</v>
      </c>
      <c r="B53" s="13">
        <v>1673</v>
      </c>
      <c r="C53" s="14" t="str">
        <f>+VLOOKUP(B53,[1]LISTE!$A$1:$D$431,4,FALSE)</f>
        <v>ABBASSI MONDHER</v>
      </c>
      <c r="D53" s="15" t="s">
        <v>22</v>
      </c>
      <c r="E53" s="15">
        <v>45687</v>
      </c>
      <c r="F53" s="14" t="s">
        <v>20</v>
      </c>
      <c r="G53" s="16">
        <v>19.579999999999998</v>
      </c>
    </row>
    <row r="54" spans="1:7" x14ac:dyDescent="0.25">
      <c r="A54" s="13" t="s">
        <v>471</v>
      </c>
      <c r="B54" s="13">
        <v>1673</v>
      </c>
      <c r="C54" s="14" t="str">
        <f>+VLOOKUP(B54,[1]LISTE!$A$1:$D$431,4,FALSE)</f>
        <v>ABBASSI MONDHER</v>
      </c>
      <c r="D54" s="15" t="s">
        <v>472</v>
      </c>
      <c r="E54" s="15">
        <v>45673</v>
      </c>
      <c r="F54" s="14" t="s">
        <v>23</v>
      </c>
      <c r="G54" s="16">
        <v>50</v>
      </c>
    </row>
    <row r="55" spans="1:7" x14ac:dyDescent="0.25">
      <c r="A55" s="13" t="s">
        <v>471</v>
      </c>
      <c r="B55" s="13">
        <v>1673</v>
      </c>
      <c r="C55" s="14" t="str">
        <f>+VLOOKUP(B55,[1]LISTE!$A$1:$D$431,4,FALSE)</f>
        <v>ABBASSI MONDHER</v>
      </c>
      <c r="D55" s="15" t="s">
        <v>472</v>
      </c>
      <c r="E55" s="15">
        <v>45673</v>
      </c>
      <c r="F55" s="14" t="s">
        <v>20</v>
      </c>
      <c r="G55" s="16">
        <v>16.215</v>
      </c>
    </row>
    <row r="56" spans="1:7" x14ac:dyDescent="0.25">
      <c r="A56" s="13" t="s">
        <v>471</v>
      </c>
      <c r="B56" s="13">
        <v>1673</v>
      </c>
      <c r="C56" s="14" t="str">
        <f>+VLOOKUP(B56,[1]LISTE!$A$1:$D$431,4,FALSE)</f>
        <v>ABBASSI MONDHER</v>
      </c>
      <c r="D56" s="15" t="s">
        <v>472</v>
      </c>
      <c r="E56" s="15">
        <v>45677</v>
      </c>
      <c r="F56" s="14" t="s">
        <v>20</v>
      </c>
      <c r="G56" s="16">
        <v>16.234999999999999</v>
      </c>
    </row>
    <row r="57" spans="1:7" x14ac:dyDescent="0.25">
      <c r="A57" s="13" t="s">
        <v>471</v>
      </c>
      <c r="B57" s="13">
        <v>1673</v>
      </c>
      <c r="C57" s="14" t="str">
        <f>+VLOOKUP(B57,[1]LISTE!$A$1:$D$431,4,FALSE)</f>
        <v>ABBASSI MONDHER</v>
      </c>
      <c r="D57" s="15" t="s">
        <v>472</v>
      </c>
      <c r="E57" s="15">
        <v>45685</v>
      </c>
      <c r="F57" s="14" t="s">
        <v>24</v>
      </c>
      <c r="G57" s="16">
        <v>90</v>
      </c>
    </row>
    <row r="58" spans="1:7" x14ac:dyDescent="0.25">
      <c r="A58" s="13" t="s">
        <v>522</v>
      </c>
      <c r="B58" s="13">
        <v>1673</v>
      </c>
      <c r="C58" s="14" t="str">
        <f>+VLOOKUP(B58,[1]LISTE!$A$1:$D$431,4,FALSE)</f>
        <v>ABBASSI MONDHER</v>
      </c>
      <c r="D58" s="14" t="s">
        <v>22</v>
      </c>
      <c r="E58" s="15">
        <v>45654</v>
      </c>
      <c r="F58" s="14" t="s">
        <v>20</v>
      </c>
      <c r="G58" s="16">
        <v>4.2450000000000001</v>
      </c>
    </row>
    <row r="59" spans="1:7" x14ac:dyDescent="0.25">
      <c r="A59" s="13" t="s">
        <v>522</v>
      </c>
      <c r="B59" s="13">
        <v>1673</v>
      </c>
      <c r="C59" s="14" t="str">
        <f>+VLOOKUP(B59,[1]LISTE!$A$1:$D$431,4,FALSE)</f>
        <v>ABBASSI MONDHER</v>
      </c>
      <c r="D59" s="14" t="s">
        <v>22</v>
      </c>
      <c r="E59" s="15">
        <v>45692</v>
      </c>
      <c r="F59" s="14" t="s">
        <v>65</v>
      </c>
      <c r="G59" s="16">
        <v>300</v>
      </c>
    </row>
    <row r="60" spans="1:7" x14ac:dyDescent="0.25">
      <c r="A60" s="13" t="s">
        <v>530</v>
      </c>
      <c r="B60" s="13">
        <v>1679</v>
      </c>
      <c r="C60" s="14" t="str">
        <f>+VLOOKUP(B60,[1]LISTE!$A$1:$D$431,4,FALSE)</f>
        <v>YOUSSEF ADEM</v>
      </c>
      <c r="D60" s="14" t="s">
        <v>22</v>
      </c>
      <c r="E60" s="15">
        <v>45685</v>
      </c>
      <c r="F60" s="14" t="s">
        <v>18</v>
      </c>
      <c r="G60" s="16">
        <v>70</v>
      </c>
    </row>
    <row r="61" spans="1:7" x14ac:dyDescent="0.25">
      <c r="A61" s="13" t="s">
        <v>530</v>
      </c>
      <c r="B61" s="13">
        <v>1679</v>
      </c>
      <c r="C61" s="14" t="str">
        <f>+VLOOKUP(B61,[1]LISTE!$A$1:$D$431,4,FALSE)</f>
        <v>YOUSSEF ADEM</v>
      </c>
      <c r="D61" s="14" t="s">
        <v>22</v>
      </c>
      <c r="E61" s="15">
        <v>45685</v>
      </c>
      <c r="F61" s="14" t="s">
        <v>20</v>
      </c>
      <c r="G61" s="16">
        <v>31.116</v>
      </c>
    </row>
    <row r="62" spans="1:7" x14ac:dyDescent="0.25">
      <c r="A62" s="13" t="s">
        <v>568</v>
      </c>
      <c r="B62" s="13">
        <v>1680</v>
      </c>
      <c r="C62" s="14" t="str">
        <f>+VLOOKUP(B62,[1]LISTE!$A$1:$D$431,4,FALSE)</f>
        <v>SASSI WALID</v>
      </c>
      <c r="D62" s="15" t="s">
        <v>242</v>
      </c>
      <c r="E62" s="15">
        <v>45694</v>
      </c>
      <c r="F62" s="14" t="s">
        <v>18</v>
      </c>
      <c r="G62" s="16">
        <v>60</v>
      </c>
    </row>
    <row r="63" spans="1:7" x14ac:dyDescent="0.25">
      <c r="A63" s="13" t="s">
        <v>568</v>
      </c>
      <c r="B63" s="13">
        <v>1680</v>
      </c>
      <c r="C63" s="14" t="str">
        <f>+VLOOKUP(B63,[1]LISTE!$A$1:$D$431,4,FALSE)</f>
        <v>SASSI WALID</v>
      </c>
      <c r="D63" s="15" t="s">
        <v>242</v>
      </c>
      <c r="E63" s="15">
        <v>45694</v>
      </c>
      <c r="F63" s="14" t="s">
        <v>20</v>
      </c>
      <c r="G63" s="16">
        <v>10.34</v>
      </c>
    </row>
    <row r="64" spans="1:7" x14ac:dyDescent="0.25">
      <c r="A64" s="13" t="s">
        <v>500</v>
      </c>
      <c r="B64" s="13">
        <v>1685</v>
      </c>
      <c r="C64" s="14" t="str">
        <f>+VLOOKUP(B64,[1]LISTE!$A$1:$D$431,4,FALSE)</f>
        <v>MAHJOUB MOHAMED KARIM</v>
      </c>
      <c r="D64" s="15" t="s">
        <v>22</v>
      </c>
      <c r="E64" s="15">
        <v>45691</v>
      </c>
      <c r="F64" s="14" t="s">
        <v>23</v>
      </c>
      <c r="G64" s="16">
        <v>3</v>
      </c>
    </row>
    <row r="65" spans="1:7" x14ac:dyDescent="0.25">
      <c r="A65" s="13" t="s">
        <v>500</v>
      </c>
      <c r="B65" s="13">
        <v>1685</v>
      </c>
      <c r="C65" s="14" t="str">
        <f>+VLOOKUP(B65,[1]LISTE!$A$1:$D$431,4,FALSE)</f>
        <v>MAHJOUB MOHAMED KARIM</v>
      </c>
      <c r="D65" s="14" t="s">
        <v>22</v>
      </c>
      <c r="E65" s="15">
        <v>45691</v>
      </c>
      <c r="F65" s="14" t="s">
        <v>20</v>
      </c>
      <c r="G65" s="16">
        <v>39.335000000000001</v>
      </c>
    </row>
    <row r="66" spans="1:7" x14ac:dyDescent="0.25">
      <c r="A66" s="13" t="s">
        <v>596</v>
      </c>
      <c r="B66" s="13">
        <v>1687</v>
      </c>
      <c r="C66" s="14" t="str">
        <f>+VLOOKUP(B66,[1]LISTE!$A$1:$D$431,4,FALSE)</f>
        <v>LACHHAB SAHBI</v>
      </c>
      <c r="D66" s="15" t="s">
        <v>57</v>
      </c>
      <c r="E66" s="15">
        <v>45696</v>
      </c>
      <c r="F66" s="14" t="s">
        <v>23</v>
      </c>
      <c r="G66" s="16">
        <v>30</v>
      </c>
    </row>
    <row r="67" spans="1:7" x14ac:dyDescent="0.25">
      <c r="A67" s="13" t="s">
        <v>596</v>
      </c>
      <c r="B67" s="13">
        <v>1687</v>
      </c>
      <c r="C67" s="14" t="str">
        <f>+VLOOKUP(B67,[1]LISTE!$A$1:$D$431,4,FALSE)</f>
        <v>LACHHAB SAHBI</v>
      </c>
      <c r="D67" s="15" t="s">
        <v>57</v>
      </c>
      <c r="E67" s="15">
        <v>45696</v>
      </c>
      <c r="F67" s="14" t="s">
        <v>20</v>
      </c>
      <c r="G67" s="16">
        <v>80.17</v>
      </c>
    </row>
    <row r="68" spans="1:7" x14ac:dyDescent="0.25">
      <c r="A68" s="13" t="s">
        <v>597</v>
      </c>
      <c r="B68" s="13">
        <v>1687</v>
      </c>
      <c r="C68" s="14" t="str">
        <f>+VLOOKUP(B68,[1]LISTE!$A$1:$D$431,4,FALSE)</f>
        <v>LACHHAB SAHBI</v>
      </c>
      <c r="D68" s="15" t="s">
        <v>349</v>
      </c>
      <c r="E68" s="15">
        <v>45696</v>
      </c>
      <c r="F68" s="14" t="s">
        <v>23</v>
      </c>
      <c r="G68" s="16">
        <v>30</v>
      </c>
    </row>
    <row r="69" spans="1:7" x14ac:dyDescent="0.25">
      <c r="A69" s="13" t="s">
        <v>597</v>
      </c>
      <c r="B69" s="13">
        <v>1687</v>
      </c>
      <c r="C69" s="14" t="str">
        <f>+VLOOKUP(B69,[1]LISTE!$A$1:$D$431,4,FALSE)</f>
        <v>LACHHAB SAHBI</v>
      </c>
      <c r="D69" s="15" t="s">
        <v>349</v>
      </c>
      <c r="E69" s="15">
        <v>45696</v>
      </c>
      <c r="F69" s="14" t="s">
        <v>20</v>
      </c>
      <c r="G69" s="16">
        <v>144.12</v>
      </c>
    </row>
    <row r="70" spans="1:7" x14ac:dyDescent="0.25">
      <c r="A70" s="13" t="s">
        <v>474</v>
      </c>
      <c r="B70" s="13">
        <v>1689</v>
      </c>
      <c r="C70" s="14" t="str">
        <f>+VLOOKUP(B70,[1]LISTE!$A$1:$D$431,4,FALSE)</f>
        <v>GRAA SKANDER</v>
      </c>
      <c r="D70" s="15" t="s">
        <v>475</v>
      </c>
      <c r="E70" s="15">
        <v>45677</v>
      </c>
      <c r="F70" s="14" t="s">
        <v>23</v>
      </c>
      <c r="G70" s="16">
        <v>45</v>
      </c>
    </row>
    <row r="71" spans="1:7" x14ac:dyDescent="0.25">
      <c r="A71" s="13" t="s">
        <v>474</v>
      </c>
      <c r="B71" s="13">
        <v>1689</v>
      </c>
      <c r="C71" s="14" t="str">
        <f>+VLOOKUP(B71,[1]LISTE!$A$1:$D$431,4,FALSE)</f>
        <v>GRAA SKANDER</v>
      </c>
      <c r="D71" s="15" t="s">
        <v>475</v>
      </c>
      <c r="E71" s="15">
        <v>45677</v>
      </c>
      <c r="F71" s="14" t="s">
        <v>20</v>
      </c>
      <c r="G71" s="16">
        <v>18.562999999999999</v>
      </c>
    </row>
    <row r="72" spans="1:7" x14ac:dyDescent="0.25">
      <c r="A72" s="13" t="s">
        <v>476</v>
      </c>
      <c r="B72" s="13">
        <v>1689</v>
      </c>
      <c r="C72" s="14" t="str">
        <f>+VLOOKUP(B72,[1]LISTE!$A$1:$D$431,4,FALSE)</f>
        <v>GRAA SKANDER</v>
      </c>
      <c r="D72" s="14" t="s">
        <v>200</v>
      </c>
      <c r="E72" s="15">
        <v>45664</v>
      </c>
      <c r="F72" s="14" t="s">
        <v>23</v>
      </c>
      <c r="G72" s="16">
        <v>45</v>
      </c>
    </row>
    <row r="73" spans="1:7" x14ac:dyDescent="0.25">
      <c r="A73" s="13" t="s">
        <v>476</v>
      </c>
      <c r="B73" s="13">
        <v>1689</v>
      </c>
      <c r="C73" s="14" t="str">
        <f>+VLOOKUP(B73,[1]LISTE!$A$1:$D$431,4,FALSE)</f>
        <v>GRAA SKANDER</v>
      </c>
      <c r="D73" s="14" t="s">
        <v>200</v>
      </c>
      <c r="E73" s="15">
        <v>45664</v>
      </c>
      <c r="F73" s="14" t="s">
        <v>20</v>
      </c>
      <c r="G73" s="16">
        <v>25.335000000000001</v>
      </c>
    </row>
    <row r="74" spans="1:7" x14ac:dyDescent="0.25">
      <c r="A74" s="13" t="s">
        <v>422</v>
      </c>
      <c r="B74" s="13">
        <v>1695</v>
      </c>
      <c r="C74" s="14" t="str">
        <f>+VLOOKUP(B74,[1]LISTE!$A$1:$D$431,4,FALSE)</f>
        <v>BEN AROUS FOUED</v>
      </c>
      <c r="D74" s="14" t="s">
        <v>125</v>
      </c>
      <c r="E74" s="15">
        <v>45681</v>
      </c>
      <c r="F74" s="14" t="s">
        <v>23</v>
      </c>
      <c r="G74" s="16">
        <v>45</v>
      </c>
    </row>
    <row r="75" spans="1:7" x14ac:dyDescent="0.25">
      <c r="A75" s="13" t="s">
        <v>422</v>
      </c>
      <c r="B75" s="13">
        <v>1695</v>
      </c>
      <c r="C75" s="14" t="str">
        <f>+VLOOKUP(B75,[1]LISTE!$A$1:$D$431,4,FALSE)</f>
        <v>BEN AROUS FOUED</v>
      </c>
      <c r="D75" s="15" t="s">
        <v>125</v>
      </c>
      <c r="E75" s="15">
        <v>45681</v>
      </c>
      <c r="F75" s="14" t="s">
        <v>20</v>
      </c>
      <c r="G75" s="16">
        <v>18.285</v>
      </c>
    </row>
    <row r="76" spans="1:7" x14ac:dyDescent="0.25">
      <c r="A76" s="13" t="s">
        <v>473</v>
      </c>
      <c r="B76" s="13">
        <v>1704</v>
      </c>
      <c r="C76" s="14" t="str">
        <f>+VLOOKUP(B76,[1]LISTE!$A$1:$D$431,4,FALSE)</f>
        <v>EL GAZZAH RIADH</v>
      </c>
      <c r="D76" s="15" t="s">
        <v>22</v>
      </c>
      <c r="E76" s="15">
        <v>45684</v>
      </c>
      <c r="F76" s="14" t="s">
        <v>18</v>
      </c>
      <c r="G76" s="16">
        <v>20</v>
      </c>
    </row>
    <row r="77" spans="1:7" x14ac:dyDescent="0.25">
      <c r="A77" s="13" t="s">
        <v>473</v>
      </c>
      <c r="B77" s="13">
        <v>1704</v>
      </c>
      <c r="C77" s="14" t="str">
        <f>+VLOOKUP(B77,[1]LISTE!$A$1:$D$431,4,FALSE)</f>
        <v>EL GAZZAH RIADH</v>
      </c>
      <c r="D77" s="15" t="s">
        <v>22</v>
      </c>
      <c r="E77" s="15">
        <v>45684</v>
      </c>
      <c r="F77" s="14" t="s">
        <v>20</v>
      </c>
      <c r="G77" s="16">
        <v>166.91399999999999</v>
      </c>
    </row>
    <row r="78" spans="1:7" x14ac:dyDescent="0.25">
      <c r="A78" s="13" t="s">
        <v>473</v>
      </c>
      <c r="B78" s="13">
        <v>1704</v>
      </c>
      <c r="C78" s="14" t="str">
        <f>+VLOOKUP(B78,[1]LISTE!$A$1:$D$431,4,FALSE)</f>
        <v>EL GAZZAH RIADH</v>
      </c>
      <c r="D78" s="15" t="s">
        <v>22</v>
      </c>
      <c r="E78" s="15">
        <v>45687</v>
      </c>
      <c r="F78" s="14" t="s">
        <v>20</v>
      </c>
      <c r="G78" s="16">
        <v>45.161000000000001</v>
      </c>
    </row>
    <row r="79" spans="1:7" x14ac:dyDescent="0.25">
      <c r="A79" s="13" t="s">
        <v>485</v>
      </c>
      <c r="B79" s="13">
        <v>1704</v>
      </c>
      <c r="C79" s="14" t="str">
        <f>+VLOOKUP(B79,[1]LISTE!$A$1:$D$431,4,FALSE)</f>
        <v>EL GAZZAH RIADH</v>
      </c>
      <c r="D79" s="14" t="s">
        <v>486</v>
      </c>
      <c r="E79" s="15">
        <v>45681</v>
      </c>
      <c r="F79" s="14" t="s">
        <v>23</v>
      </c>
      <c r="G79" s="16">
        <v>20</v>
      </c>
    </row>
    <row r="80" spans="1:7" x14ac:dyDescent="0.25">
      <c r="A80" s="13" t="s">
        <v>485</v>
      </c>
      <c r="B80" s="13">
        <v>1704</v>
      </c>
      <c r="C80" s="14" t="str">
        <f>+VLOOKUP(B80,[1]LISTE!$A$1:$D$431,4,FALSE)</f>
        <v>EL GAZZAH RIADH</v>
      </c>
      <c r="D80" s="14" t="s">
        <v>486</v>
      </c>
      <c r="E80" s="15">
        <v>45681</v>
      </c>
      <c r="F80" s="14" t="s">
        <v>19</v>
      </c>
      <c r="G80" s="16">
        <v>29.94</v>
      </c>
    </row>
    <row r="81" spans="1:7" x14ac:dyDescent="0.25">
      <c r="A81" s="13" t="s">
        <v>448</v>
      </c>
      <c r="B81" s="13">
        <v>1706</v>
      </c>
      <c r="C81" s="14" t="str">
        <f>+VLOOKUP(B81,[1]LISTE!$A$1:$D$431,4,FALSE)</f>
        <v>GRIRA LOKHDHIRI FREDJ</v>
      </c>
      <c r="D81" s="14" t="s">
        <v>22</v>
      </c>
      <c r="E81" s="15">
        <v>45684</v>
      </c>
      <c r="F81" s="14" t="s">
        <v>23</v>
      </c>
      <c r="G81" s="16">
        <v>3</v>
      </c>
    </row>
    <row r="82" spans="1:7" x14ac:dyDescent="0.25">
      <c r="A82" s="13" t="s">
        <v>448</v>
      </c>
      <c r="B82" s="13">
        <v>1706</v>
      </c>
      <c r="C82" s="14" t="str">
        <f>+VLOOKUP(B82,[1]LISTE!$A$1:$D$431,4,FALSE)</f>
        <v>GRIRA LOKHDHIRI FREDJ</v>
      </c>
      <c r="D82" s="15" t="s">
        <v>22</v>
      </c>
      <c r="E82" s="15">
        <v>45684</v>
      </c>
      <c r="F82" s="14" t="s">
        <v>20</v>
      </c>
      <c r="G82" s="16">
        <v>205.78899999999999</v>
      </c>
    </row>
    <row r="83" spans="1:7" x14ac:dyDescent="0.25">
      <c r="A83" s="13" t="s">
        <v>562</v>
      </c>
      <c r="B83" s="13">
        <v>1706</v>
      </c>
      <c r="C83" s="14" t="str">
        <f>+VLOOKUP(B83,[1]LISTE!$A$1:$D$431,4,FALSE)</f>
        <v>GRIRA LOKHDHIRI FREDJ</v>
      </c>
      <c r="D83" s="15" t="s">
        <v>563</v>
      </c>
      <c r="E83" s="15">
        <v>45692</v>
      </c>
      <c r="F83" s="14" t="s">
        <v>18</v>
      </c>
      <c r="G83" s="16">
        <v>70</v>
      </c>
    </row>
    <row r="84" spans="1:7" x14ac:dyDescent="0.25">
      <c r="A84" s="13" t="s">
        <v>562</v>
      </c>
      <c r="B84" s="13">
        <v>1706</v>
      </c>
      <c r="C84" s="14" t="str">
        <f>+VLOOKUP(B84,[1]LISTE!$A$1:$D$431,4,FALSE)</f>
        <v>GRIRA LOKHDHIRI FREDJ</v>
      </c>
      <c r="D84" s="15" t="s">
        <v>563</v>
      </c>
      <c r="E84" s="15">
        <v>45692</v>
      </c>
      <c r="F84" s="14" t="s">
        <v>20</v>
      </c>
      <c r="G84" s="16">
        <v>306.31200000000001</v>
      </c>
    </row>
    <row r="85" spans="1:7" x14ac:dyDescent="0.25">
      <c r="A85" s="13" t="s">
        <v>575</v>
      </c>
      <c r="B85" s="13">
        <v>1712</v>
      </c>
      <c r="C85" s="14" t="str">
        <f>+VLOOKUP(B85,[1]LISTE!$A$1:$D$431,4,FALSE)</f>
        <v>MKHININI ZAATOUT MOHAMED</v>
      </c>
      <c r="D85" s="15" t="s">
        <v>576</v>
      </c>
      <c r="E85" s="15">
        <v>45692</v>
      </c>
      <c r="F85" s="14" t="s">
        <v>23</v>
      </c>
      <c r="G85" s="16">
        <v>20</v>
      </c>
    </row>
    <row r="86" spans="1:7" x14ac:dyDescent="0.25">
      <c r="A86" s="13" t="s">
        <v>575</v>
      </c>
      <c r="B86" s="13">
        <v>1712</v>
      </c>
      <c r="C86" s="14" t="str">
        <f>+VLOOKUP(B86,[1]LISTE!$A$1:$D$431,4,FALSE)</f>
        <v>MKHININI ZAATOUT MOHAMED</v>
      </c>
      <c r="D86" s="15" t="s">
        <v>576</v>
      </c>
      <c r="E86" s="15">
        <v>45692</v>
      </c>
      <c r="F86" s="14" t="s">
        <v>20</v>
      </c>
      <c r="G86" s="16">
        <v>35.484999999999999</v>
      </c>
    </row>
    <row r="87" spans="1:7" x14ac:dyDescent="0.25">
      <c r="A87" s="13" t="s">
        <v>577</v>
      </c>
      <c r="B87" s="13">
        <v>1712</v>
      </c>
      <c r="C87" s="14" t="str">
        <f>+VLOOKUP(B87,[1]LISTE!$A$1:$D$431,4,FALSE)</f>
        <v>MKHININI ZAATOUT MOHAMED</v>
      </c>
      <c r="D87" s="15" t="s">
        <v>163</v>
      </c>
      <c r="E87" s="15">
        <v>45692</v>
      </c>
      <c r="F87" s="14" t="s">
        <v>23</v>
      </c>
      <c r="G87" s="16">
        <v>45</v>
      </c>
    </row>
    <row r="88" spans="1:7" x14ac:dyDescent="0.25">
      <c r="A88" s="13" t="s">
        <v>577</v>
      </c>
      <c r="B88" s="13">
        <v>1712</v>
      </c>
      <c r="C88" s="14" t="str">
        <f>+VLOOKUP(B88,[1]LISTE!$A$1:$D$431,4,FALSE)</f>
        <v>MKHININI ZAATOUT MOHAMED</v>
      </c>
      <c r="D88" s="15" t="s">
        <v>163</v>
      </c>
      <c r="E88" s="15">
        <v>45692</v>
      </c>
      <c r="F88" s="14" t="s">
        <v>20</v>
      </c>
      <c r="G88" s="16">
        <v>15.25</v>
      </c>
    </row>
    <row r="89" spans="1:7" x14ac:dyDescent="0.25">
      <c r="A89" s="13" t="s">
        <v>489</v>
      </c>
      <c r="B89" s="13">
        <v>1714</v>
      </c>
      <c r="C89" s="14" t="str">
        <f>+VLOOKUP(B89,[1]LISTE!$A$1:$D$431,4,FALSE)</f>
        <v>MATHLOUTHI MONDHER</v>
      </c>
      <c r="D89" s="15" t="s">
        <v>22</v>
      </c>
      <c r="E89" s="15">
        <v>45687</v>
      </c>
      <c r="F89" s="14" t="s">
        <v>23</v>
      </c>
      <c r="G89" s="16">
        <v>45</v>
      </c>
    </row>
    <row r="90" spans="1:7" x14ac:dyDescent="0.25">
      <c r="A90" s="13" t="s">
        <v>489</v>
      </c>
      <c r="B90" s="13">
        <v>1714</v>
      </c>
      <c r="C90" s="14" t="str">
        <f>+VLOOKUP(B90,[1]LISTE!$A$1:$D$431,4,FALSE)</f>
        <v>MATHLOUTHI MONDHER</v>
      </c>
      <c r="D90" s="14" t="s">
        <v>22</v>
      </c>
      <c r="E90" s="15">
        <v>45687</v>
      </c>
      <c r="F90" s="14" t="s">
        <v>20</v>
      </c>
      <c r="G90" s="16">
        <v>146.13</v>
      </c>
    </row>
    <row r="91" spans="1:7" x14ac:dyDescent="0.25">
      <c r="A91" s="13" t="s">
        <v>478</v>
      </c>
      <c r="B91" s="13">
        <v>1723</v>
      </c>
      <c r="C91" s="14" t="str">
        <f>+VLOOKUP(B91,[1]LISTE!$A$1:$D$431,4,FALSE)</f>
        <v>BAYA MEHDI</v>
      </c>
      <c r="D91" s="14" t="s">
        <v>479</v>
      </c>
      <c r="E91" s="15">
        <v>45677</v>
      </c>
      <c r="F91" s="14" t="s">
        <v>18</v>
      </c>
      <c r="G91" s="16">
        <v>70</v>
      </c>
    </row>
    <row r="92" spans="1:7" x14ac:dyDescent="0.25">
      <c r="A92" s="13" t="s">
        <v>478</v>
      </c>
      <c r="B92" s="13">
        <v>1723</v>
      </c>
      <c r="C92" s="14" t="str">
        <f>+VLOOKUP(B92,[1]LISTE!$A$1:$D$431,4,FALSE)</f>
        <v>BAYA MEHDI</v>
      </c>
      <c r="D92" s="14" t="s">
        <v>479</v>
      </c>
      <c r="E92" s="15">
        <v>45677</v>
      </c>
      <c r="F92" s="14" t="s">
        <v>20</v>
      </c>
      <c r="G92" s="16">
        <v>37.158999999999999</v>
      </c>
    </row>
    <row r="93" spans="1:7" x14ac:dyDescent="0.25">
      <c r="A93" s="13" t="s">
        <v>504</v>
      </c>
      <c r="B93" s="13">
        <v>1738</v>
      </c>
      <c r="C93" s="14" t="str">
        <f>+VLOOKUP(B93,[1]LISTE!$A$1:$D$431,4,FALSE)</f>
        <v>GAMHA KHALED</v>
      </c>
      <c r="D93" s="14" t="s">
        <v>421</v>
      </c>
      <c r="E93" s="15">
        <v>45674</v>
      </c>
      <c r="F93" s="14" t="s">
        <v>18</v>
      </c>
      <c r="G93" s="16">
        <v>70</v>
      </c>
    </row>
    <row r="94" spans="1:7" x14ac:dyDescent="0.25">
      <c r="A94" s="13" t="s">
        <v>504</v>
      </c>
      <c r="B94" s="13">
        <v>1738</v>
      </c>
      <c r="C94" s="14" t="str">
        <f>+VLOOKUP(B94,[1]LISTE!$A$1:$D$431,4,FALSE)</f>
        <v>GAMHA KHALED</v>
      </c>
      <c r="D94" s="15" t="s">
        <v>421</v>
      </c>
      <c r="E94" s="15">
        <v>45674</v>
      </c>
      <c r="F94" s="14" t="s">
        <v>20</v>
      </c>
      <c r="G94" s="16">
        <v>21.074000000000002</v>
      </c>
    </row>
    <row r="95" spans="1:7" x14ac:dyDescent="0.25">
      <c r="A95" s="13" t="s">
        <v>504</v>
      </c>
      <c r="B95" s="13">
        <v>1738</v>
      </c>
      <c r="C95" s="14" t="str">
        <f>+VLOOKUP(B95,[1]LISTE!$A$1:$D$431,4,FALSE)</f>
        <v>GAMHA KHALED</v>
      </c>
      <c r="D95" s="15" t="s">
        <v>421</v>
      </c>
      <c r="E95" s="15">
        <v>45685</v>
      </c>
      <c r="F95" s="14" t="s">
        <v>19</v>
      </c>
      <c r="G95" s="16">
        <v>40</v>
      </c>
    </row>
    <row r="96" spans="1:7" x14ac:dyDescent="0.25">
      <c r="A96" s="13" t="s">
        <v>593</v>
      </c>
      <c r="B96" s="13">
        <v>1747</v>
      </c>
      <c r="C96" s="14" t="str">
        <f>+VLOOKUP(B96,[1]LISTE!$A$1:$D$431,4,FALSE)</f>
        <v>BRAHIM THEMEUR</v>
      </c>
      <c r="D96" s="15" t="s">
        <v>377</v>
      </c>
      <c r="E96" s="15">
        <v>45693</v>
      </c>
      <c r="F96" s="14" t="s">
        <v>20</v>
      </c>
      <c r="G96" s="16">
        <v>61.64</v>
      </c>
    </row>
    <row r="97" spans="1:7" x14ac:dyDescent="0.25">
      <c r="A97" s="13" t="s">
        <v>546</v>
      </c>
      <c r="B97" s="13">
        <v>1755</v>
      </c>
      <c r="C97" s="14" t="str">
        <f>+VLOOKUP(B97,[1]LISTE!$A$1:$D$431,4,FALSE)</f>
        <v>REJEB NEJIB</v>
      </c>
      <c r="D97" s="14" t="s">
        <v>547</v>
      </c>
      <c r="E97" s="15">
        <v>45688</v>
      </c>
      <c r="F97" s="14" t="s">
        <v>23</v>
      </c>
      <c r="G97" s="16">
        <v>45</v>
      </c>
    </row>
    <row r="98" spans="1:7" x14ac:dyDescent="0.25">
      <c r="A98" s="13" t="s">
        <v>546</v>
      </c>
      <c r="B98" s="13">
        <v>1755</v>
      </c>
      <c r="C98" s="14" t="str">
        <f>+VLOOKUP(B98,[1]LISTE!$A$1:$D$431,4,FALSE)</f>
        <v>REJEB NEJIB</v>
      </c>
      <c r="D98" s="14" t="s">
        <v>547</v>
      </c>
      <c r="E98" s="15">
        <v>45688</v>
      </c>
      <c r="F98" s="14" t="s">
        <v>20</v>
      </c>
      <c r="G98" s="16">
        <v>84.24</v>
      </c>
    </row>
    <row r="99" spans="1:7" x14ac:dyDescent="0.25">
      <c r="A99" s="13" t="s">
        <v>548</v>
      </c>
      <c r="B99" s="13">
        <v>1755</v>
      </c>
      <c r="C99" s="14" t="str">
        <f>+VLOOKUP(B99,[1]LISTE!$A$1:$D$431,4,FALSE)</f>
        <v>REJEB NEJIB</v>
      </c>
      <c r="D99" s="14" t="s">
        <v>22</v>
      </c>
      <c r="E99" s="15">
        <v>45687</v>
      </c>
      <c r="F99" s="14" t="s">
        <v>23</v>
      </c>
      <c r="G99" s="16">
        <v>45</v>
      </c>
    </row>
    <row r="100" spans="1:7" x14ac:dyDescent="0.25">
      <c r="A100" s="13" t="s">
        <v>548</v>
      </c>
      <c r="B100" s="13">
        <v>1755</v>
      </c>
      <c r="C100" s="14" t="str">
        <f>+VLOOKUP(B100,[1]LISTE!$A$1:$D$431,4,FALSE)</f>
        <v>REJEB NEJIB</v>
      </c>
      <c r="D100" s="14" t="s">
        <v>22</v>
      </c>
      <c r="E100" s="15">
        <v>45688</v>
      </c>
      <c r="F100" s="14" t="s">
        <v>20</v>
      </c>
      <c r="G100" s="16">
        <v>72.774000000000001</v>
      </c>
    </row>
    <row r="101" spans="1:7" x14ac:dyDescent="0.25">
      <c r="A101" s="13" t="s">
        <v>584</v>
      </c>
      <c r="B101" s="13">
        <v>1761</v>
      </c>
      <c r="C101" s="14" t="str">
        <f>+VLOOKUP(B101,[1]LISTE!$A$1:$D$431,4,FALSE)</f>
        <v>BEN SALEM KHELIL</v>
      </c>
      <c r="D101" s="15" t="s">
        <v>585</v>
      </c>
      <c r="E101" s="15">
        <v>45689</v>
      </c>
      <c r="F101" s="14" t="s">
        <v>23</v>
      </c>
      <c r="G101" s="16">
        <v>1.5</v>
      </c>
    </row>
    <row r="102" spans="1:7" x14ac:dyDescent="0.25">
      <c r="A102" s="13" t="s">
        <v>584</v>
      </c>
      <c r="B102" s="13">
        <v>1761</v>
      </c>
      <c r="C102" s="14" t="str">
        <f>+VLOOKUP(B102,[1]LISTE!$A$1:$D$431,4,FALSE)</f>
        <v>BEN SALEM KHELIL</v>
      </c>
      <c r="D102" s="15" t="s">
        <v>585</v>
      </c>
      <c r="E102" s="15">
        <v>45689</v>
      </c>
      <c r="F102" s="14" t="s">
        <v>20</v>
      </c>
      <c r="G102" s="16">
        <v>18.855</v>
      </c>
    </row>
    <row r="103" spans="1:7" x14ac:dyDescent="0.25">
      <c r="A103" s="13" t="s">
        <v>564</v>
      </c>
      <c r="B103" s="13">
        <v>1764</v>
      </c>
      <c r="C103" s="14" t="str">
        <f>+VLOOKUP(B103,[1]LISTE!$A$1:$D$431,4,FALSE)</f>
        <v>RBEH MAHMOUD</v>
      </c>
      <c r="D103" s="15" t="s">
        <v>565</v>
      </c>
      <c r="E103" s="15">
        <v>45692</v>
      </c>
      <c r="F103" s="14" t="s">
        <v>18</v>
      </c>
      <c r="G103" s="16">
        <v>70</v>
      </c>
    </row>
    <row r="104" spans="1:7" x14ac:dyDescent="0.25">
      <c r="A104" s="13" t="s">
        <v>564</v>
      </c>
      <c r="B104" s="13">
        <v>1764</v>
      </c>
      <c r="C104" s="14" t="str">
        <f>+VLOOKUP(B104,[1]LISTE!$A$1:$D$431,4,FALSE)</f>
        <v>RBEH MAHMOUD</v>
      </c>
      <c r="D104" s="15" t="s">
        <v>565</v>
      </c>
      <c r="E104" s="15">
        <v>45692</v>
      </c>
      <c r="F104" s="14" t="s">
        <v>20</v>
      </c>
      <c r="G104" s="16">
        <v>27.984999999999999</v>
      </c>
    </row>
    <row r="105" spans="1:7" x14ac:dyDescent="0.25">
      <c r="A105" s="13" t="s">
        <v>581</v>
      </c>
      <c r="B105" s="13">
        <v>1765</v>
      </c>
      <c r="C105" s="14" t="str">
        <f>+VLOOKUP(B105,[1]LISTE!$A$1:$D$431,4,FALSE)</f>
        <v>DAHMANI SALAH</v>
      </c>
      <c r="D105" s="15" t="s">
        <v>582</v>
      </c>
      <c r="E105" s="15">
        <v>45694</v>
      </c>
      <c r="F105" s="14" t="s">
        <v>23</v>
      </c>
      <c r="G105" s="16">
        <v>1.5</v>
      </c>
    </row>
    <row r="106" spans="1:7" x14ac:dyDescent="0.25">
      <c r="A106" s="13" t="s">
        <v>581</v>
      </c>
      <c r="B106" s="13">
        <v>1765</v>
      </c>
      <c r="C106" s="14" t="str">
        <f>+VLOOKUP(B106,[1]LISTE!$A$1:$D$431,4,FALSE)</f>
        <v>DAHMANI SALAH</v>
      </c>
      <c r="D106" s="15" t="s">
        <v>582</v>
      </c>
      <c r="E106" s="15">
        <v>45694</v>
      </c>
      <c r="F106" s="14" t="s">
        <v>20</v>
      </c>
      <c r="G106" s="16">
        <v>39.244999999999997</v>
      </c>
    </row>
    <row r="107" spans="1:7" x14ac:dyDescent="0.25">
      <c r="A107" s="13" t="s">
        <v>583</v>
      </c>
      <c r="B107" s="13">
        <v>1765</v>
      </c>
      <c r="C107" s="14" t="str">
        <f>+VLOOKUP(B107,[1]LISTE!$A$1:$D$431,4,FALSE)</f>
        <v>DAHMANI SALAH</v>
      </c>
      <c r="D107" s="15" t="s">
        <v>22</v>
      </c>
      <c r="E107" s="15">
        <v>45694</v>
      </c>
      <c r="F107" s="14" t="s">
        <v>23</v>
      </c>
      <c r="G107" s="16">
        <v>1.5</v>
      </c>
    </row>
    <row r="108" spans="1:7" x14ac:dyDescent="0.25">
      <c r="A108" s="13" t="s">
        <v>583</v>
      </c>
      <c r="B108" s="13">
        <v>1765</v>
      </c>
      <c r="C108" s="14" t="str">
        <f>+VLOOKUP(B108,[1]LISTE!$A$1:$D$431,4,FALSE)</f>
        <v>DAHMANI SALAH</v>
      </c>
      <c r="D108" s="15" t="s">
        <v>22</v>
      </c>
      <c r="E108" s="15">
        <v>45694</v>
      </c>
      <c r="F108" s="14" t="s">
        <v>20</v>
      </c>
      <c r="G108" s="16">
        <v>6.33</v>
      </c>
    </row>
    <row r="109" spans="1:7" x14ac:dyDescent="0.25">
      <c r="A109" s="13" t="s">
        <v>454</v>
      </c>
      <c r="B109" s="13">
        <v>1768</v>
      </c>
      <c r="C109" s="14" t="str">
        <f>+VLOOKUP(B109,[1]LISTE!$A$1:$D$431,4,FALSE)</f>
        <v>LADJIMI MAHER</v>
      </c>
      <c r="D109" s="14" t="s">
        <v>455</v>
      </c>
      <c r="E109" s="15">
        <v>45681</v>
      </c>
      <c r="F109" s="14" t="s">
        <v>20</v>
      </c>
      <c r="G109" s="16">
        <v>5.36</v>
      </c>
    </row>
    <row r="110" spans="1:7" x14ac:dyDescent="0.25">
      <c r="A110" s="13" t="s">
        <v>454</v>
      </c>
      <c r="B110" s="13">
        <v>1768</v>
      </c>
      <c r="C110" s="14" t="str">
        <f>+VLOOKUP(B110,[1]LISTE!$A$1:$D$431,4,FALSE)</f>
        <v>LADJIMI MAHER</v>
      </c>
      <c r="D110" s="14" t="s">
        <v>455</v>
      </c>
      <c r="E110" s="15">
        <v>45681</v>
      </c>
      <c r="F110" s="14" t="s">
        <v>24</v>
      </c>
      <c r="G110" s="16">
        <v>60</v>
      </c>
    </row>
    <row r="111" spans="1:7" x14ac:dyDescent="0.25">
      <c r="A111" s="13" t="s">
        <v>456</v>
      </c>
      <c r="B111" s="13">
        <v>1768</v>
      </c>
      <c r="C111" s="14" t="str">
        <f>+VLOOKUP(B111,[1]LISTE!$A$1:$D$431,4,FALSE)</f>
        <v>LADJIMI MAHER</v>
      </c>
      <c r="D111" s="14" t="s">
        <v>22</v>
      </c>
      <c r="E111" s="15">
        <v>45688</v>
      </c>
      <c r="F111" s="14" t="s">
        <v>18</v>
      </c>
      <c r="G111" s="16">
        <v>30</v>
      </c>
    </row>
    <row r="112" spans="1:7" x14ac:dyDescent="0.25">
      <c r="A112" s="13" t="s">
        <v>456</v>
      </c>
      <c r="B112" s="13">
        <v>1768</v>
      </c>
      <c r="C112" s="14" t="str">
        <f>+VLOOKUP(B112,[1]LISTE!$A$1:$D$431,4,FALSE)</f>
        <v>LADJIMI MAHER</v>
      </c>
      <c r="D112" s="14" t="s">
        <v>22</v>
      </c>
      <c r="E112" s="15">
        <v>45688</v>
      </c>
      <c r="F112" s="14" t="s">
        <v>20</v>
      </c>
      <c r="G112" s="16">
        <v>63.152000000000001</v>
      </c>
    </row>
    <row r="113" spans="1:7" x14ac:dyDescent="0.25">
      <c r="A113" s="13" t="s">
        <v>456</v>
      </c>
      <c r="B113" s="13">
        <v>1768</v>
      </c>
      <c r="C113" s="14" t="str">
        <f>+VLOOKUP(B113,[1]LISTE!$A$1:$D$431,4,FALSE)</f>
        <v>LADJIMI MAHER</v>
      </c>
      <c r="D113" s="14" t="s">
        <v>22</v>
      </c>
      <c r="E113" s="15">
        <v>45688</v>
      </c>
      <c r="F113" s="14" t="s">
        <v>20</v>
      </c>
      <c r="G113" s="16">
        <v>141.72</v>
      </c>
    </row>
    <row r="114" spans="1:7" x14ac:dyDescent="0.25">
      <c r="A114" s="13" t="s">
        <v>538</v>
      </c>
      <c r="B114" s="13">
        <v>1774</v>
      </c>
      <c r="C114" s="14" t="str">
        <f>+VLOOKUP(B114,[1]LISTE!$A$1:$D$431,4,FALSE)</f>
        <v>BEN SALEM FAOUZI</v>
      </c>
      <c r="D114" s="14" t="s">
        <v>22</v>
      </c>
      <c r="E114" s="15">
        <v>45682</v>
      </c>
      <c r="F114" s="14" t="s">
        <v>18</v>
      </c>
      <c r="G114" s="16">
        <v>70</v>
      </c>
    </row>
    <row r="115" spans="1:7" x14ac:dyDescent="0.25">
      <c r="A115" s="13" t="s">
        <v>538</v>
      </c>
      <c r="B115" s="13">
        <v>1774</v>
      </c>
      <c r="C115" s="14" t="str">
        <f>+VLOOKUP(B115,[1]LISTE!$A$1:$D$431,4,FALSE)</f>
        <v>BEN SALEM FAOUZI</v>
      </c>
      <c r="D115" s="14" t="s">
        <v>22</v>
      </c>
      <c r="E115" s="15">
        <v>45682</v>
      </c>
      <c r="F115" s="14" t="s">
        <v>21</v>
      </c>
      <c r="G115" s="16">
        <v>120</v>
      </c>
    </row>
    <row r="116" spans="1:7" x14ac:dyDescent="0.25">
      <c r="A116" s="13" t="s">
        <v>538</v>
      </c>
      <c r="B116" s="13">
        <v>1774</v>
      </c>
      <c r="C116" s="14" t="str">
        <f>+VLOOKUP(B116,[1]LISTE!$A$1:$D$431,4,FALSE)</f>
        <v>BEN SALEM FAOUZI</v>
      </c>
      <c r="D116" s="14" t="s">
        <v>22</v>
      </c>
      <c r="E116" s="15">
        <v>45682</v>
      </c>
      <c r="F116" s="14" t="s">
        <v>20</v>
      </c>
      <c r="G116" s="16">
        <v>116.52</v>
      </c>
    </row>
    <row r="117" spans="1:7" x14ac:dyDescent="0.25">
      <c r="A117" s="13" t="s">
        <v>538</v>
      </c>
      <c r="B117" s="13">
        <v>1774</v>
      </c>
      <c r="C117" s="14" t="str">
        <f>+VLOOKUP(B117,[1]LISTE!$A$1:$D$431,4,FALSE)</f>
        <v>BEN SALEM FAOUZI</v>
      </c>
      <c r="D117" s="14" t="s">
        <v>22</v>
      </c>
      <c r="E117" s="15">
        <v>45689</v>
      </c>
      <c r="F117" s="14" t="s">
        <v>65</v>
      </c>
      <c r="G117" s="16">
        <v>120</v>
      </c>
    </row>
    <row r="118" spans="1:7" x14ac:dyDescent="0.25">
      <c r="A118" s="13" t="s">
        <v>413</v>
      </c>
      <c r="B118" s="13">
        <v>1781</v>
      </c>
      <c r="C118" s="14" t="str">
        <f>+VLOOKUP(B118,[1]LISTE!$A$1:$D$431,4,FALSE)</f>
        <v>KEMIMECH MOHAMED</v>
      </c>
      <c r="D118" s="14" t="s">
        <v>217</v>
      </c>
      <c r="E118" s="15">
        <v>45685</v>
      </c>
      <c r="F118" s="14" t="s">
        <v>18</v>
      </c>
      <c r="G118" s="16">
        <v>70</v>
      </c>
    </row>
    <row r="119" spans="1:7" x14ac:dyDescent="0.25">
      <c r="A119" s="13" t="s">
        <v>413</v>
      </c>
      <c r="B119" s="13">
        <v>1781</v>
      </c>
      <c r="C119" s="14" t="str">
        <f>+VLOOKUP(B119,[1]LISTE!$A$1:$D$431,4,FALSE)</f>
        <v>KEMIMECH MOHAMED</v>
      </c>
      <c r="D119" s="15" t="s">
        <v>217</v>
      </c>
      <c r="E119" s="15">
        <v>45685</v>
      </c>
      <c r="F119" s="14" t="s">
        <v>20</v>
      </c>
      <c r="G119" s="16">
        <v>53.067999999999998</v>
      </c>
    </row>
    <row r="120" spans="1:7" x14ac:dyDescent="0.25">
      <c r="A120" s="13" t="s">
        <v>592</v>
      </c>
      <c r="B120" s="13">
        <v>1781</v>
      </c>
      <c r="C120" s="14" t="str">
        <f>+VLOOKUP(B120,[1]LISTE!$A$1:$D$431,4,FALSE)</f>
        <v>KEMIMECH MOHAMED</v>
      </c>
      <c r="D120" s="15" t="s">
        <v>486</v>
      </c>
      <c r="E120" s="15">
        <v>45683</v>
      </c>
      <c r="F120" s="14" t="s">
        <v>23</v>
      </c>
      <c r="G120" s="16">
        <v>3</v>
      </c>
    </row>
    <row r="121" spans="1:7" x14ac:dyDescent="0.25">
      <c r="A121" s="13" t="s">
        <v>592</v>
      </c>
      <c r="B121" s="13">
        <v>1781</v>
      </c>
      <c r="C121" s="14" t="str">
        <f>+VLOOKUP(B121,[1]LISTE!$A$1:$D$431,4,FALSE)</f>
        <v>KEMIMECH MOHAMED</v>
      </c>
      <c r="D121" s="15" t="s">
        <v>486</v>
      </c>
      <c r="E121" s="15">
        <v>45683</v>
      </c>
      <c r="F121" s="14" t="s">
        <v>20</v>
      </c>
      <c r="G121" s="16">
        <v>24.77</v>
      </c>
    </row>
    <row r="122" spans="1:7" x14ac:dyDescent="0.25">
      <c r="A122" s="13" t="s">
        <v>552</v>
      </c>
      <c r="B122" s="13">
        <v>1789</v>
      </c>
      <c r="C122" s="14" t="str">
        <f>+VLOOKUP(B122,[1]LISTE!$A$1:$D$431,4,FALSE)</f>
        <v>CHIHI MOHAMED SALAH</v>
      </c>
      <c r="D122" s="14" t="s">
        <v>279</v>
      </c>
      <c r="E122" s="15">
        <v>45694</v>
      </c>
      <c r="F122" s="14" t="s">
        <v>18</v>
      </c>
      <c r="G122" s="16">
        <v>70</v>
      </c>
    </row>
    <row r="123" spans="1:7" x14ac:dyDescent="0.25">
      <c r="A123" s="13" t="s">
        <v>552</v>
      </c>
      <c r="B123" s="13">
        <v>1789</v>
      </c>
      <c r="C123" s="14" t="str">
        <f>+VLOOKUP(B123,[1]LISTE!$A$1:$D$431,4,FALSE)</f>
        <v>CHIHI MOHAMED SALAH</v>
      </c>
      <c r="D123" s="14" t="s">
        <v>279</v>
      </c>
      <c r="E123" s="15">
        <v>45694</v>
      </c>
      <c r="F123" s="14" t="s">
        <v>69</v>
      </c>
      <c r="G123" s="16">
        <v>270</v>
      </c>
    </row>
    <row r="124" spans="1:7" x14ac:dyDescent="0.25">
      <c r="A124" s="13" t="s">
        <v>451</v>
      </c>
      <c r="B124" s="13">
        <v>1793</v>
      </c>
      <c r="C124" s="14" t="str">
        <f>+VLOOKUP(B124,[1]LISTE!$A$1:$D$431,4,FALSE)</f>
        <v>MIMOUNA RAOUF</v>
      </c>
      <c r="D124" s="14" t="s">
        <v>22</v>
      </c>
      <c r="E124" s="15">
        <v>45687</v>
      </c>
      <c r="F124" s="14" t="s">
        <v>18</v>
      </c>
      <c r="G124" s="16">
        <v>70</v>
      </c>
    </row>
    <row r="125" spans="1:7" x14ac:dyDescent="0.25">
      <c r="A125" s="13" t="s">
        <v>451</v>
      </c>
      <c r="B125" s="13">
        <v>1793</v>
      </c>
      <c r="C125" s="14" t="str">
        <f>+VLOOKUP(B125,[1]LISTE!$A$1:$D$431,4,FALSE)</f>
        <v>MIMOUNA RAOUF</v>
      </c>
      <c r="D125" s="15" t="s">
        <v>22</v>
      </c>
      <c r="E125" s="15">
        <v>45687</v>
      </c>
      <c r="F125" s="14" t="s">
        <v>21</v>
      </c>
      <c r="G125" s="16">
        <v>12</v>
      </c>
    </row>
    <row r="126" spans="1:7" x14ac:dyDescent="0.25">
      <c r="A126" s="13" t="s">
        <v>451</v>
      </c>
      <c r="B126" s="13">
        <v>1793</v>
      </c>
      <c r="C126" s="14" t="str">
        <f>+VLOOKUP(B126,[1]LISTE!$A$1:$D$431,4,FALSE)</f>
        <v>MIMOUNA RAOUF</v>
      </c>
      <c r="D126" s="14" t="s">
        <v>22</v>
      </c>
      <c r="E126" s="15">
        <v>45687</v>
      </c>
      <c r="F126" s="14" t="s">
        <v>21</v>
      </c>
      <c r="G126" s="16">
        <v>30.96</v>
      </c>
    </row>
    <row r="127" spans="1:7" x14ac:dyDescent="0.25">
      <c r="A127" s="13" t="s">
        <v>469</v>
      </c>
      <c r="B127" s="13">
        <v>1795</v>
      </c>
      <c r="C127" s="14" t="str">
        <f>+VLOOKUP(B127,[1]LISTE!$A$1:$D$431,4,FALSE)</f>
        <v>SOUA MOHAMED</v>
      </c>
      <c r="D127" s="14" t="s">
        <v>22</v>
      </c>
      <c r="E127" s="15">
        <v>45686</v>
      </c>
      <c r="F127" s="14" t="s">
        <v>23</v>
      </c>
      <c r="G127" s="16">
        <v>45</v>
      </c>
    </row>
    <row r="128" spans="1:7" x14ac:dyDescent="0.25">
      <c r="A128" s="13" t="s">
        <v>469</v>
      </c>
      <c r="B128" s="13">
        <v>1795</v>
      </c>
      <c r="C128" s="14" t="str">
        <f>+VLOOKUP(B128,[1]LISTE!$A$1:$D$431,4,FALSE)</f>
        <v>SOUA MOHAMED</v>
      </c>
      <c r="D128" s="14" t="s">
        <v>22</v>
      </c>
      <c r="E128" s="15">
        <v>45686</v>
      </c>
      <c r="F128" s="14" t="s">
        <v>20</v>
      </c>
      <c r="G128" s="16">
        <v>48.491999999999997</v>
      </c>
    </row>
    <row r="129" spans="1:7" x14ac:dyDescent="0.25">
      <c r="A129" s="13" t="s">
        <v>410</v>
      </c>
      <c r="B129" s="13">
        <v>1796</v>
      </c>
      <c r="C129" s="14" t="str">
        <f>+VLOOKUP(B129,[1]LISTE!$A$1:$D$431,4,FALSE)</f>
        <v>BEL HADJ HASSINE IMED</v>
      </c>
      <c r="D129" s="14" t="s">
        <v>82</v>
      </c>
      <c r="E129" s="15">
        <v>45684</v>
      </c>
      <c r="F129" s="14" t="s">
        <v>20</v>
      </c>
      <c r="G129" s="16">
        <v>43.731000000000002</v>
      </c>
    </row>
    <row r="130" spans="1:7" x14ac:dyDescent="0.25">
      <c r="A130" s="13" t="s">
        <v>556</v>
      </c>
      <c r="B130" s="13">
        <v>1796</v>
      </c>
      <c r="C130" s="14" t="str">
        <f>+VLOOKUP(B130,[1]LISTE!$A$1:$D$431,4,FALSE)</f>
        <v>BEL HADJ HASSINE IMED</v>
      </c>
      <c r="D130" s="15" t="s">
        <v>22</v>
      </c>
      <c r="E130" s="15">
        <v>45670</v>
      </c>
      <c r="F130" s="14" t="s">
        <v>18</v>
      </c>
      <c r="G130" s="16">
        <v>70</v>
      </c>
    </row>
    <row r="131" spans="1:7" x14ac:dyDescent="0.25">
      <c r="A131" s="13" t="s">
        <v>556</v>
      </c>
      <c r="B131" s="13">
        <v>1796</v>
      </c>
      <c r="C131" s="14" t="str">
        <f>+VLOOKUP(B131,[1]LISTE!$A$1:$D$431,4,FALSE)</f>
        <v>BEL HADJ HASSINE IMED</v>
      </c>
      <c r="D131" s="15" t="s">
        <v>22</v>
      </c>
      <c r="E131" s="15">
        <v>45670</v>
      </c>
      <c r="F131" s="14" t="s">
        <v>20</v>
      </c>
      <c r="G131" s="16">
        <v>96.087999999999994</v>
      </c>
    </row>
    <row r="132" spans="1:7" x14ac:dyDescent="0.25">
      <c r="A132" s="13" t="s">
        <v>544</v>
      </c>
      <c r="B132" s="13">
        <v>1797</v>
      </c>
      <c r="C132" s="14" t="str">
        <f>+VLOOKUP(B132,[1]LISTE!$A$1:$D$431,4,FALSE)</f>
        <v>ABBADI MOHAMED</v>
      </c>
      <c r="D132" s="14" t="s">
        <v>163</v>
      </c>
      <c r="E132" s="15">
        <v>45691</v>
      </c>
      <c r="F132" s="14" t="s">
        <v>18</v>
      </c>
      <c r="G132" s="16">
        <v>70</v>
      </c>
    </row>
    <row r="133" spans="1:7" x14ac:dyDescent="0.25">
      <c r="A133" s="13" t="s">
        <v>544</v>
      </c>
      <c r="B133" s="13">
        <v>1797</v>
      </c>
      <c r="C133" s="14" t="str">
        <f>+VLOOKUP(B133,[1]LISTE!$A$1:$D$431,4,FALSE)</f>
        <v>ABBADI MOHAMED</v>
      </c>
      <c r="D133" s="14" t="s">
        <v>163</v>
      </c>
      <c r="E133" s="15">
        <v>45691</v>
      </c>
      <c r="F133" s="14" t="s">
        <v>20</v>
      </c>
      <c r="G133" s="16">
        <v>48.084000000000003</v>
      </c>
    </row>
    <row r="134" spans="1:7" x14ac:dyDescent="0.25">
      <c r="A134" s="13" t="s">
        <v>404</v>
      </c>
      <c r="B134" s="13">
        <v>1801</v>
      </c>
      <c r="C134" s="14" t="str">
        <f>+VLOOKUP(B134,[1]LISTE!$A$1:$D$431,4,FALSE)</f>
        <v>MAHJOUB MOHAMED</v>
      </c>
      <c r="D134" s="14" t="s">
        <v>405</v>
      </c>
      <c r="E134" s="15">
        <v>45686</v>
      </c>
      <c r="F134" s="14" t="s">
        <v>23</v>
      </c>
      <c r="G134" s="16">
        <v>40</v>
      </c>
    </row>
    <row r="135" spans="1:7" x14ac:dyDescent="0.25">
      <c r="A135" s="13" t="s">
        <v>404</v>
      </c>
      <c r="B135" s="13">
        <v>1801</v>
      </c>
      <c r="C135" s="14" t="str">
        <f>+VLOOKUP(B135,[1]LISTE!$A$1:$D$431,4,FALSE)</f>
        <v>MAHJOUB MOHAMED</v>
      </c>
      <c r="D135" s="14" t="s">
        <v>405</v>
      </c>
      <c r="E135" s="15">
        <v>45686</v>
      </c>
      <c r="F135" s="14" t="s">
        <v>20</v>
      </c>
      <c r="G135" s="16">
        <v>29.655000000000001</v>
      </c>
    </row>
    <row r="136" spans="1:7" x14ac:dyDescent="0.25">
      <c r="A136" s="13" t="s">
        <v>423</v>
      </c>
      <c r="B136" s="13">
        <v>1801</v>
      </c>
      <c r="C136" s="14" t="str">
        <f>+VLOOKUP(B136,[1]LISTE!$A$1:$D$431,4,FALSE)</f>
        <v>MAHJOUB MOHAMED</v>
      </c>
      <c r="D136" s="14" t="s">
        <v>306</v>
      </c>
      <c r="E136" s="15">
        <v>45685</v>
      </c>
      <c r="F136" s="14" t="s">
        <v>20</v>
      </c>
      <c r="G136" s="16">
        <v>35.895000000000003</v>
      </c>
    </row>
    <row r="137" spans="1:7" x14ac:dyDescent="0.25">
      <c r="A137" s="13" t="s">
        <v>430</v>
      </c>
      <c r="B137" s="13">
        <v>1803</v>
      </c>
      <c r="C137" s="14" t="str">
        <f>+VLOOKUP(B137,[1]LISTE!$A$1:$D$431,4,FALSE)</f>
        <v>GAM HAMDI</v>
      </c>
      <c r="D137" s="14" t="s">
        <v>184</v>
      </c>
      <c r="E137" s="15">
        <v>45681</v>
      </c>
      <c r="F137" s="14" t="s">
        <v>23</v>
      </c>
      <c r="G137" s="16">
        <v>45</v>
      </c>
    </row>
    <row r="138" spans="1:7" x14ac:dyDescent="0.25">
      <c r="A138" s="13" t="s">
        <v>430</v>
      </c>
      <c r="B138" s="13">
        <v>1803</v>
      </c>
      <c r="C138" s="14" t="str">
        <f>+VLOOKUP(B138,[1]LISTE!$A$1:$D$431,4,FALSE)</f>
        <v>GAM HAMDI</v>
      </c>
      <c r="D138" s="15" t="s">
        <v>184</v>
      </c>
      <c r="E138" s="15">
        <v>45681</v>
      </c>
      <c r="F138" s="14" t="s">
        <v>20</v>
      </c>
      <c r="G138" s="16">
        <v>36.970999999999997</v>
      </c>
    </row>
    <row r="139" spans="1:7" x14ac:dyDescent="0.25">
      <c r="A139" s="13" t="s">
        <v>431</v>
      </c>
      <c r="B139" s="13">
        <v>1803</v>
      </c>
      <c r="C139" s="14" t="str">
        <f>+VLOOKUP(B139,[1]LISTE!$A$1:$D$431,4,FALSE)</f>
        <v>GAM HAMDI</v>
      </c>
      <c r="D139" s="15" t="s">
        <v>184</v>
      </c>
      <c r="E139" s="15">
        <v>45684</v>
      </c>
      <c r="F139" s="14" t="s">
        <v>18</v>
      </c>
      <c r="G139" s="16">
        <v>70</v>
      </c>
    </row>
    <row r="140" spans="1:7" x14ac:dyDescent="0.25">
      <c r="A140" s="13" t="s">
        <v>431</v>
      </c>
      <c r="B140" s="13">
        <v>1803</v>
      </c>
      <c r="C140" s="14" t="str">
        <f>+VLOOKUP(B140,[1]LISTE!$A$1:$D$431,4,FALSE)</f>
        <v>GAM HAMDI</v>
      </c>
      <c r="D140" s="14" t="s">
        <v>184</v>
      </c>
      <c r="E140" s="15">
        <v>45684</v>
      </c>
      <c r="F140" s="14" t="s">
        <v>20</v>
      </c>
      <c r="G140" s="16">
        <v>8.4760000000000009</v>
      </c>
    </row>
    <row r="141" spans="1:7" x14ac:dyDescent="0.25">
      <c r="A141" s="13" t="s">
        <v>591</v>
      </c>
      <c r="B141" s="13">
        <v>1813</v>
      </c>
      <c r="C141" s="14" t="str">
        <f>+VLOOKUP(B141,[1]LISTE!$A$1:$D$431,4,FALSE)</f>
        <v>YOUSSEF HICHEM</v>
      </c>
      <c r="D141" s="15" t="s">
        <v>186</v>
      </c>
      <c r="E141" s="15">
        <v>45696</v>
      </c>
      <c r="F141" s="14" t="s">
        <v>23</v>
      </c>
      <c r="G141" s="16">
        <v>20</v>
      </c>
    </row>
    <row r="142" spans="1:7" x14ac:dyDescent="0.25">
      <c r="A142" s="13" t="s">
        <v>591</v>
      </c>
      <c r="B142" s="13">
        <v>1813</v>
      </c>
      <c r="C142" s="14" t="str">
        <f>+VLOOKUP(B142,[1]LISTE!$A$1:$D$431,4,FALSE)</f>
        <v>YOUSSEF HICHEM</v>
      </c>
      <c r="D142" s="15" t="s">
        <v>186</v>
      </c>
      <c r="E142" s="15">
        <v>45696</v>
      </c>
      <c r="F142" s="14" t="s">
        <v>20</v>
      </c>
      <c r="G142" s="16">
        <v>21.004999999999999</v>
      </c>
    </row>
    <row r="143" spans="1:7" x14ac:dyDescent="0.25">
      <c r="A143" s="13" t="s">
        <v>560</v>
      </c>
      <c r="B143" s="13">
        <v>1814</v>
      </c>
      <c r="C143" s="14" t="str">
        <f>+VLOOKUP(B143,[1]LISTE!$A$1:$D$431,4,FALSE)</f>
        <v>BEL ARBIA SLAH</v>
      </c>
      <c r="D143" s="15" t="s">
        <v>59</v>
      </c>
      <c r="E143" s="15">
        <v>45692</v>
      </c>
      <c r="F143" s="14" t="s">
        <v>23</v>
      </c>
      <c r="G143" s="16">
        <v>40</v>
      </c>
    </row>
    <row r="144" spans="1:7" x14ac:dyDescent="0.25">
      <c r="A144" s="13" t="s">
        <v>560</v>
      </c>
      <c r="B144" s="13">
        <v>1814</v>
      </c>
      <c r="C144" s="14" t="str">
        <f>+VLOOKUP(B144,[1]LISTE!$A$1:$D$431,4,FALSE)</f>
        <v>BEL ARBIA SLAH</v>
      </c>
      <c r="D144" s="15" t="s">
        <v>59</v>
      </c>
      <c r="E144" s="15">
        <v>45692</v>
      </c>
      <c r="F144" s="14" t="s">
        <v>20</v>
      </c>
      <c r="G144" s="16">
        <v>37.121000000000002</v>
      </c>
    </row>
    <row r="145" spans="1:7" x14ac:dyDescent="0.25">
      <c r="A145" s="13" t="s">
        <v>432</v>
      </c>
      <c r="B145" s="13">
        <v>1819</v>
      </c>
      <c r="C145" s="14" t="str">
        <f>+VLOOKUP(B145,[1]LISTE!$A$1:$D$431,4,FALSE)</f>
        <v>SASSI MOHAMED WALID</v>
      </c>
      <c r="D145" s="14" t="s">
        <v>433</v>
      </c>
      <c r="E145" s="15">
        <v>45681</v>
      </c>
      <c r="F145" s="14" t="s">
        <v>23</v>
      </c>
      <c r="G145" s="16">
        <v>45</v>
      </c>
    </row>
    <row r="146" spans="1:7" x14ac:dyDescent="0.25">
      <c r="A146" s="13" t="s">
        <v>432</v>
      </c>
      <c r="B146" s="13">
        <v>1819</v>
      </c>
      <c r="C146" s="14" t="str">
        <f>+VLOOKUP(B146,[1]LISTE!$A$1:$D$431,4,FALSE)</f>
        <v>SASSI MOHAMED WALID</v>
      </c>
      <c r="D146" s="15" t="s">
        <v>433</v>
      </c>
      <c r="E146" s="15">
        <v>45681</v>
      </c>
      <c r="F146" s="14" t="s">
        <v>20</v>
      </c>
      <c r="G146" s="16">
        <v>14.673</v>
      </c>
    </row>
    <row r="147" spans="1:7" x14ac:dyDescent="0.25">
      <c r="A147" s="13" t="s">
        <v>434</v>
      </c>
      <c r="B147" s="13">
        <v>1819</v>
      </c>
      <c r="C147" s="14" t="str">
        <f>+VLOOKUP(B147,[1]LISTE!$A$1:$D$431,4,FALSE)</f>
        <v>SASSI MOHAMED WALID</v>
      </c>
      <c r="D147" s="14" t="s">
        <v>371</v>
      </c>
      <c r="E147" s="15">
        <v>45681</v>
      </c>
      <c r="F147" s="14" t="s">
        <v>23</v>
      </c>
      <c r="G147" s="16">
        <v>45</v>
      </c>
    </row>
    <row r="148" spans="1:7" x14ac:dyDescent="0.25">
      <c r="A148" s="13" t="s">
        <v>434</v>
      </c>
      <c r="B148" s="13">
        <v>1819</v>
      </c>
      <c r="C148" s="14" t="str">
        <f>+VLOOKUP(B148,[1]LISTE!$A$1:$D$431,4,FALSE)</f>
        <v>SASSI MOHAMED WALID</v>
      </c>
      <c r="D148" s="15" t="s">
        <v>371</v>
      </c>
      <c r="E148" s="15">
        <v>45681</v>
      </c>
      <c r="F148" s="14" t="s">
        <v>20</v>
      </c>
      <c r="G148" s="16">
        <v>64.430000000000007</v>
      </c>
    </row>
    <row r="149" spans="1:7" x14ac:dyDescent="0.25">
      <c r="A149" s="13" t="s">
        <v>429</v>
      </c>
      <c r="B149" s="13">
        <v>1820</v>
      </c>
      <c r="C149" s="14" t="str">
        <f>+VLOOKUP(B149,[1]LISTE!$A$1:$D$431,4,FALSE)</f>
        <v>MKHININI MOHAMED RIMEH</v>
      </c>
      <c r="D149" s="14" t="s">
        <v>71</v>
      </c>
      <c r="E149" s="15">
        <v>45680</v>
      </c>
      <c r="F149" s="14" t="s">
        <v>18</v>
      </c>
      <c r="G149" s="16">
        <v>70</v>
      </c>
    </row>
    <row r="150" spans="1:7" x14ac:dyDescent="0.25">
      <c r="A150" s="13" t="s">
        <v>429</v>
      </c>
      <c r="B150" s="13">
        <v>1820</v>
      </c>
      <c r="C150" s="14" t="str">
        <f>+VLOOKUP(B150,[1]LISTE!$A$1:$D$431,4,FALSE)</f>
        <v>MKHININI MOHAMED RIMEH</v>
      </c>
      <c r="D150" s="14" t="s">
        <v>71</v>
      </c>
      <c r="E150" s="15">
        <v>45681</v>
      </c>
      <c r="F150" s="14" t="s">
        <v>20</v>
      </c>
      <c r="G150" s="16">
        <v>92.05</v>
      </c>
    </row>
    <row r="151" spans="1:7" x14ac:dyDescent="0.25">
      <c r="A151" s="13" t="s">
        <v>429</v>
      </c>
      <c r="B151" s="13">
        <v>1820</v>
      </c>
      <c r="C151" s="14" t="str">
        <f>+VLOOKUP(B151,[1]LISTE!$A$1:$D$431,4,FALSE)</f>
        <v>MKHININI MOHAMED RIMEH</v>
      </c>
      <c r="D151" s="14" t="s">
        <v>71</v>
      </c>
      <c r="E151" s="15">
        <v>45682</v>
      </c>
      <c r="F151" s="14" t="s">
        <v>19</v>
      </c>
      <c r="G151" s="16">
        <v>281.52</v>
      </c>
    </row>
    <row r="152" spans="1:7" x14ac:dyDescent="0.25">
      <c r="A152" s="13" t="s">
        <v>477</v>
      </c>
      <c r="B152" s="13">
        <v>1820</v>
      </c>
      <c r="C152" s="14" t="str">
        <f>+VLOOKUP(B152,[1]LISTE!$A$1:$D$431,4,FALSE)</f>
        <v>MKHININI MOHAMED RIMEH</v>
      </c>
      <c r="D152" s="14" t="s">
        <v>71</v>
      </c>
      <c r="E152" s="15">
        <v>45687</v>
      </c>
      <c r="F152" s="14" t="s">
        <v>23</v>
      </c>
      <c r="G152" s="16">
        <v>40</v>
      </c>
    </row>
    <row r="153" spans="1:7" x14ac:dyDescent="0.25">
      <c r="A153" s="13" t="s">
        <v>477</v>
      </c>
      <c r="B153" s="13">
        <v>1820</v>
      </c>
      <c r="C153" s="14" t="str">
        <f>+VLOOKUP(B153,[1]LISTE!$A$1:$D$431,4,FALSE)</f>
        <v>MKHININI MOHAMED RIMEH</v>
      </c>
      <c r="D153" s="14" t="s">
        <v>71</v>
      </c>
      <c r="E153" s="15">
        <v>45687</v>
      </c>
      <c r="F153" s="14" t="s">
        <v>20</v>
      </c>
      <c r="G153" s="16">
        <v>64.3</v>
      </c>
    </row>
    <row r="154" spans="1:7" x14ac:dyDescent="0.25">
      <c r="A154" s="13" t="s">
        <v>424</v>
      </c>
      <c r="B154" s="13">
        <v>1821</v>
      </c>
      <c r="C154" s="14" t="str">
        <f>+VLOOKUP(B154,[1]LISTE!$A$1:$D$431,4,FALSE)</f>
        <v>BOURIGUA MOHAMED</v>
      </c>
      <c r="D154" s="14" t="s">
        <v>22</v>
      </c>
      <c r="E154" s="15">
        <v>45680</v>
      </c>
      <c r="F154" s="14" t="s">
        <v>23</v>
      </c>
      <c r="G154" s="16">
        <v>50</v>
      </c>
    </row>
    <row r="155" spans="1:7" x14ac:dyDescent="0.25">
      <c r="A155" s="13" t="s">
        <v>424</v>
      </c>
      <c r="B155" s="13">
        <v>1821</v>
      </c>
      <c r="C155" s="14" t="str">
        <f>+VLOOKUP(B155,[1]LISTE!$A$1:$D$431,4,FALSE)</f>
        <v>BOURIGUA MOHAMED</v>
      </c>
      <c r="D155" s="14" t="s">
        <v>22</v>
      </c>
      <c r="E155" s="15">
        <v>45680</v>
      </c>
      <c r="F155" s="14" t="s">
        <v>20</v>
      </c>
      <c r="G155" s="16">
        <v>3.71</v>
      </c>
    </row>
    <row r="156" spans="1:7" x14ac:dyDescent="0.25">
      <c r="A156" s="13" t="s">
        <v>424</v>
      </c>
      <c r="B156" s="13">
        <v>1821</v>
      </c>
      <c r="C156" s="14" t="str">
        <f>+VLOOKUP(B156,[1]LISTE!$A$1:$D$431,4,FALSE)</f>
        <v>BOURIGUA MOHAMED</v>
      </c>
      <c r="D156" s="14" t="s">
        <v>22</v>
      </c>
      <c r="E156" s="15">
        <v>45685</v>
      </c>
      <c r="F156" s="14" t="s">
        <v>25</v>
      </c>
      <c r="G156" s="16">
        <v>500</v>
      </c>
    </row>
    <row r="157" spans="1:7" x14ac:dyDescent="0.25">
      <c r="A157" s="13" t="s">
        <v>409</v>
      </c>
      <c r="B157" s="13">
        <v>1822</v>
      </c>
      <c r="C157" s="14" t="str">
        <f>+VLOOKUP(B157,[1]LISTE!$A$1:$D$431,4,FALSE)</f>
        <v>BOUHLEL MEJDI</v>
      </c>
      <c r="D157" s="14" t="s">
        <v>22</v>
      </c>
      <c r="E157" s="15">
        <v>45684</v>
      </c>
      <c r="F157" s="14" t="s">
        <v>23</v>
      </c>
      <c r="G157" s="16">
        <v>45</v>
      </c>
    </row>
    <row r="158" spans="1:7" x14ac:dyDescent="0.25">
      <c r="A158" s="13" t="s">
        <v>409</v>
      </c>
      <c r="B158" s="13">
        <v>1822</v>
      </c>
      <c r="C158" s="14" t="str">
        <f>+VLOOKUP(B158,[1]LISTE!$A$1:$D$431,4,FALSE)</f>
        <v>BOUHLEL MEJDI</v>
      </c>
      <c r="D158" s="14" t="s">
        <v>22</v>
      </c>
      <c r="E158" s="15">
        <v>45684</v>
      </c>
      <c r="F158" s="14" t="s">
        <v>20</v>
      </c>
      <c r="G158" s="16">
        <v>19.986999999999998</v>
      </c>
    </row>
    <row r="159" spans="1:7" x14ac:dyDescent="0.25">
      <c r="A159" s="13" t="s">
        <v>403</v>
      </c>
      <c r="B159" s="13">
        <v>1830</v>
      </c>
      <c r="C159" s="14" t="str">
        <f>+VLOOKUP(B159,[1]LISTE!$A$1:$D$431,4,FALSE)</f>
        <v>LOURIMI ABDALLAH</v>
      </c>
      <c r="D159" s="15" t="s">
        <v>22</v>
      </c>
      <c r="E159" s="15">
        <v>45685</v>
      </c>
      <c r="F159" s="14" t="s">
        <v>18</v>
      </c>
      <c r="G159" s="16">
        <v>70</v>
      </c>
    </row>
    <row r="160" spans="1:7" x14ac:dyDescent="0.25">
      <c r="A160" s="13" t="s">
        <v>403</v>
      </c>
      <c r="B160" s="13">
        <v>1830</v>
      </c>
      <c r="C160" s="14" t="str">
        <f>+VLOOKUP(B160,[1]LISTE!$A$1:$D$431,4,FALSE)</f>
        <v>LOURIMI ABDALLAH</v>
      </c>
      <c r="D160" s="14" t="s">
        <v>22</v>
      </c>
      <c r="E160" s="15">
        <v>45685</v>
      </c>
      <c r="F160" s="14" t="s">
        <v>20</v>
      </c>
      <c r="G160" s="16">
        <v>75.459999999999994</v>
      </c>
    </row>
    <row r="161" spans="1:7" x14ac:dyDescent="0.25">
      <c r="A161" s="13" t="s">
        <v>403</v>
      </c>
      <c r="B161" s="13">
        <v>1830</v>
      </c>
      <c r="C161" s="14" t="str">
        <f>+VLOOKUP(B161,[1]LISTE!$A$1:$D$431,4,FALSE)</f>
        <v>LOURIMI ABDALLAH</v>
      </c>
      <c r="D161" s="14" t="s">
        <v>22</v>
      </c>
      <c r="E161" s="15">
        <v>45685</v>
      </c>
      <c r="F161" s="14" t="s">
        <v>21</v>
      </c>
      <c r="G161" s="16">
        <v>210</v>
      </c>
    </row>
    <row r="162" spans="1:7" x14ac:dyDescent="0.25">
      <c r="A162" s="13" t="s">
        <v>466</v>
      </c>
      <c r="B162" s="13">
        <v>1835</v>
      </c>
      <c r="C162" s="14" t="str">
        <f>+VLOOKUP(B162,[1]LISTE!$A$1:$D$431,4,FALSE)</f>
        <v>KRIFA MOHAMED KAMEL</v>
      </c>
      <c r="D162" s="14" t="s">
        <v>296</v>
      </c>
      <c r="E162" s="15">
        <v>45659</v>
      </c>
      <c r="F162" s="14" t="s">
        <v>20</v>
      </c>
      <c r="G162" s="16">
        <v>4.2450000000000001</v>
      </c>
    </row>
    <row r="163" spans="1:7" x14ac:dyDescent="0.25">
      <c r="A163" s="13" t="s">
        <v>466</v>
      </c>
      <c r="B163" s="13">
        <v>1835</v>
      </c>
      <c r="C163" s="14" t="str">
        <f>+VLOOKUP(B163,[1]LISTE!$A$1:$D$431,4,FALSE)</f>
        <v>KRIFA MOHAMED KAMEL</v>
      </c>
      <c r="D163" s="14" t="s">
        <v>296</v>
      </c>
      <c r="E163" s="15">
        <v>45684</v>
      </c>
      <c r="F163" s="14" t="s">
        <v>24</v>
      </c>
      <c r="G163" s="16">
        <v>320</v>
      </c>
    </row>
    <row r="164" spans="1:7" x14ac:dyDescent="0.25">
      <c r="A164" s="13" t="s">
        <v>527</v>
      </c>
      <c r="B164" s="13">
        <v>1839</v>
      </c>
      <c r="C164" s="14" t="str">
        <f>+VLOOKUP(B164,[1]LISTE!$A$1:$D$431,4,FALSE)</f>
        <v>TERZEGUE FERID</v>
      </c>
      <c r="D164" s="14" t="s">
        <v>253</v>
      </c>
      <c r="E164" s="15">
        <v>45682</v>
      </c>
      <c r="F164" s="14" t="s">
        <v>18</v>
      </c>
      <c r="G164" s="16">
        <v>70</v>
      </c>
    </row>
    <row r="165" spans="1:7" x14ac:dyDescent="0.25">
      <c r="A165" s="13" t="s">
        <v>527</v>
      </c>
      <c r="B165" s="13">
        <v>1839</v>
      </c>
      <c r="C165" s="14" t="str">
        <f>+VLOOKUP(B165,[1]LISTE!$A$1:$D$431,4,FALSE)</f>
        <v>TERZEGUE FERID</v>
      </c>
      <c r="D165" s="14" t="s">
        <v>253</v>
      </c>
      <c r="E165" s="15">
        <v>45682</v>
      </c>
      <c r="F165" s="14" t="s">
        <v>20</v>
      </c>
      <c r="G165" s="16">
        <v>43.29</v>
      </c>
    </row>
    <row r="166" spans="1:7" x14ac:dyDescent="0.25">
      <c r="A166" s="13" t="s">
        <v>566</v>
      </c>
      <c r="B166" s="13">
        <v>1846</v>
      </c>
      <c r="C166" s="14" t="str">
        <f>+VLOOKUP(B166,[1]LISTE!$A$1:$D$431,4,FALSE)</f>
        <v>ROMDHANI SAMI</v>
      </c>
      <c r="D166" s="15" t="s">
        <v>22</v>
      </c>
      <c r="E166" s="15">
        <v>45694</v>
      </c>
      <c r="F166" s="14" t="s">
        <v>23</v>
      </c>
      <c r="G166" s="16">
        <v>40</v>
      </c>
    </row>
    <row r="167" spans="1:7" x14ac:dyDescent="0.25">
      <c r="A167" s="13" t="s">
        <v>566</v>
      </c>
      <c r="B167" s="13">
        <v>1846</v>
      </c>
      <c r="C167" s="14" t="str">
        <f>+VLOOKUP(B167,[1]LISTE!$A$1:$D$431,4,FALSE)</f>
        <v>ROMDHANI SAMI</v>
      </c>
      <c r="D167" s="15" t="s">
        <v>22</v>
      </c>
      <c r="E167" s="15">
        <v>45694</v>
      </c>
      <c r="F167" s="14" t="s">
        <v>20</v>
      </c>
      <c r="G167" s="16">
        <v>41.15</v>
      </c>
    </row>
    <row r="168" spans="1:7" x14ac:dyDescent="0.25">
      <c r="A168" s="13" t="s">
        <v>566</v>
      </c>
      <c r="B168" s="13">
        <v>1846</v>
      </c>
      <c r="C168" s="14" t="str">
        <f>+VLOOKUP(B168,[1]LISTE!$A$1:$D$431,4,FALSE)</f>
        <v>ROMDHANI SAMI</v>
      </c>
      <c r="D168" s="15" t="s">
        <v>22</v>
      </c>
      <c r="E168" s="15">
        <v>45694</v>
      </c>
      <c r="F168" s="14" t="s">
        <v>21</v>
      </c>
      <c r="G168" s="16">
        <v>50</v>
      </c>
    </row>
    <row r="169" spans="1:7" x14ac:dyDescent="0.25">
      <c r="A169" s="13" t="s">
        <v>452</v>
      </c>
      <c r="B169" s="13">
        <v>1849</v>
      </c>
      <c r="C169" s="14" t="str">
        <f>+VLOOKUP(B169,[1]LISTE!$A$1:$D$431,4,FALSE)</f>
        <v>GANHOUBA MEHDI</v>
      </c>
      <c r="D169" s="15" t="s">
        <v>453</v>
      </c>
      <c r="E169" s="15">
        <v>45687</v>
      </c>
      <c r="F169" s="14" t="s">
        <v>20</v>
      </c>
      <c r="G169" s="16">
        <v>21.204999999999998</v>
      </c>
    </row>
    <row r="170" spans="1:7" x14ac:dyDescent="0.25">
      <c r="A170" s="13" t="s">
        <v>452</v>
      </c>
      <c r="B170" s="13">
        <v>1849</v>
      </c>
      <c r="C170" s="14" t="str">
        <f>+VLOOKUP(B170,[1]LISTE!$A$1:$D$431,4,FALSE)</f>
        <v>GANHOUBA MEHDI</v>
      </c>
      <c r="D170" s="15" t="s">
        <v>453</v>
      </c>
      <c r="E170" s="15">
        <v>45687</v>
      </c>
      <c r="F170" s="14" t="s">
        <v>24</v>
      </c>
      <c r="G170" s="16">
        <v>70</v>
      </c>
    </row>
    <row r="171" spans="1:7" x14ac:dyDescent="0.25">
      <c r="A171" s="13" t="s">
        <v>523</v>
      </c>
      <c r="B171" s="13">
        <v>1860</v>
      </c>
      <c r="C171" s="14" t="str">
        <f>+VLOOKUP(B171,[1]LISTE!$A$1:$D$431,4,FALSE)</f>
        <v>KTAIEB FREDJ</v>
      </c>
      <c r="D171" s="15" t="s">
        <v>332</v>
      </c>
      <c r="E171" s="15">
        <v>45687</v>
      </c>
      <c r="F171" s="14" t="s">
        <v>18</v>
      </c>
      <c r="G171" s="16">
        <v>60</v>
      </c>
    </row>
    <row r="172" spans="1:7" x14ac:dyDescent="0.25">
      <c r="A172" s="13" t="s">
        <v>523</v>
      </c>
      <c r="B172" s="13">
        <v>1860</v>
      </c>
      <c r="C172" s="14" t="str">
        <f>+VLOOKUP(B172,[1]LISTE!$A$1:$D$431,4,FALSE)</f>
        <v>KTAIEB FREDJ</v>
      </c>
      <c r="D172" s="15" t="s">
        <v>332</v>
      </c>
      <c r="E172" s="15">
        <v>45687</v>
      </c>
      <c r="F172" s="14" t="s">
        <v>19</v>
      </c>
      <c r="G172" s="16">
        <v>45.046999999999997</v>
      </c>
    </row>
    <row r="173" spans="1:7" x14ac:dyDescent="0.25">
      <c r="A173" s="13" t="s">
        <v>523</v>
      </c>
      <c r="B173" s="13">
        <v>1860</v>
      </c>
      <c r="C173" s="14" t="str">
        <f>+VLOOKUP(B173,[1]LISTE!$A$1:$D$431,4,FALSE)</f>
        <v>KTAIEB FREDJ</v>
      </c>
      <c r="D173" s="15" t="s">
        <v>332</v>
      </c>
      <c r="E173" s="15">
        <v>45687</v>
      </c>
      <c r="F173" s="14" t="s">
        <v>20</v>
      </c>
      <c r="G173" s="16">
        <v>230.25</v>
      </c>
    </row>
    <row r="174" spans="1:7" x14ac:dyDescent="0.25">
      <c r="A174" s="13" t="s">
        <v>411</v>
      </c>
      <c r="B174" s="13">
        <v>1861</v>
      </c>
      <c r="C174" s="14" t="str">
        <f>+VLOOKUP(B174,[1]LISTE!$A$1:$D$431,4,FALSE)</f>
        <v>BOUHLEL ANIS BEN MUSTAPHA</v>
      </c>
      <c r="D174" s="14" t="s">
        <v>412</v>
      </c>
      <c r="E174" s="15">
        <v>45685</v>
      </c>
      <c r="F174" s="14" t="s">
        <v>23</v>
      </c>
      <c r="G174" s="16">
        <v>40</v>
      </c>
    </row>
    <row r="175" spans="1:7" x14ac:dyDescent="0.25">
      <c r="A175" s="13" t="s">
        <v>411</v>
      </c>
      <c r="B175" s="13">
        <v>1861</v>
      </c>
      <c r="C175" s="14" t="str">
        <f>+VLOOKUP(B175,[1]LISTE!$A$1:$D$431,4,FALSE)</f>
        <v>BOUHLEL ANIS BEN MUSTAPHA</v>
      </c>
      <c r="D175" s="14" t="s">
        <v>412</v>
      </c>
      <c r="E175" s="15">
        <v>45685</v>
      </c>
      <c r="F175" s="14" t="s">
        <v>20</v>
      </c>
      <c r="G175" s="16">
        <v>40.756</v>
      </c>
    </row>
    <row r="176" spans="1:7" x14ac:dyDescent="0.25">
      <c r="A176" s="13" t="s">
        <v>541</v>
      </c>
      <c r="B176" s="13">
        <v>1878</v>
      </c>
      <c r="C176" s="14" t="str">
        <f>+VLOOKUP(B176,[1]LISTE!$A$1:$D$431,4,FALSE)</f>
        <v>BOUHLEL MED ALI</v>
      </c>
      <c r="D176" s="14" t="s">
        <v>31</v>
      </c>
      <c r="E176" s="15">
        <v>45677</v>
      </c>
      <c r="F176" s="14" t="s">
        <v>23</v>
      </c>
      <c r="G176" s="16">
        <v>50</v>
      </c>
    </row>
    <row r="177" spans="1:7" x14ac:dyDescent="0.25">
      <c r="A177" s="13" t="s">
        <v>541</v>
      </c>
      <c r="B177" s="13">
        <v>1878</v>
      </c>
      <c r="C177" s="14" t="str">
        <f>+VLOOKUP(B177,[1]LISTE!$A$1:$D$431,4,FALSE)</f>
        <v>BOUHLEL MED ALI</v>
      </c>
      <c r="D177" s="14" t="s">
        <v>31</v>
      </c>
      <c r="E177" s="15">
        <v>45677</v>
      </c>
      <c r="F177" s="14" t="s">
        <v>20</v>
      </c>
      <c r="G177" s="16">
        <v>7.5949999999999998</v>
      </c>
    </row>
    <row r="178" spans="1:7" x14ac:dyDescent="0.25">
      <c r="A178" s="13" t="s">
        <v>541</v>
      </c>
      <c r="B178" s="13">
        <v>1878</v>
      </c>
      <c r="C178" s="14" t="str">
        <f>+VLOOKUP(B178,[1]LISTE!$A$1:$D$431,4,FALSE)</f>
        <v>BOUHLEL MED ALI</v>
      </c>
      <c r="D178" s="14" t="s">
        <v>31</v>
      </c>
      <c r="E178" s="15">
        <v>45689</v>
      </c>
      <c r="F178" s="14" t="s">
        <v>24</v>
      </c>
      <c r="G178" s="16">
        <v>80</v>
      </c>
    </row>
    <row r="179" spans="1:7" x14ac:dyDescent="0.25">
      <c r="A179" s="13" t="s">
        <v>512</v>
      </c>
      <c r="B179" s="13">
        <v>1887</v>
      </c>
      <c r="C179" s="14" t="str">
        <f>+VLOOKUP(B179,[1]LISTE!$A$1:$D$431,4,FALSE)</f>
        <v>BEN SALAH HATEM</v>
      </c>
      <c r="D179" s="14" t="s">
        <v>513</v>
      </c>
      <c r="E179" s="15">
        <v>45691</v>
      </c>
      <c r="F179" s="14" t="s">
        <v>18</v>
      </c>
      <c r="G179" s="16">
        <v>70</v>
      </c>
    </row>
    <row r="180" spans="1:7" x14ac:dyDescent="0.25">
      <c r="A180" s="13" t="s">
        <v>512</v>
      </c>
      <c r="B180" s="13">
        <v>1887</v>
      </c>
      <c r="C180" s="14" t="str">
        <f>+VLOOKUP(B180,[1]LISTE!$A$1:$D$431,4,FALSE)</f>
        <v>BEN SALAH HATEM</v>
      </c>
      <c r="D180" s="14" t="s">
        <v>513</v>
      </c>
      <c r="E180" s="15">
        <v>45691</v>
      </c>
      <c r="F180" s="14" t="s">
        <v>20</v>
      </c>
      <c r="G180" s="16">
        <v>33.762999999999998</v>
      </c>
    </row>
    <row r="181" spans="1:7" x14ac:dyDescent="0.25">
      <c r="A181" s="13" t="s">
        <v>440</v>
      </c>
      <c r="B181" s="13">
        <v>1896</v>
      </c>
      <c r="C181" s="14" t="str">
        <f>+VLOOKUP(B181,[1]LISTE!$A$1:$D$431,4,FALSE)</f>
        <v>LAJIMI ABDELKADER</v>
      </c>
      <c r="D181" s="15" t="s">
        <v>47</v>
      </c>
      <c r="E181" s="15">
        <v>45686</v>
      </c>
      <c r="F181" s="14" t="s">
        <v>20</v>
      </c>
      <c r="G181" s="16">
        <v>108.41500000000001</v>
      </c>
    </row>
    <row r="182" spans="1:7" x14ac:dyDescent="0.25">
      <c r="A182" s="13" t="s">
        <v>528</v>
      </c>
      <c r="B182" s="13">
        <v>1897</v>
      </c>
      <c r="C182" s="14" t="str">
        <f>+VLOOKUP(B182,[1]LISTE!$A$1:$D$431,4,FALSE)</f>
        <v>BOHLI AMOR</v>
      </c>
      <c r="D182" s="14" t="s">
        <v>529</v>
      </c>
      <c r="E182" s="15">
        <v>45694</v>
      </c>
      <c r="F182" s="14" t="s">
        <v>23</v>
      </c>
      <c r="G182" s="16">
        <v>40</v>
      </c>
    </row>
    <row r="183" spans="1:7" x14ac:dyDescent="0.25">
      <c r="A183" s="13" t="s">
        <v>528</v>
      </c>
      <c r="B183" s="13">
        <v>1897</v>
      </c>
      <c r="C183" s="14" t="str">
        <f>+VLOOKUP(B183,[1]LISTE!$A$1:$D$431,4,FALSE)</f>
        <v>BOHLI AMOR</v>
      </c>
      <c r="D183" s="14" t="s">
        <v>529</v>
      </c>
      <c r="E183" s="15">
        <v>45694</v>
      </c>
      <c r="F183" s="14" t="s">
        <v>20</v>
      </c>
      <c r="G183" s="16">
        <v>27.795000000000002</v>
      </c>
    </row>
    <row r="184" spans="1:7" x14ac:dyDescent="0.25">
      <c r="A184" s="13" t="s">
        <v>521</v>
      </c>
      <c r="B184" s="13">
        <v>1907</v>
      </c>
      <c r="C184" s="14" t="str">
        <f>+VLOOKUP(B184,[1]LISTE!$A$1:$D$431,4,FALSE)</f>
        <v>MAMIA NEJMEDDINE</v>
      </c>
      <c r="D184" s="14" t="s">
        <v>22</v>
      </c>
      <c r="E184" s="15">
        <v>45693</v>
      </c>
      <c r="F184" s="14" t="s">
        <v>18</v>
      </c>
      <c r="G184" s="16">
        <v>80</v>
      </c>
    </row>
    <row r="185" spans="1:7" x14ac:dyDescent="0.25">
      <c r="A185" s="13" t="s">
        <v>521</v>
      </c>
      <c r="B185" s="13">
        <v>1907</v>
      </c>
      <c r="C185" s="14" t="str">
        <f>+VLOOKUP(B185,[1]LISTE!$A$1:$D$431,4,FALSE)</f>
        <v>MAMIA NEJMEDDINE</v>
      </c>
      <c r="D185" s="15" t="s">
        <v>22</v>
      </c>
      <c r="E185" s="15">
        <v>45693</v>
      </c>
      <c r="F185" s="14" t="s">
        <v>20</v>
      </c>
      <c r="G185" s="16">
        <v>5.0289999999999999</v>
      </c>
    </row>
    <row r="186" spans="1:7" x14ac:dyDescent="0.25">
      <c r="A186" s="13" t="s">
        <v>487</v>
      </c>
      <c r="B186" s="13">
        <v>1910</v>
      </c>
      <c r="C186" s="14" t="str">
        <f>+VLOOKUP(B186,[1]LISTE!$A$1:$D$431,4,FALSE)</f>
        <v>YOUSFI MEHDI</v>
      </c>
      <c r="D186" s="14" t="s">
        <v>22</v>
      </c>
      <c r="E186" s="15">
        <v>45686</v>
      </c>
      <c r="F186" s="14" t="s">
        <v>18</v>
      </c>
      <c r="G186" s="16">
        <v>70</v>
      </c>
    </row>
    <row r="187" spans="1:7" x14ac:dyDescent="0.25">
      <c r="A187" s="13" t="s">
        <v>487</v>
      </c>
      <c r="B187" s="13">
        <v>1910</v>
      </c>
      <c r="C187" s="14" t="str">
        <f>+VLOOKUP(B187,[1]LISTE!$A$1:$D$431,4,FALSE)</f>
        <v>YOUSFI MEHDI</v>
      </c>
      <c r="D187" s="14" t="s">
        <v>22</v>
      </c>
      <c r="E187" s="15">
        <v>45684</v>
      </c>
      <c r="F187" s="14" t="s">
        <v>19</v>
      </c>
      <c r="G187" s="16">
        <v>115.99</v>
      </c>
    </row>
    <row r="188" spans="1:7" x14ac:dyDescent="0.25">
      <c r="A188" s="13" t="s">
        <v>487</v>
      </c>
      <c r="B188" s="13">
        <v>1910</v>
      </c>
      <c r="C188" s="14" t="str">
        <f>+VLOOKUP(B188,[1]LISTE!$A$1:$D$431,4,FALSE)</f>
        <v>YOUSFI MEHDI</v>
      </c>
      <c r="D188" s="14" t="s">
        <v>22</v>
      </c>
      <c r="E188" s="15">
        <v>45682</v>
      </c>
      <c r="F188" s="14" t="s">
        <v>20</v>
      </c>
      <c r="G188" s="16">
        <v>4.88</v>
      </c>
    </row>
    <row r="189" spans="1:7" x14ac:dyDescent="0.25">
      <c r="A189" s="13" t="s">
        <v>586</v>
      </c>
      <c r="B189" s="13">
        <v>1916</v>
      </c>
      <c r="C189" s="14" t="str">
        <f>+VLOOKUP(B189,[1]LISTE!$A$1:$D$431,4,FALSE)</f>
        <v>MANSOUR NEJI</v>
      </c>
      <c r="D189" s="15" t="s">
        <v>22</v>
      </c>
      <c r="E189" s="15">
        <v>45671</v>
      </c>
      <c r="F189" s="14" t="s">
        <v>23</v>
      </c>
      <c r="G189" s="16">
        <v>4.5</v>
      </c>
    </row>
    <row r="190" spans="1:7" x14ac:dyDescent="0.25">
      <c r="A190" s="13" t="s">
        <v>586</v>
      </c>
      <c r="B190" s="13">
        <v>1916</v>
      </c>
      <c r="C190" s="14" t="str">
        <f>+VLOOKUP(B190,[1]LISTE!$A$1:$D$431,4,FALSE)</f>
        <v>MANSOUR NEJI</v>
      </c>
      <c r="D190" s="15" t="s">
        <v>22</v>
      </c>
      <c r="E190" s="15">
        <v>45680</v>
      </c>
      <c r="F190" s="14" t="s">
        <v>20</v>
      </c>
      <c r="G190" s="16">
        <v>15.746</v>
      </c>
    </row>
    <row r="191" spans="1:7" x14ac:dyDescent="0.25">
      <c r="A191" s="13" t="s">
        <v>586</v>
      </c>
      <c r="B191" s="13">
        <v>1916</v>
      </c>
      <c r="C191" s="14" t="str">
        <f>+VLOOKUP(B191,[1]LISTE!$A$1:$D$431,4,FALSE)</f>
        <v>MANSOUR NEJI</v>
      </c>
      <c r="D191" s="15" t="s">
        <v>22</v>
      </c>
      <c r="E191" s="15">
        <v>45671</v>
      </c>
      <c r="F191" s="14" t="s">
        <v>23</v>
      </c>
      <c r="G191" s="16">
        <v>1.5</v>
      </c>
    </row>
    <row r="192" spans="1:7" x14ac:dyDescent="0.25">
      <c r="A192" s="13" t="s">
        <v>586</v>
      </c>
      <c r="B192" s="13">
        <v>1916</v>
      </c>
      <c r="C192" s="14" t="str">
        <f>+VLOOKUP(B192,[1]LISTE!$A$1:$D$431,4,FALSE)</f>
        <v>MANSOUR NEJI</v>
      </c>
      <c r="D192" s="15" t="s">
        <v>22</v>
      </c>
      <c r="E192" s="15">
        <v>45671</v>
      </c>
      <c r="F192" s="14" t="s">
        <v>21</v>
      </c>
      <c r="G192" s="16">
        <v>4.5</v>
      </c>
    </row>
    <row r="193" spans="1:7" x14ac:dyDescent="0.25">
      <c r="A193" s="13" t="s">
        <v>586</v>
      </c>
      <c r="B193" s="13">
        <v>1916</v>
      </c>
      <c r="C193" s="14" t="str">
        <f>+VLOOKUP(B193,[1]LISTE!$A$1:$D$431,4,FALSE)</f>
        <v>MANSOUR NEJI</v>
      </c>
      <c r="D193" s="15" t="s">
        <v>22</v>
      </c>
      <c r="E193" s="15">
        <v>45668</v>
      </c>
      <c r="F193" s="14" t="s">
        <v>21</v>
      </c>
      <c r="G193" s="16">
        <v>13</v>
      </c>
    </row>
    <row r="194" spans="1:7" x14ac:dyDescent="0.25">
      <c r="A194" s="13" t="s">
        <v>586</v>
      </c>
      <c r="B194" s="13">
        <v>1916</v>
      </c>
      <c r="C194" s="14" t="str">
        <f>+VLOOKUP(B194,[1]LISTE!$A$1:$D$431,4,FALSE)</f>
        <v>MANSOUR NEJI</v>
      </c>
      <c r="D194" s="15" t="s">
        <v>22</v>
      </c>
      <c r="E194" s="15">
        <v>45680</v>
      </c>
      <c r="F194" s="14" t="s">
        <v>587</v>
      </c>
      <c r="G194" s="16">
        <v>63</v>
      </c>
    </row>
    <row r="195" spans="1:7" x14ac:dyDescent="0.25">
      <c r="A195" s="13" t="s">
        <v>401</v>
      </c>
      <c r="B195" s="13">
        <v>1922</v>
      </c>
      <c r="C195" s="14" t="str">
        <f>+VLOOKUP(B195,[1]LISTE!$A$1:$D$431,4,FALSE)</f>
        <v>MAHJOUB FAKER</v>
      </c>
      <c r="D195" s="14" t="s">
        <v>371</v>
      </c>
      <c r="E195" s="15">
        <v>45685</v>
      </c>
      <c r="F195" s="14" t="s">
        <v>23</v>
      </c>
      <c r="G195" s="16">
        <v>40</v>
      </c>
    </row>
    <row r="196" spans="1:7" x14ac:dyDescent="0.25">
      <c r="A196" s="13" t="s">
        <v>401</v>
      </c>
      <c r="B196" s="13">
        <v>1922</v>
      </c>
      <c r="C196" s="14" t="str">
        <f>+VLOOKUP(B196,[1]LISTE!$A$1:$D$431,4,FALSE)</f>
        <v>MAHJOUB FAKER</v>
      </c>
      <c r="D196" s="14" t="s">
        <v>371</v>
      </c>
      <c r="E196" s="15">
        <v>45685</v>
      </c>
      <c r="F196" s="14" t="s">
        <v>20</v>
      </c>
      <c r="G196" s="16">
        <v>37.01</v>
      </c>
    </row>
    <row r="197" spans="1:7" x14ac:dyDescent="0.25">
      <c r="A197" s="13" t="s">
        <v>420</v>
      </c>
      <c r="B197" s="13">
        <v>1923</v>
      </c>
      <c r="C197" s="14" t="str">
        <f>+VLOOKUP(B197,[1]LISTE!$A$1:$D$431,4,FALSE)</f>
        <v>BOUAZZA WALID</v>
      </c>
      <c r="D197" s="15" t="s">
        <v>421</v>
      </c>
      <c r="E197" s="15">
        <v>45680</v>
      </c>
      <c r="F197" s="14" t="s">
        <v>20</v>
      </c>
      <c r="G197" s="16">
        <v>79.099999999999994</v>
      </c>
    </row>
    <row r="198" spans="1:7" x14ac:dyDescent="0.25">
      <c r="A198" s="13" t="s">
        <v>579</v>
      </c>
      <c r="B198" s="13">
        <v>1924</v>
      </c>
      <c r="C198" s="14" t="str">
        <f>+VLOOKUP(B198,[1]LISTE!$A$1:$D$431,4,FALSE)</f>
        <v>BRAHIM Wahiba</v>
      </c>
      <c r="D198" s="15" t="s">
        <v>580</v>
      </c>
      <c r="E198" s="15">
        <v>45687</v>
      </c>
      <c r="F198" s="14" t="s">
        <v>20</v>
      </c>
      <c r="G198" s="16">
        <v>151.417</v>
      </c>
    </row>
    <row r="199" spans="1:7" x14ac:dyDescent="0.25">
      <c r="A199" s="13" t="s">
        <v>598</v>
      </c>
      <c r="B199" s="13">
        <v>1927</v>
      </c>
      <c r="C199" s="14" t="str">
        <f>+VLOOKUP(B199,[1]LISTE!$A$1:$D$431,4,FALSE)</f>
        <v>BEN HAMMOUDA AYMEN</v>
      </c>
      <c r="D199" s="15" t="s">
        <v>599</v>
      </c>
      <c r="E199" s="15">
        <v>45696</v>
      </c>
      <c r="F199" s="14" t="s">
        <v>23</v>
      </c>
      <c r="G199" s="16">
        <v>35</v>
      </c>
    </row>
    <row r="200" spans="1:7" x14ac:dyDescent="0.25">
      <c r="A200" s="13" t="s">
        <v>598</v>
      </c>
      <c r="B200" s="13">
        <v>1927</v>
      </c>
      <c r="C200" s="14" t="str">
        <f>+VLOOKUP(B200,[1]LISTE!$A$1:$D$431,4,FALSE)</f>
        <v>BEN HAMMOUDA AYMEN</v>
      </c>
      <c r="D200" s="15" t="s">
        <v>599</v>
      </c>
      <c r="E200" s="15">
        <v>45696</v>
      </c>
      <c r="F200" s="14" t="s">
        <v>20</v>
      </c>
      <c r="G200" s="16">
        <v>506.42399999999998</v>
      </c>
    </row>
    <row r="201" spans="1:7" x14ac:dyDescent="0.25">
      <c r="A201" s="13" t="s">
        <v>467</v>
      </c>
      <c r="B201" s="13">
        <v>1938</v>
      </c>
      <c r="C201" s="14" t="str">
        <f>+VLOOKUP(B201,[1]LISTE!$A$1:$D$431,4,FALSE)</f>
        <v>NAFFATI SOFIENE</v>
      </c>
      <c r="D201" s="14" t="s">
        <v>468</v>
      </c>
      <c r="E201" s="15">
        <v>45681</v>
      </c>
      <c r="F201" s="14" t="s">
        <v>23</v>
      </c>
      <c r="G201" s="16">
        <v>30</v>
      </c>
    </row>
    <row r="202" spans="1:7" x14ac:dyDescent="0.25">
      <c r="A202" s="13" t="s">
        <v>467</v>
      </c>
      <c r="B202" s="13">
        <v>1938</v>
      </c>
      <c r="C202" s="14" t="str">
        <f>+VLOOKUP(B202,[1]LISTE!$A$1:$D$431,4,FALSE)</f>
        <v>NAFFATI SOFIENE</v>
      </c>
      <c r="D202" s="14" t="s">
        <v>468</v>
      </c>
      <c r="E202" s="15">
        <v>45681</v>
      </c>
      <c r="F202" s="14" t="s">
        <v>20</v>
      </c>
      <c r="G202" s="16">
        <v>36.052</v>
      </c>
    </row>
    <row r="203" spans="1:7" x14ac:dyDescent="0.25">
      <c r="A203" s="13" t="s">
        <v>425</v>
      </c>
      <c r="B203" s="13">
        <v>1956</v>
      </c>
      <c r="C203" s="14" t="str">
        <f>+VLOOKUP(B203,[1]LISTE!$A$1:$D$431,4,FALSE)</f>
        <v>BEN AOUANA NEJI</v>
      </c>
      <c r="D203" s="14" t="s">
        <v>22</v>
      </c>
      <c r="E203" s="15">
        <v>45685</v>
      </c>
      <c r="F203" s="14" t="s">
        <v>18</v>
      </c>
      <c r="G203" s="16">
        <v>60</v>
      </c>
    </row>
    <row r="204" spans="1:7" x14ac:dyDescent="0.25">
      <c r="A204" s="13" t="s">
        <v>425</v>
      </c>
      <c r="B204" s="13">
        <v>1956</v>
      </c>
      <c r="C204" s="14" t="str">
        <f>+VLOOKUP(B204,[1]LISTE!$A$1:$D$431,4,FALSE)</f>
        <v>BEN AOUANA NEJI</v>
      </c>
      <c r="D204" s="14" t="s">
        <v>22</v>
      </c>
      <c r="E204" s="15">
        <v>45685</v>
      </c>
      <c r="F204" s="14" t="s">
        <v>19</v>
      </c>
      <c r="G204" s="16">
        <v>65.055999999999997</v>
      </c>
    </row>
    <row r="205" spans="1:7" x14ac:dyDescent="0.25">
      <c r="A205" s="13" t="s">
        <v>425</v>
      </c>
      <c r="B205" s="13">
        <v>1956</v>
      </c>
      <c r="C205" s="14" t="str">
        <f>+VLOOKUP(B205,[1]LISTE!$A$1:$D$431,4,FALSE)</f>
        <v>BEN AOUANA NEJI</v>
      </c>
      <c r="D205" s="14" t="s">
        <v>22</v>
      </c>
      <c r="E205" s="15">
        <v>45685</v>
      </c>
      <c r="F205" s="14" t="s">
        <v>20</v>
      </c>
      <c r="G205" s="16">
        <v>56.87</v>
      </c>
    </row>
    <row r="206" spans="1:7" x14ac:dyDescent="0.25">
      <c r="A206" s="13" t="s">
        <v>435</v>
      </c>
      <c r="B206" s="13">
        <v>1969</v>
      </c>
      <c r="C206" s="14" t="str">
        <f>+VLOOKUP(B206,[1]LISTE!$A$1:$D$431,4,FALSE)</f>
        <v>BOUKADDIDA MEHREZ</v>
      </c>
      <c r="D206" s="14" t="s">
        <v>436</v>
      </c>
      <c r="E206" s="15">
        <v>45672</v>
      </c>
      <c r="F206" s="14" t="s">
        <v>18</v>
      </c>
      <c r="G206" s="16">
        <v>70</v>
      </c>
    </row>
    <row r="207" spans="1:7" x14ac:dyDescent="0.25">
      <c r="A207" s="13" t="s">
        <v>435</v>
      </c>
      <c r="B207" s="13">
        <v>1969</v>
      </c>
      <c r="C207" s="14" t="str">
        <f>+VLOOKUP(B207,[1]LISTE!$A$1:$D$431,4,FALSE)</f>
        <v>BOUKADDIDA MEHREZ</v>
      </c>
      <c r="D207" s="14" t="s">
        <v>436</v>
      </c>
      <c r="E207" s="15">
        <v>45673</v>
      </c>
      <c r="F207" s="14" t="s">
        <v>19</v>
      </c>
      <c r="G207" s="16">
        <v>70</v>
      </c>
    </row>
    <row r="208" spans="1:7" x14ac:dyDescent="0.25">
      <c r="A208" s="13" t="s">
        <v>435</v>
      </c>
      <c r="B208" s="13">
        <v>1969</v>
      </c>
      <c r="C208" s="14" t="str">
        <f>+VLOOKUP(B208,[1]LISTE!$A$1:$D$431,4,FALSE)</f>
        <v>BOUKADDIDA MEHREZ</v>
      </c>
      <c r="D208" s="14" t="s">
        <v>436</v>
      </c>
      <c r="E208" s="15">
        <v>45678</v>
      </c>
      <c r="F208" s="14" t="s">
        <v>20</v>
      </c>
      <c r="G208" s="16">
        <v>189.87</v>
      </c>
    </row>
    <row r="209" spans="1:7" x14ac:dyDescent="0.25">
      <c r="A209" s="13" t="s">
        <v>435</v>
      </c>
      <c r="B209" s="13">
        <v>1969</v>
      </c>
      <c r="C209" s="14" t="str">
        <f>+VLOOKUP(B209,[1]LISTE!$A$1:$D$431,4,FALSE)</f>
        <v>BOUKADDIDA MEHREZ</v>
      </c>
      <c r="D209" s="14" t="s">
        <v>436</v>
      </c>
      <c r="E209" s="15">
        <v>45673</v>
      </c>
      <c r="F209" s="14" t="s">
        <v>65</v>
      </c>
      <c r="G209" s="16">
        <v>30</v>
      </c>
    </row>
    <row r="210" spans="1:7" x14ac:dyDescent="0.25">
      <c r="A210" s="13" t="s">
        <v>435</v>
      </c>
      <c r="B210" s="13">
        <v>1969</v>
      </c>
      <c r="C210" s="14" t="str">
        <f>+VLOOKUP(B210,[1]LISTE!$A$1:$D$431,4,FALSE)</f>
        <v>BOUKADDIDA MEHREZ</v>
      </c>
      <c r="D210" s="14" t="s">
        <v>436</v>
      </c>
      <c r="E210" s="15">
        <v>45673</v>
      </c>
      <c r="F210" s="14" t="s">
        <v>437</v>
      </c>
      <c r="G210" s="16">
        <v>200</v>
      </c>
    </row>
    <row r="211" spans="1:7" x14ac:dyDescent="0.25">
      <c r="A211" s="13" t="s">
        <v>435</v>
      </c>
      <c r="B211" s="13">
        <v>1969</v>
      </c>
      <c r="C211" s="14" t="str">
        <f>+VLOOKUP(B211,[1]LISTE!$A$1:$D$431,4,FALSE)</f>
        <v>BOUKADDIDA MEHREZ</v>
      </c>
      <c r="D211" s="15" t="s">
        <v>436</v>
      </c>
      <c r="E211" s="15">
        <v>45673</v>
      </c>
      <c r="F211" s="14" t="s">
        <v>364</v>
      </c>
      <c r="G211" s="16">
        <v>120</v>
      </c>
    </row>
    <row r="212" spans="1:7" x14ac:dyDescent="0.25">
      <c r="A212" s="13" t="s">
        <v>417</v>
      </c>
      <c r="B212" s="13">
        <v>1978</v>
      </c>
      <c r="C212" s="14" t="str">
        <f>+VLOOKUP(B212,[1]LISTE!$A$1:$D$431,4,FALSE)</f>
        <v>MAHJOUB AHMED</v>
      </c>
      <c r="D212" s="14" t="s">
        <v>418</v>
      </c>
      <c r="E212" s="15">
        <v>45685</v>
      </c>
      <c r="F212" s="14" t="s">
        <v>65</v>
      </c>
      <c r="G212" s="16">
        <v>150</v>
      </c>
    </row>
    <row r="213" spans="1:7" x14ac:dyDescent="0.25">
      <c r="A213" s="13" t="s">
        <v>465</v>
      </c>
      <c r="B213" s="13">
        <v>2004</v>
      </c>
      <c r="C213" s="14" t="str">
        <f>+VLOOKUP(B213,[1]LISTE!$A$1:$D$431,4,FALSE)</f>
        <v>LAAJILI LOTFI</v>
      </c>
      <c r="D213" s="14" t="s">
        <v>245</v>
      </c>
      <c r="E213" s="15">
        <v>45687</v>
      </c>
      <c r="F213" s="14" t="s">
        <v>23</v>
      </c>
      <c r="G213" s="16">
        <v>45</v>
      </c>
    </row>
    <row r="214" spans="1:7" x14ac:dyDescent="0.25">
      <c r="A214" s="13" t="s">
        <v>465</v>
      </c>
      <c r="B214" s="13">
        <v>2004</v>
      </c>
      <c r="C214" s="14" t="str">
        <f>+VLOOKUP(B214,[1]LISTE!$A$1:$D$431,4,FALSE)</f>
        <v>LAAJILI LOTFI</v>
      </c>
      <c r="D214" s="14" t="s">
        <v>245</v>
      </c>
      <c r="E214" s="15">
        <v>45687</v>
      </c>
      <c r="F214" s="14" t="s">
        <v>20</v>
      </c>
      <c r="G214" s="16">
        <v>35.192999999999998</v>
      </c>
    </row>
    <row r="215" spans="1:7" x14ac:dyDescent="0.25">
      <c r="A215" s="13" t="s">
        <v>465</v>
      </c>
      <c r="B215" s="13">
        <v>2004</v>
      </c>
      <c r="C215" s="14" t="str">
        <f>+VLOOKUP(B215,[1]LISTE!$A$1:$D$431,4,FALSE)</f>
        <v>LAAJILI LOTFI</v>
      </c>
      <c r="D215" s="14" t="s">
        <v>245</v>
      </c>
      <c r="E215" s="15">
        <v>45687</v>
      </c>
      <c r="F215" s="14" t="s">
        <v>65</v>
      </c>
      <c r="G215" s="16">
        <v>2</v>
      </c>
    </row>
    <row r="216" spans="1:7" x14ac:dyDescent="0.25">
      <c r="A216" s="13" t="s">
        <v>419</v>
      </c>
      <c r="B216" s="13">
        <v>2005</v>
      </c>
      <c r="C216" s="14" t="str">
        <f>+VLOOKUP(B216,[1]LISTE!$A$1:$D$431,4,FALSE)</f>
        <v>ESSAFI FEHMI</v>
      </c>
      <c r="D216" s="14" t="s">
        <v>22</v>
      </c>
      <c r="E216" s="15">
        <v>45674</v>
      </c>
      <c r="F216" s="14" t="s">
        <v>18</v>
      </c>
      <c r="G216" s="16">
        <v>70</v>
      </c>
    </row>
    <row r="217" spans="1:7" x14ac:dyDescent="0.25">
      <c r="A217" s="13" t="s">
        <v>419</v>
      </c>
      <c r="B217" s="13">
        <v>2005</v>
      </c>
      <c r="C217" s="14" t="str">
        <f>+VLOOKUP(B217,[1]LISTE!$A$1:$D$431,4,FALSE)</f>
        <v>ESSAFI FEHMI</v>
      </c>
      <c r="D217" s="14" t="s">
        <v>22</v>
      </c>
      <c r="E217" s="15">
        <v>45674</v>
      </c>
      <c r="F217" s="14" t="s">
        <v>19</v>
      </c>
      <c r="G217" s="16">
        <v>49.755000000000003</v>
      </c>
    </row>
    <row r="218" spans="1:7" x14ac:dyDescent="0.25">
      <c r="A218" s="13" t="s">
        <v>419</v>
      </c>
      <c r="B218" s="13">
        <v>2005</v>
      </c>
      <c r="C218" s="14" t="str">
        <f>+VLOOKUP(B218,[1]LISTE!$A$1:$D$431,4,FALSE)</f>
        <v>ESSAFI FEHMI</v>
      </c>
      <c r="D218" s="15" t="s">
        <v>22</v>
      </c>
      <c r="E218" s="15">
        <v>45674</v>
      </c>
      <c r="F218" s="14" t="s">
        <v>20</v>
      </c>
      <c r="G218" s="16">
        <v>14.11</v>
      </c>
    </row>
    <row r="219" spans="1:7" x14ac:dyDescent="0.25">
      <c r="A219" s="13" t="s">
        <v>553</v>
      </c>
      <c r="B219" s="13">
        <v>2013</v>
      </c>
      <c r="C219" s="14" t="str">
        <f>+VLOOKUP(B219,[1]LISTE!$A$1:$D$431,4,FALSE)</f>
        <v>BEL HADJ ALI MOHAMED ALI</v>
      </c>
      <c r="D219" s="14" t="s">
        <v>22</v>
      </c>
      <c r="E219" s="15">
        <v>45683</v>
      </c>
      <c r="F219" s="14" t="s">
        <v>23</v>
      </c>
      <c r="G219" s="16">
        <v>3</v>
      </c>
    </row>
    <row r="220" spans="1:7" x14ac:dyDescent="0.25">
      <c r="A220" s="13" t="s">
        <v>553</v>
      </c>
      <c r="B220" s="13">
        <v>2013</v>
      </c>
      <c r="C220" s="14" t="str">
        <f>+VLOOKUP(B220,[1]LISTE!$A$1:$D$431,4,FALSE)</f>
        <v>BEL HADJ ALI MOHAMED ALI</v>
      </c>
      <c r="D220" s="14" t="s">
        <v>22</v>
      </c>
      <c r="E220" s="15">
        <v>45683</v>
      </c>
      <c r="F220" s="14" t="s">
        <v>20</v>
      </c>
      <c r="G220" s="16">
        <v>24.49</v>
      </c>
    </row>
    <row r="221" spans="1:7" x14ac:dyDescent="0.25">
      <c r="A221" s="13" t="s">
        <v>553</v>
      </c>
      <c r="B221" s="13">
        <v>2013</v>
      </c>
      <c r="C221" s="14" t="str">
        <f>+VLOOKUP(B221,[1]LISTE!$A$1:$D$431,4,FALSE)</f>
        <v>BEL HADJ ALI MOHAMED ALI</v>
      </c>
      <c r="D221" s="14" t="s">
        <v>22</v>
      </c>
      <c r="E221" s="15">
        <v>45683</v>
      </c>
      <c r="F221" s="14" t="s">
        <v>21</v>
      </c>
      <c r="G221" s="16">
        <v>4.5</v>
      </c>
    </row>
    <row r="222" spans="1:7" x14ac:dyDescent="0.25">
      <c r="A222" s="13" t="s">
        <v>554</v>
      </c>
      <c r="B222" s="13">
        <v>2013</v>
      </c>
      <c r="C222" s="14" t="str">
        <f>+VLOOKUP(B222,[1]LISTE!$A$1:$D$431,4,FALSE)</f>
        <v>BEL HADJ ALI MOHAMED ALI</v>
      </c>
      <c r="D222" s="14" t="s">
        <v>186</v>
      </c>
      <c r="E222" s="15">
        <v>45693</v>
      </c>
      <c r="F222" s="14" t="s">
        <v>23</v>
      </c>
      <c r="G222" s="16">
        <v>4.5</v>
      </c>
    </row>
    <row r="223" spans="1:7" x14ac:dyDescent="0.25">
      <c r="A223" s="13" t="s">
        <v>554</v>
      </c>
      <c r="B223" s="13">
        <v>2013</v>
      </c>
      <c r="C223" s="14" t="str">
        <f>+VLOOKUP(B223,[1]LISTE!$A$1:$D$431,4,FALSE)</f>
        <v>BEL HADJ ALI MOHAMED ALI</v>
      </c>
      <c r="D223" s="14" t="s">
        <v>186</v>
      </c>
      <c r="E223" s="15">
        <v>45693</v>
      </c>
      <c r="F223" s="14" t="s">
        <v>20</v>
      </c>
      <c r="G223" s="16">
        <v>10.56</v>
      </c>
    </row>
    <row r="224" spans="1:7" x14ac:dyDescent="0.25">
      <c r="A224" s="13" t="s">
        <v>497</v>
      </c>
      <c r="B224" s="13">
        <v>2014</v>
      </c>
      <c r="C224" s="14" t="str">
        <f>+VLOOKUP(B224,[1]LISTE!$A$1:$D$431,4,FALSE)</f>
        <v>JARRAR MEHDI</v>
      </c>
      <c r="D224" s="14" t="s">
        <v>236</v>
      </c>
      <c r="E224" s="15">
        <v>45685</v>
      </c>
      <c r="F224" s="14" t="s">
        <v>18</v>
      </c>
      <c r="G224" s="16">
        <v>70</v>
      </c>
    </row>
    <row r="225" spans="1:7" x14ac:dyDescent="0.25">
      <c r="A225" s="13" t="s">
        <v>497</v>
      </c>
      <c r="B225" s="13">
        <v>2014</v>
      </c>
      <c r="C225" s="14" t="str">
        <f>+VLOOKUP(B225,[1]LISTE!$A$1:$D$431,4,FALSE)</f>
        <v>JARRAR MEHDI</v>
      </c>
      <c r="D225" s="14" t="s">
        <v>236</v>
      </c>
      <c r="E225" s="15">
        <v>45685</v>
      </c>
      <c r="F225" s="14" t="s">
        <v>20</v>
      </c>
      <c r="G225" s="16">
        <v>4.2450000000000001</v>
      </c>
    </row>
    <row r="226" spans="1:7" x14ac:dyDescent="0.25">
      <c r="A226" s="13" t="s">
        <v>480</v>
      </c>
      <c r="B226" s="13">
        <v>2055</v>
      </c>
      <c r="C226" s="14" t="str">
        <f>+VLOOKUP(B226,[1]LISTE!$A$1:$D$431,4,FALSE)</f>
        <v>BEN YAHIA AHMED</v>
      </c>
      <c r="D226" s="15" t="s">
        <v>481</v>
      </c>
      <c r="E226" s="15">
        <v>45689</v>
      </c>
      <c r="F226" s="14" t="s">
        <v>20</v>
      </c>
      <c r="G226" s="16">
        <v>42.548000000000002</v>
      </c>
    </row>
    <row r="227" spans="1:7" x14ac:dyDescent="0.25">
      <c r="A227" s="13" t="s">
        <v>480</v>
      </c>
      <c r="B227" s="13">
        <v>2055</v>
      </c>
      <c r="C227" s="14" t="str">
        <f>+VLOOKUP(B227,[1]LISTE!$A$1:$D$431,4,FALSE)</f>
        <v>BEN YAHIA AHMED</v>
      </c>
      <c r="D227" s="15" t="s">
        <v>481</v>
      </c>
      <c r="E227" s="15">
        <v>45689</v>
      </c>
      <c r="F227" s="14" t="s">
        <v>20</v>
      </c>
      <c r="G227" s="16">
        <v>43.51</v>
      </c>
    </row>
    <row r="228" spans="1:7" x14ac:dyDescent="0.25">
      <c r="A228" s="13" t="s">
        <v>480</v>
      </c>
      <c r="B228" s="13">
        <v>2055</v>
      </c>
      <c r="C228" s="14" t="str">
        <f>+VLOOKUP(B228,[1]LISTE!$A$1:$D$431,4,FALSE)</f>
        <v>BEN YAHIA AHMED</v>
      </c>
      <c r="D228" s="15" t="s">
        <v>481</v>
      </c>
      <c r="E228" s="15">
        <v>45689</v>
      </c>
      <c r="F228" s="14" t="s">
        <v>363</v>
      </c>
      <c r="G228" s="16">
        <v>350</v>
      </c>
    </row>
    <row r="229" spans="1:7" x14ac:dyDescent="0.25">
      <c r="A229" s="13" t="s">
        <v>480</v>
      </c>
      <c r="B229" s="13">
        <v>2055</v>
      </c>
      <c r="C229" s="14" t="str">
        <f>+VLOOKUP(B229,[1]LISTE!$A$1:$D$431,4,FALSE)</f>
        <v>BEN YAHIA AHMED</v>
      </c>
      <c r="D229" s="15" t="s">
        <v>481</v>
      </c>
      <c r="E229" s="15">
        <v>45689</v>
      </c>
      <c r="F229" s="14" t="s">
        <v>364</v>
      </c>
      <c r="G229" s="16">
        <v>230</v>
      </c>
    </row>
    <row r="230" spans="1:7" x14ac:dyDescent="0.25">
      <c r="A230" s="13" t="s">
        <v>484</v>
      </c>
      <c r="B230" s="13">
        <v>2055</v>
      </c>
      <c r="C230" s="14" t="str">
        <f>+VLOOKUP(B230,[1]LISTE!$A$1:$D$431,4,FALSE)</f>
        <v>BEN YAHIA AHMED</v>
      </c>
      <c r="D230" s="14" t="s">
        <v>481</v>
      </c>
      <c r="E230" s="15">
        <v>45682</v>
      </c>
      <c r="F230" s="14" t="s">
        <v>18</v>
      </c>
      <c r="G230" s="16">
        <v>70</v>
      </c>
    </row>
    <row r="231" spans="1:7" x14ac:dyDescent="0.25">
      <c r="A231" s="13" t="s">
        <v>484</v>
      </c>
      <c r="B231" s="13">
        <v>2055</v>
      </c>
      <c r="C231" s="14" t="str">
        <f>+VLOOKUP(B231,[1]LISTE!$A$1:$D$431,4,FALSE)</f>
        <v>BEN YAHIA AHMED</v>
      </c>
      <c r="D231" s="14" t="s">
        <v>481</v>
      </c>
      <c r="E231" s="15">
        <v>45682</v>
      </c>
      <c r="F231" s="14" t="s">
        <v>20</v>
      </c>
      <c r="G231" s="16">
        <v>45.63</v>
      </c>
    </row>
    <row r="232" spans="1:7" x14ac:dyDescent="0.25">
      <c r="A232" s="13" t="s">
        <v>526</v>
      </c>
      <c r="B232" s="13">
        <v>2071</v>
      </c>
      <c r="C232" s="14" t="str">
        <f>+VLOOKUP(B232,[1]LISTE!$A$1:$D$431,4,FALSE)</f>
        <v>TRIAA FARES</v>
      </c>
      <c r="D232" s="15" t="s">
        <v>22</v>
      </c>
      <c r="E232" s="15">
        <v>45691</v>
      </c>
      <c r="F232" s="14" t="s">
        <v>23</v>
      </c>
      <c r="G232" s="16">
        <v>50</v>
      </c>
    </row>
    <row r="233" spans="1:7" x14ac:dyDescent="0.25">
      <c r="A233" s="13" t="s">
        <v>526</v>
      </c>
      <c r="B233" s="13">
        <v>2071</v>
      </c>
      <c r="C233" s="14" t="str">
        <f>+VLOOKUP(B233,[1]LISTE!$A$1:$D$431,4,FALSE)</f>
        <v>TRIAA FARES</v>
      </c>
      <c r="D233" s="14" t="s">
        <v>22</v>
      </c>
      <c r="E233" s="15">
        <v>45691</v>
      </c>
      <c r="F233" s="14" t="s">
        <v>20</v>
      </c>
      <c r="G233" s="16">
        <v>4.2450000000000001</v>
      </c>
    </row>
    <row r="234" spans="1:7" x14ac:dyDescent="0.25">
      <c r="A234" s="13" t="s">
        <v>531</v>
      </c>
      <c r="B234" s="13">
        <v>2084</v>
      </c>
      <c r="C234" s="14" t="str">
        <f>+VLOOKUP(B234,[1]LISTE!$A$1:$D$431,4,FALSE)</f>
        <v>HELALI Emna</v>
      </c>
      <c r="D234" s="14" t="s">
        <v>22</v>
      </c>
      <c r="E234" s="15">
        <v>45689</v>
      </c>
      <c r="F234" s="14" t="s">
        <v>23</v>
      </c>
      <c r="G234" s="16">
        <v>45</v>
      </c>
    </row>
    <row r="235" spans="1:7" x14ac:dyDescent="0.25">
      <c r="A235" s="13" t="s">
        <v>531</v>
      </c>
      <c r="B235" s="13">
        <v>2084</v>
      </c>
      <c r="C235" s="14" t="str">
        <f>+VLOOKUP(B235,[1]LISTE!$A$1:$D$431,4,FALSE)</f>
        <v>HELALI Emna</v>
      </c>
      <c r="D235" s="14" t="s">
        <v>22</v>
      </c>
      <c r="E235" s="15">
        <v>45689</v>
      </c>
      <c r="F235" s="14" t="s">
        <v>20</v>
      </c>
      <c r="G235" s="16">
        <v>34.033000000000001</v>
      </c>
    </row>
    <row r="236" spans="1:7" x14ac:dyDescent="0.25">
      <c r="A236" s="13" t="s">
        <v>438</v>
      </c>
      <c r="B236" s="13">
        <v>2092</v>
      </c>
      <c r="C236" s="14" t="str">
        <f>+VLOOKUP(B236,[1]LISTE!$A$1:$D$431,4,FALSE)</f>
        <v>MOHAMED YASSINE SBAII</v>
      </c>
      <c r="D236" s="15" t="s">
        <v>200</v>
      </c>
      <c r="E236" s="15">
        <v>45682</v>
      </c>
      <c r="F236" s="14" t="s">
        <v>18</v>
      </c>
      <c r="G236" s="16">
        <v>70</v>
      </c>
    </row>
    <row r="237" spans="1:7" x14ac:dyDescent="0.25">
      <c r="A237" s="13" t="s">
        <v>438</v>
      </c>
      <c r="B237" s="13">
        <v>2092</v>
      </c>
      <c r="C237" s="14" t="str">
        <f>+VLOOKUP(B237,[1]LISTE!$A$1:$D$431,4,FALSE)</f>
        <v>MOHAMED YASSINE SBAII</v>
      </c>
      <c r="D237" s="15" t="s">
        <v>200</v>
      </c>
      <c r="E237" s="15">
        <v>45682</v>
      </c>
      <c r="F237" s="14" t="s">
        <v>20</v>
      </c>
      <c r="G237" s="16">
        <v>56.56</v>
      </c>
    </row>
    <row r="238" spans="1:7" x14ac:dyDescent="0.25">
      <c r="A238" s="13" t="s">
        <v>501</v>
      </c>
      <c r="B238" s="13">
        <v>2092</v>
      </c>
      <c r="C238" s="14" t="str">
        <f>+VLOOKUP(B238,[1]LISTE!$A$1:$D$431,4,FALSE)</f>
        <v>MOHAMED YASSINE SBAII</v>
      </c>
      <c r="D238" s="14" t="s">
        <v>200</v>
      </c>
      <c r="E238" s="15">
        <v>45693</v>
      </c>
      <c r="F238" s="14" t="s">
        <v>18</v>
      </c>
      <c r="G238" s="16">
        <v>70</v>
      </c>
    </row>
    <row r="239" spans="1:7" x14ac:dyDescent="0.25">
      <c r="A239" s="13" t="s">
        <v>501</v>
      </c>
      <c r="B239" s="13">
        <v>2092</v>
      </c>
      <c r="C239" s="14" t="str">
        <f>+VLOOKUP(B239,[1]LISTE!$A$1:$D$431,4,FALSE)</f>
        <v>MOHAMED YASSINE SBAII</v>
      </c>
      <c r="D239" s="14" t="s">
        <v>200</v>
      </c>
      <c r="E239" s="15">
        <v>45693</v>
      </c>
      <c r="F239" s="14" t="s">
        <v>20</v>
      </c>
      <c r="G239" s="16">
        <v>17.945</v>
      </c>
    </row>
    <row r="240" spans="1:7" x14ac:dyDescent="0.25">
      <c r="A240" s="13" t="s">
        <v>498</v>
      </c>
      <c r="B240" s="13">
        <v>2102</v>
      </c>
      <c r="C240" s="14" t="str">
        <f>+VLOOKUP(B240,[1]LISTE!$A$1:$D$431,4,FALSE)</f>
        <v>BENAMER MARWA</v>
      </c>
      <c r="D240" s="15" t="s">
        <v>190</v>
      </c>
      <c r="E240" s="15">
        <v>45689</v>
      </c>
      <c r="F240" s="14" t="s">
        <v>18</v>
      </c>
      <c r="G240" s="16">
        <v>60</v>
      </c>
    </row>
    <row r="241" spans="1:7" x14ac:dyDescent="0.25">
      <c r="A241" s="13" t="s">
        <v>498</v>
      </c>
      <c r="B241" s="13">
        <v>2102</v>
      </c>
      <c r="C241" s="14" t="str">
        <f>+VLOOKUP(B241,[1]LISTE!$A$1:$D$431,4,FALSE)</f>
        <v>BENAMER MARWA</v>
      </c>
      <c r="D241" s="14" t="s">
        <v>190</v>
      </c>
      <c r="E241" s="15">
        <v>45689</v>
      </c>
      <c r="F241" s="14" t="s">
        <v>20</v>
      </c>
      <c r="G241" s="16">
        <v>7.7329999999999997</v>
      </c>
    </row>
    <row r="242" spans="1:7" x14ac:dyDescent="0.25">
      <c r="A242" s="13" t="s">
        <v>499</v>
      </c>
      <c r="B242" s="13">
        <v>2102</v>
      </c>
      <c r="C242" s="14" t="str">
        <f>+VLOOKUP(B242,[1]LISTE!$A$1:$D$431,4,FALSE)</f>
        <v>BENAMER MARWA</v>
      </c>
      <c r="D242" s="14" t="s">
        <v>428</v>
      </c>
      <c r="E242" s="15">
        <v>45689</v>
      </c>
      <c r="F242" s="14" t="s">
        <v>18</v>
      </c>
      <c r="G242" s="16">
        <v>60</v>
      </c>
    </row>
    <row r="243" spans="1:7" x14ac:dyDescent="0.25">
      <c r="A243" s="13" t="s">
        <v>499</v>
      </c>
      <c r="B243" s="13">
        <v>2102</v>
      </c>
      <c r="C243" s="14" t="str">
        <f>+VLOOKUP(B243,[1]LISTE!$A$1:$D$431,4,FALSE)</f>
        <v>BENAMER MARWA</v>
      </c>
      <c r="D243" s="15" t="s">
        <v>428</v>
      </c>
      <c r="E243" s="15">
        <v>45689</v>
      </c>
      <c r="F243" s="14" t="s">
        <v>20</v>
      </c>
      <c r="G243" s="16">
        <v>15.955</v>
      </c>
    </row>
    <row r="244" spans="1:7" x14ac:dyDescent="0.25">
      <c r="A244" s="13" t="s">
        <v>492</v>
      </c>
      <c r="B244" s="13">
        <v>2107</v>
      </c>
      <c r="C244" s="14" t="str">
        <f>+VLOOKUP(B244,[1]LISTE!$A$1:$D$431,4,FALSE)</f>
        <v>TRIMECH RAHMA</v>
      </c>
      <c r="D244" s="15" t="s">
        <v>493</v>
      </c>
      <c r="E244" s="15">
        <v>45687</v>
      </c>
      <c r="F244" s="14" t="s">
        <v>18</v>
      </c>
      <c r="G244" s="16">
        <v>60</v>
      </c>
    </row>
    <row r="245" spans="1:7" x14ac:dyDescent="0.25">
      <c r="A245" s="13" t="s">
        <v>492</v>
      </c>
      <c r="B245" s="13">
        <v>2107</v>
      </c>
      <c r="C245" s="14" t="str">
        <f>+VLOOKUP(B245,[1]LISTE!$A$1:$D$431,4,FALSE)</f>
        <v>TRIMECH RAHMA</v>
      </c>
      <c r="D245" s="15" t="s">
        <v>493</v>
      </c>
      <c r="E245" s="15">
        <v>45687</v>
      </c>
      <c r="F245" s="14" t="s">
        <v>20</v>
      </c>
      <c r="G245" s="16">
        <v>41.311999999999998</v>
      </c>
    </row>
    <row r="246" spans="1:7" x14ac:dyDescent="0.25">
      <c r="A246" s="13" t="s">
        <v>496</v>
      </c>
      <c r="B246" s="13">
        <v>2107</v>
      </c>
      <c r="C246" s="14" t="str">
        <f>+VLOOKUP(B246,[1]LISTE!$A$1:$D$431,4,FALSE)</f>
        <v>TRIMECH RAHMA</v>
      </c>
      <c r="D246" s="14" t="s">
        <v>22</v>
      </c>
      <c r="E246" s="15">
        <v>45689</v>
      </c>
      <c r="F246" s="14" t="s">
        <v>18</v>
      </c>
      <c r="G246" s="16">
        <v>60</v>
      </c>
    </row>
    <row r="247" spans="1:7" x14ac:dyDescent="0.25">
      <c r="A247" s="13" t="s">
        <v>496</v>
      </c>
      <c r="B247" s="13">
        <v>2107</v>
      </c>
      <c r="C247" s="14" t="str">
        <f>+VLOOKUP(B247,[1]LISTE!$A$1:$D$431,4,FALSE)</f>
        <v>TRIMECH RAHMA</v>
      </c>
      <c r="D247" s="14" t="s">
        <v>22</v>
      </c>
      <c r="E247" s="15">
        <v>45692</v>
      </c>
      <c r="F247" s="14" t="s">
        <v>20</v>
      </c>
      <c r="G247" s="16">
        <v>63.405000000000001</v>
      </c>
    </row>
    <row r="248" spans="1:7" x14ac:dyDescent="0.25">
      <c r="A248" s="13" t="s">
        <v>449</v>
      </c>
      <c r="B248" s="13">
        <v>2124</v>
      </c>
      <c r="C248" s="14" t="str">
        <f>+VLOOKUP(B248,[1]LISTE!$A$1:$D$431,4,FALSE)</f>
        <v>AHMED BEN HADJ MESSAOUD</v>
      </c>
      <c r="D248" s="14" t="s">
        <v>22</v>
      </c>
      <c r="E248" s="15">
        <v>45684</v>
      </c>
      <c r="F248" s="14" t="s">
        <v>23</v>
      </c>
      <c r="G248" s="16">
        <v>30</v>
      </c>
    </row>
    <row r="249" spans="1:7" x14ac:dyDescent="0.25">
      <c r="A249" s="13" t="s">
        <v>449</v>
      </c>
      <c r="B249" s="13">
        <v>2124</v>
      </c>
      <c r="C249" s="14" t="str">
        <f>+VLOOKUP(B249,[1]LISTE!$A$1:$D$431,4,FALSE)</f>
        <v>AHMED BEN HADJ MESSAOUD</v>
      </c>
      <c r="D249" s="14" t="s">
        <v>22</v>
      </c>
      <c r="E249" s="15">
        <v>45684</v>
      </c>
      <c r="F249" s="14" t="s">
        <v>20</v>
      </c>
      <c r="G249" s="16">
        <v>56.558999999999997</v>
      </c>
    </row>
    <row r="250" spans="1:7" x14ac:dyDescent="0.25">
      <c r="A250" s="13" t="s">
        <v>450</v>
      </c>
      <c r="B250" s="13">
        <v>2124</v>
      </c>
      <c r="C250" s="14" t="str">
        <f>+VLOOKUP(B250,[1]LISTE!$A$1:$D$431,4,FALSE)</f>
        <v>AHMED BEN HADJ MESSAOUD</v>
      </c>
      <c r="D250" s="14" t="s">
        <v>108</v>
      </c>
      <c r="E250" s="15">
        <v>45686</v>
      </c>
      <c r="F250" s="14" t="s">
        <v>23</v>
      </c>
      <c r="G250" s="16">
        <v>30</v>
      </c>
    </row>
    <row r="251" spans="1:7" x14ac:dyDescent="0.25">
      <c r="A251" s="13" t="s">
        <v>450</v>
      </c>
      <c r="B251" s="13">
        <v>2124</v>
      </c>
      <c r="C251" s="14" t="str">
        <f>+VLOOKUP(B251,[1]LISTE!$A$1:$D$431,4,FALSE)</f>
        <v>AHMED BEN HADJ MESSAOUD</v>
      </c>
      <c r="D251" s="15" t="s">
        <v>108</v>
      </c>
      <c r="E251" s="15">
        <v>45686</v>
      </c>
      <c r="F251" s="14" t="s">
        <v>20</v>
      </c>
      <c r="G251" s="16">
        <v>52.195999999999998</v>
      </c>
    </row>
    <row r="252" spans="1:7" x14ac:dyDescent="0.25">
      <c r="A252" s="13" t="s">
        <v>494</v>
      </c>
      <c r="B252" s="13">
        <v>2124</v>
      </c>
      <c r="C252" s="14" t="str">
        <f>+VLOOKUP(B252,[1]LISTE!$A$1:$D$431,4,FALSE)</f>
        <v>AHMED BEN HADJ MESSAOUD</v>
      </c>
      <c r="D252" s="14" t="s">
        <v>408</v>
      </c>
      <c r="E252" s="15">
        <v>45687</v>
      </c>
      <c r="F252" s="14" t="s">
        <v>23</v>
      </c>
      <c r="G252" s="16">
        <v>30</v>
      </c>
    </row>
    <row r="253" spans="1:7" x14ac:dyDescent="0.25">
      <c r="A253" s="13" t="s">
        <v>494</v>
      </c>
      <c r="B253" s="13">
        <v>2124</v>
      </c>
      <c r="C253" s="14" t="str">
        <f>+VLOOKUP(B253,[1]LISTE!$A$1:$D$431,4,FALSE)</f>
        <v>AHMED BEN HADJ MESSAOUD</v>
      </c>
      <c r="D253" s="14" t="s">
        <v>408</v>
      </c>
      <c r="E253" s="15">
        <v>45687</v>
      </c>
      <c r="F253" s="14" t="s">
        <v>20</v>
      </c>
      <c r="G253" s="16">
        <v>49.866</v>
      </c>
    </row>
    <row r="254" spans="1:7" x14ac:dyDescent="0.25">
      <c r="A254" s="13" t="s">
        <v>495</v>
      </c>
      <c r="B254" s="13">
        <v>2124</v>
      </c>
      <c r="C254" s="14" t="str">
        <f>+VLOOKUP(B254,[1]LISTE!$A$1:$D$431,4,FALSE)</f>
        <v>AHMED BEN HADJ MESSAOUD</v>
      </c>
      <c r="D254" s="15" t="s">
        <v>108</v>
      </c>
      <c r="E254" s="15">
        <v>45690</v>
      </c>
      <c r="F254" s="14" t="s">
        <v>18</v>
      </c>
      <c r="G254" s="16">
        <v>60</v>
      </c>
    </row>
    <row r="255" spans="1:7" x14ac:dyDescent="0.25">
      <c r="A255" s="13" t="s">
        <v>495</v>
      </c>
      <c r="B255" s="13">
        <v>2124</v>
      </c>
      <c r="C255" s="14" t="str">
        <f>+VLOOKUP(B255,[1]LISTE!$A$1:$D$431,4,FALSE)</f>
        <v>AHMED BEN HADJ MESSAOUD</v>
      </c>
      <c r="D255" s="15" t="s">
        <v>108</v>
      </c>
      <c r="E255" s="15">
        <v>45690</v>
      </c>
      <c r="F255" s="14" t="s">
        <v>20</v>
      </c>
      <c r="G255" s="16">
        <v>44.530999999999999</v>
      </c>
    </row>
    <row r="256" spans="1:7" x14ac:dyDescent="0.25">
      <c r="A256" s="13" t="s">
        <v>426</v>
      </c>
      <c r="B256" s="13">
        <v>2137</v>
      </c>
      <c r="C256" s="14" t="str">
        <f>+VLOOKUP(B256,[1]LISTE!$A$1:$D$431,4,FALSE)</f>
        <v>MOHAMED BOUZAMOUCHA</v>
      </c>
      <c r="D256" s="15" t="s">
        <v>22</v>
      </c>
      <c r="E256" s="15">
        <v>45682</v>
      </c>
      <c r="F256" s="14" t="s">
        <v>18</v>
      </c>
      <c r="G256" s="16">
        <v>70</v>
      </c>
    </row>
    <row r="257" spans="1:7" x14ac:dyDescent="0.25">
      <c r="A257" s="13" t="s">
        <v>426</v>
      </c>
      <c r="B257" s="13">
        <v>2137</v>
      </c>
      <c r="C257" s="14" t="str">
        <f>+VLOOKUP(B257,[1]LISTE!$A$1:$D$431,4,FALSE)</f>
        <v>MOHAMED BOUZAMOUCHA</v>
      </c>
      <c r="D257" s="14" t="s">
        <v>22</v>
      </c>
      <c r="E257" s="15">
        <v>45682</v>
      </c>
      <c r="F257" s="14" t="s">
        <v>20</v>
      </c>
      <c r="G257" s="16">
        <v>31.145</v>
      </c>
    </row>
    <row r="258" spans="1:7" x14ac:dyDescent="0.25">
      <c r="A258" s="13" t="s">
        <v>555</v>
      </c>
      <c r="B258" s="13">
        <v>2137</v>
      </c>
      <c r="C258" s="14" t="str">
        <f>+VLOOKUP(B258,[1]LISTE!$A$1:$D$431,4,FALSE)</f>
        <v>MOHAMED BOUZAMOUCHA</v>
      </c>
      <c r="D258" s="14" t="s">
        <v>22</v>
      </c>
      <c r="E258" s="15">
        <v>45691</v>
      </c>
      <c r="F258" s="14" t="s">
        <v>18</v>
      </c>
      <c r="G258" s="16">
        <v>70</v>
      </c>
    </row>
    <row r="259" spans="1:7" x14ac:dyDescent="0.25">
      <c r="A259" s="13" t="s">
        <v>555</v>
      </c>
      <c r="B259" s="13">
        <v>2137</v>
      </c>
      <c r="C259" s="14" t="str">
        <f>+VLOOKUP(B259,[1]LISTE!$A$1:$D$431,4,FALSE)</f>
        <v>MOHAMED BOUZAMOUCHA</v>
      </c>
      <c r="D259" s="14" t="s">
        <v>22</v>
      </c>
      <c r="E259" s="15">
        <v>45693</v>
      </c>
      <c r="F259" s="14" t="s">
        <v>19</v>
      </c>
      <c r="G259" s="16">
        <v>128.79</v>
      </c>
    </row>
    <row r="260" spans="1:7" x14ac:dyDescent="0.25">
      <c r="A260" s="13" t="s">
        <v>555</v>
      </c>
      <c r="B260" s="13">
        <v>2137</v>
      </c>
      <c r="C260" s="14" t="str">
        <f>+VLOOKUP(B260,[1]LISTE!$A$1:$D$431,4,FALSE)</f>
        <v>MOHAMED BOUZAMOUCHA</v>
      </c>
      <c r="D260" s="14" t="s">
        <v>22</v>
      </c>
      <c r="E260" s="15">
        <v>45694</v>
      </c>
      <c r="F260" s="14" t="s">
        <v>20</v>
      </c>
      <c r="G260" s="16">
        <v>31.893000000000001</v>
      </c>
    </row>
    <row r="261" spans="1:7" x14ac:dyDescent="0.25">
      <c r="A261" s="13" t="s">
        <v>545</v>
      </c>
      <c r="B261" s="13">
        <v>2146</v>
      </c>
      <c r="C261" s="14" t="str">
        <f>+VLOOKUP(B261,[1]LISTE!$A$1:$D$431,4,FALSE)</f>
        <v>SGHAIR AHMED</v>
      </c>
      <c r="D261" s="14" t="s">
        <v>22</v>
      </c>
      <c r="E261" s="15">
        <v>45685</v>
      </c>
      <c r="F261" s="14" t="s">
        <v>18</v>
      </c>
      <c r="G261" s="16">
        <v>60</v>
      </c>
    </row>
    <row r="262" spans="1:7" x14ac:dyDescent="0.25">
      <c r="A262" s="13" t="s">
        <v>545</v>
      </c>
      <c r="B262" s="13">
        <v>2146</v>
      </c>
      <c r="C262" s="14" t="str">
        <f>+VLOOKUP(B262,[1]LISTE!$A$1:$D$431,4,FALSE)</f>
        <v>SGHAIR AHMED</v>
      </c>
      <c r="D262" s="14" t="s">
        <v>22</v>
      </c>
      <c r="E262" s="15">
        <v>45685</v>
      </c>
      <c r="F262" s="14" t="s">
        <v>21</v>
      </c>
      <c r="G262" s="16">
        <v>122</v>
      </c>
    </row>
    <row r="263" spans="1:7" x14ac:dyDescent="0.25">
      <c r="A263" s="13" t="s">
        <v>551</v>
      </c>
      <c r="B263" s="13">
        <v>2148</v>
      </c>
      <c r="C263" s="14" t="str">
        <f>+VLOOKUP(B263,[1]LISTE!$A$1:$D$431,4,FALSE)</f>
        <v>CHIHI HOUSSEM</v>
      </c>
      <c r="D263" s="14" t="s">
        <v>327</v>
      </c>
      <c r="E263" s="15">
        <v>45692</v>
      </c>
      <c r="F263" s="14" t="s">
        <v>23</v>
      </c>
      <c r="G263" s="16">
        <v>45</v>
      </c>
    </row>
    <row r="264" spans="1:7" x14ac:dyDescent="0.25">
      <c r="A264" s="13" t="s">
        <v>551</v>
      </c>
      <c r="B264" s="13">
        <v>2148</v>
      </c>
      <c r="C264" s="14" t="str">
        <f>+VLOOKUP(B264,[1]LISTE!$A$1:$D$431,4,FALSE)</f>
        <v>CHIHI HOUSSEM</v>
      </c>
      <c r="D264" s="14" t="s">
        <v>327</v>
      </c>
      <c r="E264" s="15">
        <v>45692</v>
      </c>
      <c r="F264" s="14" t="s">
        <v>20</v>
      </c>
      <c r="G264" s="16">
        <v>51.182000000000002</v>
      </c>
    </row>
    <row r="265" spans="1:7" x14ac:dyDescent="0.25">
      <c r="A265" s="13" t="s">
        <v>524</v>
      </c>
      <c r="B265" s="13">
        <v>2167</v>
      </c>
      <c r="C265" s="14" t="str">
        <f>+VLOOKUP(B265,[1]LISTE!$A$1:$D$431,4,FALSE)</f>
        <v>BEN HASSINE JIHED</v>
      </c>
      <c r="D265" s="14" t="s">
        <v>22</v>
      </c>
      <c r="E265" s="15">
        <v>45656</v>
      </c>
      <c r="F265" s="14" t="s">
        <v>18</v>
      </c>
      <c r="G265" s="16">
        <v>90</v>
      </c>
    </row>
    <row r="266" spans="1:7" x14ac:dyDescent="0.25">
      <c r="A266" s="13" t="s">
        <v>524</v>
      </c>
      <c r="B266" s="13">
        <v>2167</v>
      </c>
      <c r="C266" s="14" t="str">
        <f>+VLOOKUP(B266,[1]LISTE!$A$1:$D$431,4,FALSE)</f>
        <v>BEN HASSINE JIHED</v>
      </c>
      <c r="D266" s="15" t="s">
        <v>22</v>
      </c>
      <c r="E266" s="15">
        <v>45656</v>
      </c>
      <c r="F266" s="14" t="s">
        <v>525</v>
      </c>
      <c r="G266" s="16">
        <v>130</v>
      </c>
    </row>
    <row r="267" spans="1:7" x14ac:dyDescent="0.25">
      <c r="A267" s="13" t="s">
        <v>407</v>
      </c>
      <c r="B267" s="13">
        <v>2179</v>
      </c>
      <c r="C267" s="14" t="str">
        <f>+VLOOKUP(B267,[1]LISTE!$A$1:$D$431,4,FALSE)</f>
        <v>BOUHLEL AHMED</v>
      </c>
      <c r="D267" s="14" t="s">
        <v>408</v>
      </c>
      <c r="E267" s="15">
        <v>45681</v>
      </c>
      <c r="F267" s="14" t="s">
        <v>23</v>
      </c>
      <c r="G267" s="16">
        <v>40</v>
      </c>
    </row>
    <row r="268" spans="1:7" x14ac:dyDescent="0.25">
      <c r="A268" s="13" t="s">
        <v>407</v>
      </c>
      <c r="B268" s="13">
        <v>2179</v>
      </c>
      <c r="C268" s="14" t="str">
        <f>+VLOOKUP(B268,[1]LISTE!$A$1:$D$431,4,FALSE)</f>
        <v>BOUHLEL AHMED</v>
      </c>
      <c r="D268" s="15" t="s">
        <v>408</v>
      </c>
      <c r="E268" s="15">
        <v>45681</v>
      </c>
      <c r="F268" s="14" t="s">
        <v>20</v>
      </c>
      <c r="G268" s="16">
        <v>42.597000000000001</v>
      </c>
    </row>
    <row r="269" spans="1:7" x14ac:dyDescent="0.25">
      <c r="A269" s="13" t="s">
        <v>464</v>
      </c>
      <c r="B269" s="13">
        <v>2179</v>
      </c>
      <c r="C269" s="14" t="str">
        <f>+VLOOKUP(B269,[1]LISTE!$A$1:$D$431,4,FALSE)</f>
        <v>BOUHLEL AHMED</v>
      </c>
      <c r="D269" s="14" t="s">
        <v>22</v>
      </c>
      <c r="E269" s="15">
        <v>45685</v>
      </c>
      <c r="F269" s="14" t="s">
        <v>23</v>
      </c>
      <c r="G269" s="16">
        <v>40</v>
      </c>
    </row>
    <row r="270" spans="1:7" x14ac:dyDescent="0.25">
      <c r="A270" s="13" t="s">
        <v>464</v>
      </c>
      <c r="B270" s="13">
        <v>2179</v>
      </c>
      <c r="C270" s="14" t="str">
        <f>+VLOOKUP(B270,[1]LISTE!$A$1:$D$431,4,FALSE)</f>
        <v>BOUHLEL AHMED</v>
      </c>
      <c r="D270" s="14" t="s">
        <v>22</v>
      </c>
      <c r="E270" s="15">
        <v>45685</v>
      </c>
      <c r="F270" s="14" t="s">
        <v>20</v>
      </c>
      <c r="G270" s="16">
        <v>40.973999999999997</v>
      </c>
    </row>
    <row r="271" spans="1:7" x14ac:dyDescent="0.25">
      <c r="A271" s="13" t="s">
        <v>558</v>
      </c>
      <c r="B271" s="13">
        <v>2195</v>
      </c>
      <c r="C271" s="14" t="s">
        <v>559</v>
      </c>
      <c r="D271" s="15" t="s">
        <v>513</v>
      </c>
      <c r="E271" s="15">
        <v>45691</v>
      </c>
      <c r="F271" s="14" t="s">
        <v>23</v>
      </c>
      <c r="G271" s="16">
        <v>1.5</v>
      </c>
    </row>
    <row r="272" spans="1:7" x14ac:dyDescent="0.25">
      <c r="A272" s="13" t="s">
        <v>558</v>
      </c>
      <c r="B272" s="13">
        <v>2195</v>
      </c>
      <c r="C272" s="14" t="s">
        <v>559</v>
      </c>
      <c r="D272" s="15" t="s">
        <v>513</v>
      </c>
      <c r="E272" s="15">
        <v>45691</v>
      </c>
      <c r="F272" s="14" t="s">
        <v>20</v>
      </c>
      <c r="G272" s="16">
        <v>22.274999999999999</v>
      </c>
    </row>
    <row r="273" spans="1:7" x14ac:dyDescent="0.25">
      <c r="A273" s="13" t="s">
        <v>439</v>
      </c>
      <c r="B273" s="13">
        <v>2200</v>
      </c>
      <c r="C273" s="14" t="s">
        <v>305</v>
      </c>
      <c r="D273" s="15" t="s">
        <v>79</v>
      </c>
      <c r="E273" s="15">
        <v>45686</v>
      </c>
      <c r="F273" s="14" t="s">
        <v>23</v>
      </c>
      <c r="G273" s="16">
        <v>30</v>
      </c>
    </row>
    <row r="274" spans="1:7" x14ac:dyDescent="0.25">
      <c r="A274" s="13" t="s">
        <v>439</v>
      </c>
      <c r="B274" s="13">
        <v>2200</v>
      </c>
      <c r="C274" s="14" t="s">
        <v>305</v>
      </c>
      <c r="D274" s="15" t="s">
        <v>79</v>
      </c>
      <c r="E274" s="15">
        <v>45686</v>
      </c>
      <c r="F274" s="14" t="s">
        <v>20</v>
      </c>
      <c r="G274" s="16">
        <v>42.761000000000003</v>
      </c>
    </row>
    <row r="275" spans="1:7" x14ac:dyDescent="0.25">
      <c r="A275" s="13" t="s">
        <v>517</v>
      </c>
      <c r="B275" s="13">
        <v>2219</v>
      </c>
      <c r="C275" s="14" t="s">
        <v>518</v>
      </c>
      <c r="D275" s="14" t="s">
        <v>519</v>
      </c>
      <c r="E275" s="15">
        <v>45678</v>
      </c>
      <c r="F275" s="14" t="s">
        <v>312</v>
      </c>
      <c r="G275" s="16">
        <v>250</v>
      </c>
    </row>
    <row r="276" spans="1:7" x14ac:dyDescent="0.25">
      <c r="A276" s="13" t="s">
        <v>447</v>
      </c>
      <c r="B276" s="13">
        <v>2236</v>
      </c>
      <c r="C276" s="14" t="s">
        <v>336</v>
      </c>
      <c r="D276" s="14" t="s">
        <v>22</v>
      </c>
      <c r="E276" s="15">
        <v>45686</v>
      </c>
      <c r="F276" s="14" t="s">
        <v>20</v>
      </c>
      <c r="G276" s="16">
        <v>23.771000000000001</v>
      </c>
    </row>
    <row r="277" spans="1:7" x14ac:dyDescent="0.25">
      <c r="A277" s="13" t="s">
        <v>509</v>
      </c>
      <c r="B277" s="13">
        <v>2254</v>
      </c>
      <c r="C277" s="14" t="s">
        <v>106</v>
      </c>
      <c r="D277" s="14" t="s">
        <v>22</v>
      </c>
      <c r="E277" s="15">
        <v>45691</v>
      </c>
      <c r="F277" s="14" t="s">
        <v>23</v>
      </c>
      <c r="G277" s="16">
        <v>45</v>
      </c>
    </row>
    <row r="278" spans="1:7" x14ac:dyDescent="0.25">
      <c r="A278" s="13" t="s">
        <v>509</v>
      </c>
      <c r="B278" s="13">
        <v>2254</v>
      </c>
      <c r="C278" s="14" t="s">
        <v>106</v>
      </c>
      <c r="D278" s="14" t="s">
        <v>22</v>
      </c>
      <c r="E278" s="15">
        <v>45691</v>
      </c>
      <c r="F278" s="14" t="s">
        <v>20</v>
      </c>
      <c r="G278" s="16">
        <v>44.36</v>
      </c>
    </row>
    <row r="279" spans="1:7" x14ac:dyDescent="0.25">
      <c r="A279" s="13" t="s">
        <v>569</v>
      </c>
      <c r="B279" s="13">
        <v>2259</v>
      </c>
      <c r="C279" s="14" t="s">
        <v>570</v>
      </c>
      <c r="D279" s="15" t="s">
        <v>22</v>
      </c>
      <c r="E279" s="15">
        <v>45691</v>
      </c>
      <c r="F279" s="14" t="s">
        <v>23</v>
      </c>
      <c r="G279" s="16">
        <v>50</v>
      </c>
    </row>
    <row r="280" spans="1:7" x14ac:dyDescent="0.25">
      <c r="A280" s="13" t="s">
        <v>569</v>
      </c>
      <c r="B280" s="13">
        <v>2259</v>
      </c>
      <c r="C280" s="14" t="s">
        <v>570</v>
      </c>
      <c r="D280" s="15" t="s">
        <v>22</v>
      </c>
      <c r="E280" s="15">
        <v>45692</v>
      </c>
      <c r="F280" s="14" t="s">
        <v>20</v>
      </c>
      <c r="G280" s="16">
        <v>11.615</v>
      </c>
    </row>
    <row r="281" spans="1:7" x14ac:dyDescent="0.25">
      <c r="A281" s="13" t="s">
        <v>569</v>
      </c>
      <c r="B281" s="13">
        <v>2259</v>
      </c>
      <c r="C281" s="14" t="s">
        <v>570</v>
      </c>
      <c r="D281" s="15" t="s">
        <v>22</v>
      </c>
      <c r="E281" s="15">
        <v>45692</v>
      </c>
      <c r="F281" s="14" t="s">
        <v>24</v>
      </c>
      <c r="G281" s="16">
        <v>120</v>
      </c>
    </row>
    <row r="282" spans="1:7" x14ac:dyDescent="0.25">
      <c r="A282" s="13" t="s">
        <v>571</v>
      </c>
      <c r="B282" s="13">
        <v>2259</v>
      </c>
      <c r="C282" s="14" t="s">
        <v>570</v>
      </c>
      <c r="D282" s="15" t="s">
        <v>22</v>
      </c>
      <c r="E282" s="15">
        <v>45693</v>
      </c>
      <c r="F282" s="14" t="s">
        <v>24</v>
      </c>
      <c r="G282" s="16">
        <v>200</v>
      </c>
    </row>
    <row r="283" spans="1:7" x14ac:dyDescent="0.25">
      <c r="A283" s="13" t="s">
        <v>572</v>
      </c>
      <c r="B283" s="13">
        <v>2270</v>
      </c>
      <c r="C283" s="14" t="s">
        <v>573</v>
      </c>
      <c r="D283" s="15" t="s">
        <v>574</v>
      </c>
      <c r="E283" s="15">
        <v>45672</v>
      </c>
      <c r="F283" s="14" t="s">
        <v>18</v>
      </c>
      <c r="G283" s="16">
        <v>70</v>
      </c>
    </row>
    <row r="284" spans="1:7" x14ac:dyDescent="0.25">
      <c r="A284" s="13" t="s">
        <v>572</v>
      </c>
      <c r="B284" s="13">
        <v>2270</v>
      </c>
      <c r="C284" s="14" t="s">
        <v>573</v>
      </c>
      <c r="D284" s="15" t="s">
        <v>574</v>
      </c>
      <c r="E284" s="15">
        <v>45693</v>
      </c>
      <c r="F284" s="14" t="s">
        <v>20</v>
      </c>
      <c r="G284" s="16">
        <v>13.186999999999999</v>
      </c>
    </row>
    <row r="285" spans="1:7" x14ac:dyDescent="0.25">
      <c r="A285" s="13" t="s">
        <v>572</v>
      </c>
      <c r="B285" s="13">
        <v>2270</v>
      </c>
      <c r="C285" s="14" t="s">
        <v>573</v>
      </c>
      <c r="D285" s="15" t="s">
        <v>574</v>
      </c>
      <c r="E285" s="15">
        <v>45709</v>
      </c>
      <c r="F285" s="14" t="s">
        <v>69</v>
      </c>
      <c r="G285" s="16">
        <v>120</v>
      </c>
    </row>
    <row r="286" spans="1:7" x14ac:dyDescent="0.25">
      <c r="A286" s="13" t="s">
        <v>482</v>
      </c>
      <c r="B286" s="13">
        <v>2271</v>
      </c>
      <c r="C286" s="14" t="s">
        <v>27</v>
      </c>
      <c r="D286" s="14" t="s">
        <v>483</v>
      </c>
      <c r="E286" s="15">
        <v>45687</v>
      </c>
      <c r="F286" s="14" t="s">
        <v>23</v>
      </c>
      <c r="G286" s="16">
        <v>45</v>
      </c>
    </row>
    <row r="287" spans="1:7" x14ac:dyDescent="0.25">
      <c r="A287" s="13" t="s">
        <v>482</v>
      </c>
      <c r="B287" s="13">
        <v>2271</v>
      </c>
      <c r="C287" s="14" t="s">
        <v>27</v>
      </c>
      <c r="D287" s="15" t="s">
        <v>483</v>
      </c>
      <c r="E287" s="15">
        <v>45687</v>
      </c>
      <c r="F287" s="14" t="s">
        <v>20</v>
      </c>
      <c r="G287" s="16">
        <v>52.854999999999997</v>
      </c>
    </row>
    <row r="288" spans="1:7" x14ac:dyDescent="0.25">
      <c r="A288" s="13" t="s">
        <v>520</v>
      </c>
      <c r="B288" s="13">
        <v>2271</v>
      </c>
      <c r="C288" s="14" t="s">
        <v>27</v>
      </c>
      <c r="D288" s="14" t="s">
        <v>63</v>
      </c>
      <c r="E288" s="15">
        <v>45685</v>
      </c>
      <c r="F288" s="14" t="s">
        <v>18</v>
      </c>
      <c r="G288" s="16">
        <v>60</v>
      </c>
    </row>
    <row r="289" spans="1:7" x14ac:dyDescent="0.25">
      <c r="A289" s="13" t="s">
        <v>520</v>
      </c>
      <c r="B289" s="13">
        <v>2271</v>
      </c>
      <c r="C289" s="14" t="s">
        <v>27</v>
      </c>
      <c r="D289" s="14" t="s">
        <v>63</v>
      </c>
      <c r="E289" s="15">
        <v>45685</v>
      </c>
      <c r="F289" s="14" t="s">
        <v>20</v>
      </c>
      <c r="G289" s="16">
        <v>36.979999999999997</v>
      </c>
    </row>
    <row r="290" spans="1:7" x14ac:dyDescent="0.25">
      <c r="A290" s="13" t="s">
        <v>537</v>
      </c>
      <c r="B290" s="13">
        <v>2312</v>
      </c>
      <c r="C290" s="14" t="s">
        <v>398</v>
      </c>
      <c r="D290" s="14" t="s">
        <v>22</v>
      </c>
      <c r="E290" s="15">
        <v>45691</v>
      </c>
      <c r="F290" s="14" t="s">
        <v>23</v>
      </c>
      <c r="G290" s="16">
        <v>3</v>
      </c>
    </row>
    <row r="291" spans="1:7" x14ac:dyDescent="0.25">
      <c r="A291" s="13" t="s">
        <v>537</v>
      </c>
      <c r="B291" s="13">
        <v>2312</v>
      </c>
      <c r="C291" s="14" t="s">
        <v>398</v>
      </c>
      <c r="D291" s="14" t="s">
        <v>22</v>
      </c>
      <c r="E291" s="15">
        <v>45691</v>
      </c>
      <c r="F291" s="14" t="s">
        <v>20</v>
      </c>
      <c r="G291" s="16">
        <v>54.204999999999998</v>
      </c>
    </row>
    <row r="292" spans="1:7" x14ac:dyDescent="0.25">
      <c r="A292" s="13" t="s">
        <v>445</v>
      </c>
      <c r="B292" s="13">
        <v>2397</v>
      </c>
      <c r="C292" s="14" t="s">
        <v>446</v>
      </c>
      <c r="D292" s="14" t="s">
        <v>123</v>
      </c>
      <c r="E292" s="15">
        <v>45682</v>
      </c>
      <c r="F292" s="14" t="s">
        <v>18</v>
      </c>
      <c r="G292" s="16">
        <v>60</v>
      </c>
    </row>
    <row r="293" spans="1:7" x14ac:dyDescent="0.25">
      <c r="A293" s="13" t="s">
        <v>445</v>
      </c>
      <c r="B293" s="13">
        <v>2397</v>
      </c>
      <c r="C293" s="14" t="s">
        <v>446</v>
      </c>
      <c r="D293" s="14" t="s">
        <v>123</v>
      </c>
      <c r="E293" s="15">
        <v>45682</v>
      </c>
      <c r="F293" s="14" t="s">
        <v>20</v>
      </c>
      <c r="G293" s="16">
        <v>9.4489999999999998</v>
      </c>
    </row>
    <row r="294" spans="1:7" x14ac:dyDescent="0.25">
      <c r="A294" s="13" t="s">
        <v>567</v>
      </c>
      <c r="B294" s="13">
        <v>2397</v>
      </c>
      <c r="C294" s="14" t="s">
        <v>446</v>
      </c>
      <c r="D294" s="15" t="s">
        <v>123</v>
      </c>
      <c r="E294" s="15">
        <v>45685</v>
      </c>
      <c r="F294" s="14" t="s">
        <v>23</v>
      </c>
      <c r="G294" s="16">
        <v>45</v>
      </c>
    </row>
    <row r="295" spans="1:7" x14ac:dyDescent="0.25">
      <c r="A295" s="13" t="s">
        <v>567</v>
      </c>
      <c r="B295" s="13">
        <v>2397</v>
      </c>
      <c r="C295" s="14" t="s">
        <v>446</v>
      </c>
      <c r="D295" s="15" t="s">
        <v>123</v>
      </c>
      <c r="E295" s="15">
        <v>45689</v>
      </c>
      <c r="F295" s="14" t="s">
        <v>20</v>
      </c>
      <c r="G295" s="16">
        <v>15.3</v>
      </c>
    </row>
    <row r="296" spans="1:7" x14ac:dyDescent="0.25">
      <c r="A296" s="13" t="s">
        <v>458</v>
      </c>
      <c r="B296" s="13">
        <v>2408</v>
      </c>
      <c r="C296" s="14" t="s">
        <v>459</v>
      </c>
      <c r="D296" s="14" t="s">
        <v>460</v>
      </c>
      <c r="E296" s="15">
        <v>45685</v>
      </c>
      <c r="F296" s="14" t="s">
        <v>18</v>
      </c>
      <c r="G296" s="16">
        <v>60</v>
      </c>
    </row>
    <row r="297" spans="1:7" x14ac:dyDescent="0.25">
      <c r="A297" s="13" t="s">
        <v>458</v>
      </c>
      <c r="B297" s="13">
        <v>2408</v>
      </c>
      <c r="C297" s="14" t="s">
        <v>459</v>
      </c>
      <c r="D297" s="15" t="s">
        <v>460</v>
      </c>
      <c r="E297" s="15">
        <v>45685</v>
      </c>
      <c r="F297" s="14" t="s">
        <v>20</v>
      </c>
      <c r="G297" s="16">
        <v>80</v>
      </c>
    </row>
    <row r="298" spans="1:7" x14ac:dyDescent="0.25">
      <c r="A298" s="13" t="s">
        <v>534</v>
      </c>
      <c r="B298" s="13">
        <v>2456</v>
      </c>
      <c r="C298" s="14" t="s">
        <v>155</v>
      </c>
      <c r="D298" s="14" t="s">
        <v>22</v>
      </c>
      <c r="E298" s="15">
        <v>45692</v>
      </c>
      <c r="F298" s="14" t="s">
        <v>20</v>
      </c>
      <c r="G298" s="16">
        <v>81.58</v>
      </c>
    </row>
    <row r="299" spans="1:7" x14ac:dyDescent="0.25">
      <c r="A299" s="13" t="s">
        <v>549</v>
      </c>
      <c r="B299" s="13">
        <v>2504</v>
      </c>
      <c r="C299" s="14" t="s">
        <v>550</v>
      </c>
      <c r="D299" s="14" t="s">
        <v>22</v>
      </c>
      <c r="E299" s="15">
        <v>45691</v>
      </c>
      <c r="F299" s="14" t="s">
        <v>69</v>
      </c>
      <c r="G299" s="16">
        <v>450</v>
      </c>
    </row>
    <row r="300" spans="1:7" x14ac:dyDescent="0.25">
      <c r="A300" s="13" t="s">
        <v>427</v>
      </c>
      <c r="B300" s="13">
        <v>2525</v>
      </c>
      <c r="C300" s="14" t="s">
        <v>224</v>
      </c>
      <c r="D300" s="14" t="s">
        <v>428</v>
      </c>
      <c r="E300" s="15">
        <v>45676</v>
      </c>
      <c r="F300" s="14" t="s">
        <v>312</v>
      </c>
      <c r="G300" s="16">
        <v>250</v>
      </c>
    </row>
    <row r="301" spans="1:7" x14ac:dyDescent="0.25">
      <c r="A301" s="13" t="s">
        <v>578</v>
      </c>
      <c r="B301" s="13">
        <v>2535</v>
      </c>
      <c r="C301" s="14" t="s">
        <v>30</v>
      </c>
      <c r="D301" s="15" t="s">
        <v>22</v>
      </c>
      <c r="E301" s="15">
        <v>45696</v>
      </c>
      <c r="F301" s="14" t="s">
        <v>18</v>
      </c>
      <c r="G301" s="16">
        <v>70</v>
      </c>
    </row>
    <row r="302" spans="1:7" x14ac:dyDescent="0.25">
      <c r="A302" s="13" t="s">
        <v>578</v>
      </c>
      <c r="B302" s="13">
        <v>2535</v>
      </c>
      <c r="C302" s="14" t="s">
        <v>30</v>
      </c>
      <c r="D302" s="15" t="s">
        <v>22</v>
      </c>
      <c r="E302" s="15">
        <v>45692</v>
      </c>
      <c r="F302" s="14" t="s">
        <v>19</v>
      </c>
      <c r="G302" s="16">
        <v>103.31</v>
      </c>
    </row>
    <row r="303" spans="1:7" x14ac:dyDescent="0.25">
      <c r="A303" s="13" t="s">
        <v>578</v>
      </c>
      <c r="B303" s="13">
        <v>2535</v>
      </c>
      <c r="C303" s="14" t="s">
        <v>30</v>
      </c>
      <c r="D303" s="15" t="s">
        <v>22</v>
      </c>
      <c r="E303" s="15">
        <v>45696</v>
      </c>
      <c r="F303" s="14" t="s">
        <v>20</v>
      </c>
      <c r="G303" s="16">
        <v>6.6849999999999996</v>
      </c>
    </row>
    <row r="304" spans="1:7" x14ac:dyDescent="0.25">
      <c r="A304" s="13" t="s">
        <v>402</v>
      </c>
      <c r="B304" s="13">
        <v>2569</v>
      </c>
      <c r="C304" s="14" t="s">
        <v>101</v>
      </c>
      <c r="D304" s="15" t="s">
        <v>22</v>
      </c>
      <c r="E304" s="15">
        <v>45670</v>
      </c>
      <c r="F304" s="14" t="s">
        <v>65</v>
      </c>
      <c r="G304" s="16">
        <v>120</v>
      </c>
    </row>
    <row r="305" spans="1:7" x14ac:dyDescent="0.25">
      <c r="A305" s="13" t="s">
        <v>402</v>
      </c>
      <c r="B305" s="13">
        <v>2569</v>
      </c>
      <c r="C305" s="14" t="s">
        <v>101</v>
      </c>
      <c r="D305" s="14" t="s">
        <v>22</v>
      </c>
      <c r="E305" s="15">
        <v>45670</v>
      </c>
      <c r="F305" s="14" t="s">
        <v>20</v>
      </c>
      <c r="G305" s="16">
        <v>2.68</v>
      </c>
    </row>
    <row r="306" spans="1:7" x14ac:dyDescent="0.25">
      <c r="A306" s="13" t="s">
        <v>461</v>
      </c>
      <c r="B306" s="13">
        <v>2572</v>
      </c>
      <c r="C306" s="14" t="s">
        <v>462</v>
      </c>
      <c r="D306" s="15" t="s">
        <v>463</v>
      </c>
      <c r="E306" s="15">
        <v>45684</v>
      </c>
      <c r="F306" s="14" t="s">
        <v>18</v>
      </c>
      <c r="G306" s="16">
        <v>70</v>
      </c>
    </row>
    <row r="307" spans="1:7" x14ac:dyDescent="0.25">
      <c r="A307" s="13" t="s">
        <v>461</v>
      </c>
      <c r="B307" s="13">
        <v>2572</v>
      </c>
      <c r="C307" s="14" t="s">
        <v>462</v>
      </c>
      <c r="D307" s="14" t="s">
        <v>463</v>
      </c>
      <c r="E307" s="15">
        <v>45685</v>
      </c>
      <c r="F307" s="14" t="s">
        <v>19</v>
      </c>
      <c r="G307" s="16">
        <v>46.866</v>
      </c>
    </row>
    <row r="308" spans="1:7" x14ac:dyDescent="0.25">
      <c r="A308" s="13" t="s">
        <v>502</v>
      </c>
      <c r="B308" s="13">
        <v>2572</v>
      </c>
      <c r="C308" s="14" t="s">
        <v>462</v>
      </c>
      <c r="D308" s="15" t="s">
        <v>503</v>
      </c>
      <c r="E308" s="15">
        <v>45686</v>
      </c>
      <c r="F308" s="14" t="s">
        <v>363</v>
      </c>
      <c r="G308" s="16">
        <v>330</v>
      </c>
    </row>
    <row r="309" spans="1:7" x14ac:dyDescent="0.25">
      <c r="A309" s="13" t="s">
        <v>502</v>
      </c>
      <c r="B309" s="13">
        <v>2572</v>
      </c>
      <c r="C309" s="14" t="s">
        <v>462</v>
      </c>
      <c r="D309" s="15" t="s">
        <v>503</v>
      </c>
      <c r="E309" s="15">
        <v>45686</v>
      </c>
      <c r="F309" s="14" t="s">
        <v>20</v>
      </c>
      <c r="G309" s="16">
        <v>33.725000000000001</v>
      </c>
    </row>
    <row r="310" spans="1:7" x14ac:dyDescent="0.25">
      <c r="A310" s="13" t="s">
        <v>502</v>
      </c>
      <c r="B310" s="13">
        <v>2572</v>
      </c>
      <c r="C310" s="14" t="s">
        <v>462</v>
      </c>
      <c r="D310" s="14" t="s">
        <v>503</v>
      </c>
      <c r="E310" s="15">
        <v>45686</v>
      </c>
      <c r="F310" s="14" t="s">
        <v>363</v>
      </c>
      <c r="G310" s="16">
        <v>35</v>
      </c>
    </row>
    <row r="311" spans="1:7" x14ac:dyDescent="0.25">
      <c r="A311" s="13" t="s">
        <v>502</v>
      </c>
      <c r="B311" s="13">
        <v>2572</v>
      </c>
      <c r="C311" s="14" t="s">
        <v>462</v>
      </c>
      <c r="D311" s="14" t="s">
        <v>503</v>
      </c>
      <c r="E311" s="15">
        <v>45686</v>
      </c>
      <c r="F311" s="14" t="s">
        <v>364</v>
      </c>
      <c r="G311" s="16">
        <v>187.45099999999999</v>
      </c>
    </row>
    <row r="312" spans="1:7" x14ac:dyDescent="0.25">
      <c r="A312" s="13" t="s">
        <v>539</v>
      </c>
      <c r="B312" s="13">
        <v>2572</v>
      </c>
      <c r="C312" s="14" t="s">
        <v>462</v>
      </c>
      <c r="D312" s="14" t="s">
        <v>540</v>
      </c>
      <c r="E312" s="15">
        <v>45688</v>
      </c>
      <c r="F312" s="14" t="s">
        <v>18</v>
      </c>
      <c r="G312" s="16">
        <v>60</v>
      </c>
    </row>
    <row r="313" spans="1:7" x14ac:dyDescent="0.25">
      <c r="A313" s="13" t="s">
        <v>539</v>
      </c>
      <c r="B313" s="13">
        <v>2572</v>
      </c>
      <c r="C313" s="14" t="s">
        <v>462</v>
      </c>
      <c r="D313" s="14" t="s">
        <v>540</v>
      </c>
      <c r="E313" s="15">
        <v>45691</v>
      </c>
      <c r="F313" s="14" t="s">
        <v>19</v>
      </c>
      <c r="G313" s="16">
        <v>95.978999999999999</v>
      </c>
    </row>
    <row r="314" spans="1:7" x14ac:dyDescent="0.25">
      <c r="A314" s="13" t="s">
        <v>539</v>
      </c>
      <c r="B314" s="13">
        <v>2572</v>
      </c>
      <c r="C314" s="14" t="s">
        <v>462</v>
      </c>
      <c r="D314" s="14" t="s">
        <v>540</v>
      </c>
      <c r="E314" s="15">
        <v>45691</v>
      </c>
      <c r="F314" s="14" t="s">
        <v>21</v>
      </c>
      <c r="G314" s="16">
        <v>90</v>
      </c>
    </row>
    <row r="315" spans="1:7" x14ac:dyDescent="0.25">
      <c r="A315" s="13" t="s">
        <v>561</v>
      </c>
      <c r="B315" s="13">
        <v>2572</v>
      </c>
      <c r="C315" s="14" t="s">
        <v>462</v>
      </c>
      <c r="D315" s="15" t="s">
        <v>540</v>
      </c>
      <c r="E315" s="15">
        <v>45687</v>
      </c>
      <c r="F315" s="14" t="s">
        <v>21</v>
      </c>
      <c r="G315" s="16">
        <v>151</v>
      </c>
    </row>
    <row r="316" spans="1:7" x14ac:dyDescent="0.25">
      <c r="A316" s="13" t="s">
        <v>442</v>
      </c>
      <c r="B316" s="13">
        <v>2579</v>
      </c>
      <c r="C316" s="14" t="s">
        <v>443</v>
      </c>
      <c r="D316" s="14" t="s">
        <v>444</v>
      </c>
      <c r="E316" s="15">
        <v>45686</v>
      </c>
      <c r="F316" s="14" t="s">
        <v>18</v>
      </c>
      <c r="G316" s="16">
        <v>70</v>
      </c>
    </row>
    <row r="317" spans="1:7" x14ac:dyDescent="0.25">
      <c r="A317" s="13" t="s">
        <v>442</v>
      </c>
      <c r="B317" s="13">
        <v>2579</v>
      </c>
      <c r="C317" s="14" t="s">
        <v>443</v>
      </c>
      <c r="D317" s="14" t="s">
        <v>444</v>
      </c>
      <c r="E317" s="15">
        <v>45686</v>
      </c>
      <c r="F317" s="14" t="s">
        <v>20</v>
      </c>
      <c r="G317" s="16">
        <v>22.992999999999999</v>
      </c>
    </row>
    <row r="318" spans="1:7" x14ac:dyDescent="0.25">
      <c r="A318" s="13" t="s">
        <v>414</v>
      </c>
      <c r="B318" s="13">
        <v>2592</v>
      </c>
      <c r="C318" s="14" t="s">
        <v>317</v>
      </c>
      <c r="D318" s="15" t="s">
        <v>415</v>
      </c>
      <c r="E318" s="15">
        <v>45680</v>
      </c>
      <c r="F318" s="14" t="s">
        <v>18</v>
      </c>
      <c r="G318" s="16">
        <v>70</v>
      </c>
    </row>
    <row r="319" spans="1:7" x14ac:dyDescent="0.25">
      <c r="A319" s="13" t="s">
        <v>414</v>
      </c>
      <c r="B319" s="13">
        <v>2592</v>
      </c>
      <c r="C319" s="14" t="s">
        <v>317</v>
      </c>
      <c r="D319" s="15" t="s">
        <v>415</v>
      </c>
      <c r="E319" s="15">
        <v>45680</v>
      </c>
      <c r="F319" s="14" t="s">
        <v>69</v>
      </c>
      <c r="G319" s="16">
        <v>760</v>
      </c>
    </row>
    <row r="320" spans="1:7" x14ac:dyDescent="0.25">
      <c r="A320" s="13" t="s">
        <v>532</v>
      </c>
      <c r="B320" s="13">
        <v>2631</v>
      </c>
      <c r="C320" s="14" t="s">
        <v>533</v>
      </c>
      <c r="D320" s="14" t="s">
        <v>22</v>
      </c>
      <c r="E320" s="15">
        <v>45682</v>
      </c>
      <c r="F320" s="14" t="s">
        <v>18</v>
      </c>
      <c r="G320" s="16">
        <v>60</v>
      </c>
    </row>
    <row r="321" spans="1:7" x14ac:dyDescent="0.25">
      <c r="A321" s="13" t="s">
        <v>532</v>
      </c>
      <c r="B321" s="13">
        <v>2631</v>
      </c>
      <c r="C321" s="14" t="s">
        <v>533</v>
      </c>
      <c r="D321" s="14" t="s">
        <v>22</v>
      </c>
      <c r="E321" s="15">
        <v>45682</v>
      </c>
      <c r="F321" s="14" t="s">
        <v>20</v>
      </c>
      <c r="G321" s="16">
        <v>10.163</v>
      </c>
    </row>
    <row r="322" spans="1:7" x14ac:dyDescent="0.25">
      <c r="A322" s="13" t="s">
        <v>532</v>
      </c>
      <c r="B322" s="13">
        <v>2631</v>
      </c>
      <c r="C322" s="14" t="s">
        <v>533</v>
      </c>
      <c r="D322" s="14" t="s">
        <v>22</v>
      </c>
      <c r="E322" s="15">
        <v>45684</v>
      </c>
      <c r="F322" s="14" t="s">
        <v>19</v>
      </c>
      <c r="G322" s="16">
        <v>8.0250000000000004</v>
      </c>
    </row>
    <row r="323" spans="1:7" x14ac:dyDescent="0.25">
      <c r="A323" s="13" t="s">
        <v>532</v>
      </c>
      <c r="B323" s="13">
        <v>2631</v>
      </c>
      <c r="C323" s="14" t="s">
        <v>533</v>
      </c>
      <c r="D323" s="14" t="s">
        <v>22</v>
      </c>
      <c r="E323" s="15">
        <v>45689</v>
      </c>
      <c r="F323" s="14" t="s">
        <v>19</v>
      </c>
      <c r="G323" s="16">
        <v>38.520000000000003</v>
      </c>
    </row>
    <row r="324" spans="1:7" ht="18.75" x14ac:dyDescent="0.3">
      <c r="A324" s="14"/>
      <c r="B324" s="28"/>
      <c r="C324" s="29"/>
      <c r="D324" s="14"/>
      <c r="E324" s="28"/>
      <c r="F324" s="17" t="s">
        <v>11</v>
      </c>
      <c r="G324" s="17">
        <f>SUM(G10:G323)</f>
        <v>21091.13900000001</v>
      </c>
    </row>
    <row r="325" spans="1:7" ht="18.75" x14ac:dyDescent="0.3">
      <c r="A325" s="38"/>
      <c r="B325" s="39"/>
      <c r="C325" s="40"/>
      <c r="D325" s="41"/>
      <c r="E325" s="19"/>
      <c r="F325" s="18"/>
      <c r="G325" s="34"/>
    </row>
    <row r="326" spans="1:7" ht="18.75" x14ac:dyDescent="0.3">
      <c r="A326" s="35"/>
      <c r="B326" s="36"/>
      <c r="C326" s="37"/>
      <c r="D326" s="42"/>
      <c r="E326" s="43"/>
      <c r="F326" s="44"/>
      <c r="G326" s="44"/>
    </row>
    <row r="327" spans="1:7" ht="15.75" x14ac:dyDescent="0.25">
      <c r="A327" s="35"/>
      <c r="B327" s="36" t="s">
        <v>12</v>
      </c>
      <c r="C327" s="37"/>
      <c r="E327" s="36" t="s">
        <v>13</v>
      </c>
      <c r="F327" s="18"/>
      <c r="G327" s="18"/>
    </row>
    <row r="328" spans="1:7" ht="15.75" x14ac:dyDescent="0.25">
      <c r="A328" s="45"/>
      <c r="B328" s="46" t="s">
        <v>14</v>
      </c>
      <c r="C328" s="47"/>
      <c r="E328" s="36" t="s">
        <v>15</v>
      </c>
      <c r="F328" s="18"/>
      <c r="G328" s="18"/>
    </row>
    <row r="329" spans="1:7" ht="15.75" x14ac:dyDescent="0.25">
      <c r="A329" s="23"/>
      <c r="B329" s="24"/>
      <c r="C329" s="25"/>
      <c r="E329" s="27"/>
      <c r="F329" s="18"/>
      <c r="G329" s="18"/>
    </row>
    <row r="330" spans="1:7" ht="18.75" x14ac:dyDescent="0.3">
      <c r="B330" s="19"/>
      <c r="C330" s="20"/>
      <c r="D330" s="21"/>
      <c r="E330" s="22"/>
      <c r="F330" s="19"/>
      <c r="G330" s="22"/>
    </row>
    <row r="331" spans="1:7" ht="15.75" x14ac:dyDescent="0.25">
      <c r="A331" s="23"/>
      <c r="B331" s="24"/>
      <c r="C331" s="25"/>
      <c r="D331" s="26"/>
      <c r="E331" s="22"/>
      <c r="F331" s="27"/>
      <c r="G331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5"/>
  <sheetViews>
    <sheetView workbookViewId="0">
      <pane ySplit="9" topLeftCell="A10" activePane="bottomLeft" state="frozen"/>
      <selection pane="bottomLeft" sqref="A1:A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602</v>
      </c>
      <c r="C5" s="7"/>
      <c r="D5" s="4"/>
    </row>
    <row r="6" spans="1:7" ht="22.5" customHeight="1" x14ac:dyDescent="0.25">
      <c r="A6" s="6"/>
      <c r="B6" s="8" t="s">
        <v>770</v>
      </c>
      <c r="C6" s="9"/>
      <c r="D6" s="4"/>
    </row>
    <row r="7" spans="1:7" ht="21" x14ac:dyDescent="0.35">
      <c r="A7" s="4"/>
      <c r="B7" s="10"/>
      <c r="C7" s="11" t="s">
        <v>771</v>
      </c>
      <c r="D7" s="4"/>
    </row>
    <row r="8" spans="1:7" ht="4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608</v>
      </c>
      <c r="B10" s="13">
        <v>692</v>
      </c>
      <c r="C10" s="14" t="str">
        <f>+VLOOKUP(B10,[1]LISTE!$A$1:$D$431,4,FALSE)</f>
        <v>ABDELLAH MOHAMED</v>
      </c>
      <c r="D10" s="14" t="s">
        <v>604</v>
      </c>
      <c r="E10" s="15">
        <v>45689</v>
      </c>
      <c r="F10" s="14" t="s">
        <v>18</v>
      </c>
      <c r="G10" s="16">
        <v>70</v>
      </c>
    </row>
    <row r="11" spans="1:7" x14ac:dyDescent="0.25">
      <c r="A11" s="13" t="s">
        <v>608</v>
      </c>
      <c r="B11" s="13">
        <v>692</v>
      </c>
      <c r="C11" s="14" t="str">
        <f>+VLOOKUP(B11,[1]LISTE!$A$1:$D$431,4,FALSE)</f>
        <v>ABDELLAH MOHAMED</v>
      </c>
      <c r="D11" s="14" t="s">
        <v>604</v>
      </c>
      <c r="E11" s="15">
        <v>45689</v>
      </c>
      <c r="F11" s="14" t="s">
        <v>20</v>
      </c>
      <c r="G11" s="16">
        <v>46.274999999999999</v>
      </c>
    </row>
    <row r="12" spans="1:7" x14ac:dyDescent="0.25">
      <c r="A12" s="13" t="s">
        <v>674</v>
      </c>
      <c r="B12" s="13">
        <v>815</v>
      </c>
      <c r="C12" s="14" t="str">
        <f>+VLOOKUP(B12,[1]LISTE!$A$1:$D$431,4,FALSE)</f>
        <v>DAHMANI HAFSI</v>
      </c>
      <c r="D12" s="14" t="s">
        <v>22</v>
      </c>
      <c r="E12" s="15">
        <v>45703</v>
      </c>
      <c r="F12" s="14" t="s">
        <v>23</v>
      </c>
      <c r="G12" s="16">
        <v>45</v>
      </c>
    </row>
    <row r="13" spans="1:7" x14ac:dyDescent="0.25">
      <c r="A13" s="13" t="s">
        <v>674</v>
      </c>
      <c r="B13" s="13">
        <v>815</v>
      </c>
      <c r="C13" s="14" t="str">
        <f>+VLOOKUP(B13,[1]LISTE!$A$1:$D$431,4,FALSE)</f>
        <v>DAHMANI HAFSI</v>
      </c>
      <c r="D13" s="14" t="s">
        <v>22</v>
      </c>
      <c r="E13" s="15">
        <v>45703</v>
      </c>
      <c r="F13" s="14" t="s">
        <v>20</v>
      </c>
      <c r="G13" s="16">
        <v>71.924999999999997</v>
      </c>
    </row>
    <row r="14" spans="1:7" x14ac:dyDescent="0.25">
      <c r="A14" s="13" t="s">
        <v>603</v>
      </c>
      <c r="B14" s="13">
        <v>832</v>
      </c>
      <c r="C14" s="14" t="str">
        <f>+VLOOKUP(B14,[1]LISTE!$A$1:$D$431,4,FALSE)</f>
        <v>ABBASSI LOTFI</v>
      </c>
      <c r="D14" s="15" t="s">
        <v>604</v>
      </c>
      <c r="E14" s="15">
        <v>45680</v>
      </c>
      <c r="F14" s="14" t="s">
        <v>363</v>
      </c>
      <c r="G14" s="16">
        <v>350</v>
      </c>
    </row>
    <row r="15" spans="1:7" x14ac:dyDescent="0.25">
      <c r="A15" s="13" t="s">
        <v>603</v>
      </c>
      <c r="B15" s="13">
        <v>832</v>
      </c>
      <c r="C15" s="14" t="str">
        <f>+VLOOKUP(B15,[1]LISTE!$A$1:$D$431,4,FALSE)</f>
        <v>ABBASSI LOTFI</v>
      </c>
      <c r="D15" s="15" t="s">
        <v>604</v>
      </c>
      <c r="E15" s="15">
        <v>45687</v>
      </c>
      <c r="F15" s="14" t="s">
        <v>20</v>
      </c>
      <c r="G15" s="16">
        <v>95.34</v>
      </c>
    </row>
    <row r="16" spans="1:7" x14ac:dyDescent="0.25">
      <c r="A16" s="13" t="s">
        <v>603</v>
      </c>
      <c r="B16" s="13">
        <v>832</v>
      </c>
      <c r="C16" s="14" t="str">
        <f>+VLOOKUP(B16,[1]LISTE!$A$1:$D$431,4,FALSE)</f>
        <v>ABBASSI LOTFI</v>
      </c>
      <c r="D16" s="15" t="s">
        <v>604</v>
      </c>
      <c r="E16" s="15">
        <v>45684</v>
      </c>
      <c r="F16" s="14" t="s">
        <v>21</v>
      </c>
      <c r="G16" s="16">
        <v>160</v>
      </c>
    </row>
    <row r="17" spans="1:7" x14ac:dyDescent="0.25">
      <c r="A17" s="13" t="s">
        <v>603</v>
      </c>
      <c r="B17" s="13">
        <v>832</v>
      </c>
      <c r="C17" s="14" t="str">
        <f>+VLOOKUP(B17,[1]LISTE!$A$1:$D$431,4,FALSE)</f>
        <v>ABBASSI LOTFI</v>
      </c>
      <c r="D17" s="14" t="s">
        <v>604</v>
      </c>
      <c r="E17" s="15">
        <v>45680</v>
      </c>
      <c r="F17" s="14" t="s">
        <v>19</v>
      </c>
      <c r="G17" s="16">
        <v>170</v>
      </c>
    </row>
    <row r="18" spans="1:7" x14ac:dyDescent="0.25">
      <c r="A18" s="13" t="s">
        <v>628</v>
      </c>
      <c r="B18" s="13">
        <v>879</v>
      </c>
      <c r="C18" s="14" t="str">
        <f>+VLOOKUP(B18,[1]LISTE!$A$1:$D$431,4,FALSE)</f>
        <v>MOUSSA ABDERRAZEK</v>
      </c>
      <c r="D18" s="15" t="s">
        <v>22</v>
      </c>
      <c r="E18" s="15">
        <v>45698</v>
      </c>
      <c r="F18" s="14" t="s">
        <v>23</v>
      </c>
      <c r="G18" s="16">
        <v>45</v>
      </c>
    </row>
    <row r="19" spans="1:7" x14ac:dyDescent="0.25">
      <c r="A19" s="13" t="s">
        <v>628</v>
      </c>
      <c r="B19" s="13">
        <v>879</v>
      </c>
      <c r="C19" s="14" t="str">
        <f>+VLOOKUP(B19,[1]LISTE!$A$1:$D$431,4,FALSE)</f>
        <v>MOUSSA ABDERRAZEK</v>
      </c>
      <c r="D19" s="15" t="s">
        <v>22</v>
      </c>
      <c r="E19" s="15">
        <v>45698</v>
      </c>
      <c r="F19" s="14" t="s">
        <v>20</v>
      </c>
      <c r="G19" s="16">
        <v>25.79</v>
      </c>
    </row>
    <row r="20" spans="1:7" x14ac:dyDescent="0.25">
      <c r="A20" s="13" t="s">
        <v>766</v>
      </c>
      <c r="B20" s="13">
        <v>913</v>
      </c>
      <c r="C20" s="14" t="str">
        <f>+VLOOKUP(B20,[1]LISTE!$A$1:$D$431,4,FALSE)</f>
        <v>MAOUA MED HEDI</v>
      </c>
      <c r="D20" s="15" t="s">
        <v>279</v>
      </c>
      <c r="E20" s="15">
        <v>45710</v>
      </c>
      <c r="F20" s="14" t="s">
        <v>23</v>
      </c>
      <c r="G20" s="16">
        <v>45</v>
      </c>
    </row>
    <row r="21" spans="1:7" x14ac:dyDescent="0.25">
      <c r="A21" s="13" t="s">
        <v>766</v>
      </c>
      <c r="B21" s="13">
        <v>913</v>
      </c>
      <c r="C21" s="14" t="str">
        <f>+VLOOKUP(B21,[1]LISTE!$A$1:$D$431,4,FALSE)</f>
        <v>MAOUA MED HEDI</v>
      </c>
      <c r="D21" s="15" t="s">
        <v>279</v>
      </c>
      <c r="E21" s="15">
        <v>45710</v>
      </c>
      <c r="F21" s="14" t="s">
        <v>20</v>
      </c>
      <c r="G21" s="16">
        <v>43.432000000000002</v>
      </c>
    </row>
    <row r="22" spans="1:7" x14ac:dyDescent="0.25">
      <c r="A22" s="13" t="s">
        <v>767</v>
      </c>
      <c r="B22" s="13">
        <v>913</v>
      </c>
      <c r="C22" s="14" t="str">
        <f>+VLOOKUP(B22,[1]LISTE!$A$1:$D$431,4,FALSE)</f>
        <v>MAOUA MED HEDI</v>
      </c>
      <c r="D22" s="15" t="s">
        <v>768</v>
      </c>
      <c r="E22" s="15">
        <v>45710</v>
      </c>
      <c r="F22" s="14" t="s">
        <v>23</v>
      </c>
      <c r="G22" s="16">
        <v>45</v>
      </c>
    </row>
    <row r="23" spans="1:7" x14ac:dyDescent="0.25">
      <c r="A23" s="13" t="s">
        <v>767</v>
      </c>
      <c r="B23" s="13">
        <v>913</v>
      </c>
      <c r="C23" s="14" t="str">
        <f>+VLOOKUP(B23,[1]LISTE!$A$1:$D$431,4,FALSE)</f>
        <v>MAOUA MED HEDI</v>
      </c>
      <c r="D23" s="15" t="s">
        <v>768</v>
      </c>
      <c r="E23" s="15">
        <v>45710</v>
      </c>
      <c r="F23" s="14" t="s">
        <v>20</v>
      </c>
      <c r="G23" s="16">
        <v>46.44</v>
      </c>
    </row>
    <row r="24" spans="1:7" x14ac:dyDescent="0.25">
      <c r="A24" s="13" t="s">
        <v>718</v>
      </c>
      <c r="B24" s="13">
        <v>978</v>
      </c>
      <c r="C24" s="14" t="str">
        <f>+VLOOKUP(B24,[1]LISTE!$A$1:$D$431,4,FALSE)</f>
        <v>GRAIET ADEL</v>
      </c>
      <c r="D24" s="14" t="s">
        <v>543</v>
      </c>
      <c r="E24" s="15">
        <v>45702</v>
      </c>
      <c r="F24" s="14" t="s">
        <v>20</v>
      </c>
      <c r="G24" s="16">
        <v>26.65</v>
      </c>
    </row>
    <row r="25" spans="1:7" x14ac:dyDescent="0.25">
      <c r="A25" s="13" t="s">
        <v>642</v>
      </c>
      <c r="B25" s="13">
        <v>997</v>
      </c>
      <c r="C25" s="14" t="str">
        <f>+VLOOKUP(B25,[1]LISTE!$A$1:$D$431,4,FALSE)</f>
        <v>KOIUISSAH MAHJOUB SLAH</v>
      </c>
      <c r="D25" s="14" t="s">
        <v>37</v>
      </c>
      <c r="E25" s="15">
        <v>45699</v>
      </c>
      <c r="F25" s="14" t="s">
        <v>525</v>
      </c>
      <c r="G25" s="16">
        <v>150</v>
      </c>
    </row>
    <row r="26" spans="1:7" x14ac:dyDescent="0.25">
      <c r="A26" s="13" t="s">
        <v>642</v>
      </c>
      <c r="B26" s="13">
        <v>997</v>
      </c>
      <c r="C26" s="14" t="str">
        <f>+VLOOKUP(B26,[1]LISTE!$A$1:$D$431,4,FALSE)</f>
        <v>KOIUISSAH MAHJOUB SLAH</v>
      </c>
      <c r="D26" s="15" t="s">
        <v>37</v>
      </c>
      <c r="E26" s="15">
        <v>45699</v>
      </c>
      <c r="F26" s="14" t="s">
        <v>20</v>
      </c>
      <c r="G26" s="16">
        <v>14.66</v>
      </c>
    </row>
    <row r="27" spans="1:7" x14ac:dyDescent="0.25">
      <c r="A27" s="13" t="s">
        <v>706</v>
      </c>
      <c r="B27" s="13">
        <v>1510</v>
      </c>
      <c r="C27" s="14" t="str">
        <f>+VLOOKUP(B27,[1]LISTE!$A$1:$D$431,4,FALSE)</f>
        <v>GAALOUL FETHI</v>
      </c>
      <c r="D27" s="14" t="s">
        <v>22</v>
      </c>
      <c r="E27" s="15">
        <v>45689</v>
      </c>
      <c r="F27" s="14" t="s">
        <v>23</v>
      </c>
      <c r="G27" s="16">
        <v>40</v>
      </c>
    </row>
    <row r="28" spans="1:7" x14ac:dyDescent="0.25">
      <c r="A28" s="13" t="s">
        <v>706</v>
      </c>
      <c r="B28" s="13">
        <v>1510</v>
      </c>
      <c r="C28" s="14" t="str">
        <f>+VLOOKUP(B28,[1]LISTE!$A$1:$D$431,4,FALSE)</f>
        <v>GAALOUL FETHI</v>
      </c>
      <c r="D28" s="14" t="s">
        <v>22</v>
      </c>
      <c r="E28" s="15">
        <v>45689</v>
      </c>
      <c r="F28" s="14" t="s">
        <v>20</v>
      </c>
      <c r="G28" s="16">
        <v>157.917</v>
      </c>
    </row>
    <row r="29" spans="1:7" x14ac:dyDescent="0.25">
      <c r="A29" s="13" t="s">
        <v>706</v>
      </c>
      <c r="B29" s="13">
        <v>1510</v>
      </c>
      <c r="C29" s="14" t="str">
        <f>+VLOOKUP(B29,[1]LISTE!$A$1:$D$431,4,FALSE)</f>
        <v>GAALOUL FETHI</v>
      </c>
      <c r="D29" s="15" t="s">
        <v>22</v>
      </c>
      <c r="E29" s="15">
        <v>45689</v>
      </c>
      <c r="F29" s="14" t="s">
        <v>20</v>
      </c>
      <c r="G29" s="16">
        <v>59.927</v>
      </c>
    </row>
    <row r="30" spans="1:7" x14ac:dyDescent="0.25">
      <c r="A30" s="13" t="s">
        <v>666</v>
      </c>
      <c r="B30" s="13">
        <v>1511</v>
      </c>
      <c r="C30" s="14" t="str">
        <f>+VLOOKUP(B30,[1]LISTE!$A$1:$D$431,4,FALSE)</f>
        <v>SOYAH NEJIB</v>
      </c>
      <c r="D30" s="15" t="s">
        <v>368</v>
      </c>
      <c r="E30" s="15">
        <v>45699</v>
      </c>
      <c r="F30" s="14" t="s">
        <v>23</v>
      </c>
      <c r="G30" s="16">
        <v>40</v>
      </c>
    </row>
    <row r="31" spans="1:7" x14ac:dyDescent="0.25">
      <c r="A31" s="13" t="s">
        <v>666</v>
      </c>
      <c r="B31" s="13">
        <v>1511</v>
      </c>
      <c r="C31" s="14" t="str">
        <f>+VLOOKUP(B31,[1]LISTE!$A$1:$D$431,4,FALSE)</f>
        <v>SOYAH NEJIB</v>
      </c>
      <c r="D31" s="15" t="s">
        <v>368</v>
      </c>
      <c r="E31" s="15">
        <v>45699</v>
      </c>
      <c r="F31" s="14" t="s">
        <v>20</v>
      </c>
      <c r="G31" s="16">
        <v>49.055</v>
      </c>
    </row>
    <row r="32" spans="1:7" x14ac:dyDescent="0.25">
      <c r="A32" s="13" t="s">
        <v>612</v>
      </c>
      <c r="B32" s="13">
        <v>1548</v>
      </c>
      <c r="C32" s="14" t="str">
        <f>+VLOOKUP(B32,[1]LISTE!$A$1:$D$431,4,FALSE)</f>
        <v>YOUSSEF WAHID</v>
      </c>
      <c r="D32" s="15" t="s">
        <v>613</v>
      </c>
      <c r="E32" s="15">
        <v>45699</v>
      </c>
      <c r="F32" s="14" t="s">
        <v>23</v>
      </c>
      <c r="G32" s="16">
        <v>45</v>
      </c>
    </row>
    <row r="33" spans="1:7" x14ac:dyDescent="0.25">
      <c r="A33" s="13" t="s">
        <v>612</v>
      </c>
      <c r="B33" s="13">
        <v>1548</v>
      </c>
      <c r="C33" s="14" t="str">
        <f>+VLOOKUP(B33,[1]LISTE!$A$1:$D$431,4,FALSE)</f>
        <v>YOUSSEF WAHID</v>
      </c>
      <c r="D33" s="14" t="s">
        <v>613</v>
      </c>
      <c r="E33" s="15">
        <v>45699</v>
      </c>
      <c r="F33" s="14" t="s">
        <v>20</v>
      </c>
      <c r="G33" s="16">
        <v>36.865000000000002</v>
      </c>
    </row>
    <row r="34" spans="1:7" x14ac:dyDescent="0.25">
      <c r="A34" s="13" t="s">
        <v>614</v>
      </c>
      <c r="B34" s="13">
        <v>1548</v>
      </c>
      <c r="C34" s="14" t="str">
        <f>+VLOOKUP(B34,[1]LISTE!$A$1:$D$431,4,FALSE)</f>
        <v>YOUSSEF WAHID</v>
      </c>
      <c r="D34" s="15" t="s">
        <v>212</v>
      </c>
      <c r="E34" s="15">
        <v>45699</v>
      </c>
      <c r="F34" s="14" t="s">
        <v>18</v>
      </c>
      <c r="G34" s="16">
        <v>60</v>
      </c>
    </row>
    <row r="35" spans="1:7" x14ac:dyDescent="0.25">
      <c r="A35" s="13" t="s">
        <v>614</v>
      </c>
      <c r="B35" s="13">
        <v>1548</v>
      </c>
      <c r="C35" s="14" t="str">
        <f>+VLOOKUP(B35,[1]LISTE!$A$1:$D$431,4,FALSE)</f>
        <v>YOUSSEF WAHID</v>
      </c>
      <c r="D35" s="15" t="s">
        <v>212</v>
      </c>
      <c r="E35" s="15">
        <v>45699</v>
      </c>
      <c r="F35" s="14" t="s">
        <v>20</v>
      </c>
      <c r="G35" s="16">
        <v>17</v>
      </c>
    </row>
    <row r="36" spans="1:7" x14ac:dyDescent="0.25">
      <c r="A36" s="13" t="s">
        <v>765</v>
      </c>
      <c r="B36" s="13">
        <v>1548</v>
      </c>
      <c r="C36" s="14" t="str">
        <f>+VLOOKUP(B36,[1]LISTE!$A$1:$D$431,4,FALSE)</f>
        <v>YOUSSEF WAHID</v>
      </c>
      <c r="D36" s="15" t="s">
        <v>212</v>
      </c>
      <c r="E36" s="15">
        <v>45699</v>
      </c>
      <c r="F36" s="14" t="s">
        <v>18</v>
      </c>
      <c r="G36" s="16">
        <v>60</v>
      </c>
    </row>
    <row r="37" spans="1:7" x14ac:dyDescent="0.25">
      <c r="A37" s="13" t="s">
        <v>765</v>
      </c>
      <c r="B37" s="13">
        <v>1548</v>
      </c>
      <c r="C37" s="14" t="str">
        <f>+VLOOKUP(B37,[1]LISTE!$A$1:$D$431,4,FALSE)</f>
        <v>YOUSSEF WAHID</v>
      </c>
      <c r="D37" s="15" t="s">
        <v>212</v>
      </c>
      <c r="E37" s="15">
        <v>45710</v>
      </c>
      <c r="F37" s="14" t="s">
        <v>20</v>
      </c>
      <c r="G37" s="16">
        <v>21.68</v>
      </c>
    </row>
    <row r="38" spans="1:7" x14ac:dyDescent="0.25">
      <c r="A38" s="13" t="s">
        <v>654</v>
      </c>
      <c r="B38" s="13">
        <v>1553</v>
      </c>
      <c r="C38" s="14" t="str">
        <f>+VLOOKUP(B38,[1]LISTE!$A$1:$D$431,4,FALSE)</f>
        <v>BOUNEB MOHAMED</v>
      </c>
      <c r="D38" s="14" t="s">
        <v>79</v>
      </c>
      <c r="E38" s="15">
        <v>45694</v>
      </c>
      <c r="F38" s="14" t="s">
        <v>23</v>
      </c>
      <c r="G38" s="16">
        <v>50</v>
      </c>
    </row>
    <row r="39" spans="1:7" x14ac:dyDescent="0.25">
      <c r="A39" s="13" t="s">
        <v>654</v>
      </c>
      <c r="B39" s="13">
        <v>1553</v>
      </c>
      <c r="C39" s="14" t="str">
        <f>+VLOOKUP(B39,[1]LISTE!$A$1:$D$431,4,FALSE)</f>
        <v>BOUNEB MOHAMED</v>
      </c>
      <c r="D39" s="14" t="s">
        <v>79</v>
      </c>
      <c r="E39" s="15">
        <v>45694</v>
      </c>
      <c r="F39" s="14" t="s">
        <v>20</v>
      </c>
      <c r="G39" s="16">
        <v>34.395000000000003</v>
      </c>
    </row>
    <row r="40" spans="1:7" x14ac:dyDescent="0.25">
      <c r="A40" s="13" t="s">
        <v>654</v>
      </c>
      <c r="B40" s="13">
        <v>1553</v>
      </c>
      <c r="C40" s="14" t="str">
        <f>+VLOOKUP(B40,[1]LISTE!$A$1:$D$431,4,FALSE)</f>
        <v>BOUNEB MOHAMED</v>
      </c>
      <c r="D40" s="15" t="s">
        <v>79</v>
      </c>
      <c r="E40" s="15">
        <v>45701</v>
      </c>
      <c r="F40" s="14" t="s">
        <v>20</v>
      </c>
      <c r="G40" s="16">
        <v>4.55</v>
      </c>
    </row>
    <row r="41" spans="1:7" x14ac:dyDescent="0.25">
      <c r="A41" s="13" t="s">
        <v>754</v>
      </c>
      <c r="B41" s="13">
        <v>1553</v>
      </c>
      <c r="C41" s="14" t="str">
        <f>+VLOOKUP(B41,[1]LISTE!$A$1:$D$431,4,FALSE)</f>
        <v>BOUNEB MOHAMED</v>
      </c>
      <c r="D41" s="14" t="s">
        <v>79</v>
      </c>
      <c r="E41" s="15">
        <v>45708</v>
      </c>
      <c r="F41" s="14" t="s">
        <v>20</v>
      </c>
      <c r="G41" s="16">
        <v>12.994999999999999</v>
      </c>
    </row>
    <row r="42" spans="1:7" x14ac:dyDescent="0.25">
      <c r="A42" s="13" t="s">
        <v>754</v>
      </c>
      <c r="B42" s="13">
        <v>1553</v>
      </c>
      <c r="C42" s="14" t="str">
        <f>+VLOOKUP(B42,[1]LISTE!$A$1:$D$431,4,FALSE)</f>
        <v>BOUNEB MOHAMED</v>
      </c>
      <c r="D42" s="14" t="s">
        <v>79</v>
      </c>
      <c r="E42" s="15">
        <v>45708</v>
      </c>
      <c r="F42" s="14" t="s">
        <v>24</v>
      </c>
      <c r="G42" s="16">
        <v>160</v>
      </c>
    </row>
    <row r="43" spans="1:7" x14ac:dyDescent="0.25">
      <c r="A43" s="13" t="s">
        <v>662</v>
      </c>
      <c r="B43" s="13">
        <v>1558</v>
      </c>
      <c r="C43" s="14" t="str">
        <f>+VLOOKUP(B43,[1]LISTE!$A$1:$D$431,4,FALSE)</f>
        <v>DRIDI KARIM</v>
      </c>
      <c r="D43" s="14" t="s">
        <v>59</v>
      </c>
      <c r="E43" s="15">
        <v>45694</v>
      </c>
      <c r="F43" s="14" t="s">
        <v>18</v>
      </c>
      <c r="G43" s="16">
        <v>70</v>
      </c>
    </row>
    <row r="44" spans="1:7" x14ac:dyDescent="0.25">
      <c r="A44" s="13" t="s">
        <v>662</v>
      </c>
      <c r="B44" s="13">
        <v>1558</v>
      </c>
      <c r="C44" s="14" t="str">
        <f>+VLOOKUP(B44,[1]LISTE!$A$1:$D$431,4,FALSE)</f>
        <v>DRIDI KARIM</v>
      </c>
      <c r="D44" s="14" t="s">
        <v>59</v>
      </c>
      <c r="E44" s="15">
        <v>45696</v>
      </c>
      <c r="F44" s="14" t="s">
        <v>19</v>
      </c>
      <c r="G44" s="16">
        <v>43.976999999999997</v>
      </c>
    </row>
    <row r="45" spans="1:7" x14ac:dyDescent="0.25">
      <c r="A45" s="13" t="s">
        <v>662</v>
      </c>
      <c r="B45" s="13">
        <v>1558</v>
      </c>
      <c r="C45" s="14" t="str">
        <f>+VLOOKUP(B45,[1]LISTE!$A$1:$D$431,4,FALSE)</f>
        <v>DRIDI KARIM</v>
      </c>
      <c r="D45" s="14" t="s">
        <v>59</v>
      </c>
      <c r="E45" s="15">
        <v>45698</v>
      </c>
      <c r="F45" s="14" t="s">
        <v>20</v>
      </c>
      <c r="G45" s="16">
        <v>179.44</v>
      </c>
    </row>
    <row r="46" spans="1:7" x14ac:dyDescent="0.25">
      <c r="A46" s="13" t="s">
        <v>722</v>
      </c>
      <c r="B46" s="13">
        <v>1575</v>
      </c>
      <c r="C46" s="14" t="str">
        <f>+VLOOKUP(B46,[1]LISTE!$A$1:$D$431,4,FALSE)</f>
        <v>BEN ABDELJELIL ZOUHAIER</v>
      </c>
      <c r="D46" s="14" t="s">
        <v>595</v>
      </c>
      <c r="E46" s="15">
        <v>45706</v>
      </c>
      <c r="F46" s="14" t="s">
        <v>23</v>
      </c>
      <c r="G46" s="16">
        <v>20</v>
      </c>
    </row>
    <row r="47" spans="1:7" x14ac:dyDescent="0.25">
      <c r="A47" s="13" t="s">
        <v>722</v>
      </c>
      <c r="B47" s="13">
        <v>1575</v>
      </c>
      <c r="C47" s="14" t="str">
        <f>+VLOOKUP(B47,[1]LISTE!$A$1:$D$431,4,FALSE)</f>
        <v>BEN ABDELJELIL ZOUHAIER</v>
      </c>
      <c r="D47" s="14" t="s">
        <v>595</v>
      </c>
      <c r="E47" s="15">
        <v>45706</v>
      </c>
      <c r="F47" s="14" t="s">
        <v>20</v>
      </c>
      <c r="G47" s="16">
        <v>56.78</v>
      </c>
    </row>
    <row r="48" spans="1:7" x14ac:dyDescent="0.25">
      <c r="A48" s="13" t="s">
        <v>647</v>
      </c>
      <c r="B48" s="13">
        <v>1590</v>
      </c>
      <c r="C48" s="14" t="str">
        <f>+VLOOKUP(B48,[1]LISTE!$A$1:$D$431,4,FALSE)</f>
        <v>ABDELLAH HASSINE</v>
      </c>
      <c r="D48" s="14" t="s">
        <v>648</v>
      </c>
      <c r="E48" s="15">
        <v>45684</v>
      </c>
      <c r="F48" s="14" t="s">
        <v>23</v>
      </c>
      <c r="G48" s="16">
        <v>40</v>
      </c>
    </row>
    <row r="49" spans="1:7" x14ac:dyDescent="0.25">
      <c r="A49" s="13" t="s">
        <v>647</v>
      </c>
      <c r="B49" s="13">
        <v>1590</v>
      </c>
      <c r="C49" s="14" t="str">
        <f>+VLOOKUP(B49,[1]LISTE!$A$1:$D$431,4,FALSE)</f>
        <v>ABDELLAH HASSINE</v>
      </c>
      <c r="D49" s="14" t="s">
        <v>648</v>
      </c>
      <c r="E49" s="15">
        <v>45684</v>
      </c>
      <c r="F49" s="14" t="s">
        <v>20</v>
      </c>
      <c r="G49" s="16">
        <v>37.914999999999999</v>
      </c>
    </row>
    <row r="50" spans="1:7" x14ac:dyDescent="0.25">
      <c r="A50" s="13" t="s">
        <v>649</v>
      </c>
      <c r="B50" s="13">
        <v>1590</v>
      </c>
      <c r="C50" s="14" t="str">
        <f>+VLOOKUP(B50,[1]LISTE!$A$1:$D$431,4,FALSE)</f>
        <v>ABDELLAH HASSINE</v>
      </c>
      <c r="D50" s="14" t="s">
        <v>650</v>
      </c>
      <c r="E50" s="15">
        <v>45689</v>
      </c>
      <c r="F50" s="14" t="s">
        <v>23</v>
      </c>
      <c r="G50" s="16">
        <v>40</v>
      </c>
    </row>
    <row r="51" spans="1:7" x14ac:dyDescent="0.25">
      <c r="A51" s="13" t="s">
        <v>649</v>
      </c>
      <c r="B51" s="13">
        <v>1590</v>
      </c>
      <c r="C51" s="14" t="str">
        <f>+VLOOKUP(B51,[1]LISTE!$A$1:$D$431,4,FALSE)</f>
        <v>ABDELLAH HASSINE</v>
      </c>
      <c r="D51" s="14" t="s">
        <v>650</v>
      </c>
      <c r="E51" s="15">
        <v>45689</v>
      </c>
      <c r="F51" s="14" t="s">
        <v>20</v>
      </c>
      <c r="G51" s="16">
        <v>31.55</v>
      </c>
    </row>
    <row r="52" spans="1:7" x14ac:dyDescent="0.25">
      <c r="A52" s="13" t="s">
        <v>750</v>
      </c>
      <c r="B52" s="13">
        <v>1594</v>
      </c>
      <c r="C52" s="14" t="str">
        <f>+VLOOKUP(B52,[1]LISTE!$A$1:$D$431,4,FALSE)</f>
        <v>MKHININI HABIB</v>
      </c>
      <c r="D52" s="15" t="s">
        <v>22</v>
      </c>
      <c r="E52" s="15">
        <v>45706</v>
      </c>
      <c r="F52" s="14" t="s">
        <v>18</v>
      </c>
      <c r="G52" s="16">
        <v>70</v>
      </c>
    </row>
    <row r="53" spans="1:7" x14ac:dyDescent="0.25">
      <c r="A53" s="13" t="s">
        <v>750</v>
      </c>
      <c r="B53" s="13">
        <v>1594</v>
      </c>
      <c r="C53" s="14" t="str">
        <f>+VLOOKUP(B53,[1]LISTE!$A$1:$D$431,4,FALSE)</f>
        <v>MKHININI HABIB</v>
      </c>
      <c r="D53" s="15" t="s">
        <v>22</v>
      </c>
      <c r="E53" s="15">
        <v>45706</v>
      </c>
      <c r="F53" s="14" t="s">
        <v>20</v>
      </c>
      <c r="G53" s="16">
        <v>44.463999999999999</v>
      </c>
    </row>
    <row r="54" spans="1:7" x14ac:dyDescent="0.25">
      <c r="A54" s="13" t="s">
        <v>707</v>
      </c>
      <c r="B54" s="13">
        <v>1595</v>
      </c>
      <c r="C54" s="14" t="str">
        <f>+VLOOKUP(B54,[1]LISTE!$A$1:$D$431,4,FALSE)</f>
        <v>BEN SALEM FETHI</v>
      </c>
      <c r="D54" s="15" t="s">
        <v>22</v>
      </c>
      <c r="E54" s="15">
        <v>45695</v>
      </c>
      <c r="F54" s="14" t="s">
        <v>23</v>
      </c>
      <c r="G54" s="16">
        <v>50</v>
      </c>
    </row>
    <row r="55" spans="1:7" x14ac:dyDescent="0.25">
      <c r="A55" s="13" t="s">
        <v>707</v>
      </c>
      <c r="B55" s="13">
        <v>1595</v>
      </c>
      <c r="C55" s="14" t="str">
        <f>+VLOOKUP(B55,[1]LISTE!$A$1:$D$431,4,FALSE)</f>
        <v>BEN SALEM FETHI</v>
      </c>
      <c r="D55" s="15" t="s">
        <v>22</v>
      </c>
      <c r="E55" s="15">
        <v>45695</v>
      </c>
      <c r="F55" s="14" t="s">
        <v>20</v>
      </c>
      <c r="G55" s="16">
        <v>32.47</v>
      </c>
    </row>
    <row r="56" spans="1:7" x14ac:dyDescent="0.25">
      <c r="A56" s="13" t="s">
        <v>679</v>
      </c>
      <c r="B56" s="13">
        <v>1600</v>
      </c>
      <c r="C56" s="14" t="str">
        <f>+VLOOKUP(B56,[1]LISTE!$A$1:$D$431,4,FALSE)</f>
        <v>MAOUA MOHAMED</v>
      </c>
      <c r="D56" s="15" t="s">
        <v>22</v>
      </c>
      <c r="E56" s="15">
        <v>45699</v>
      </c>
      <c r="F56" s="14" t="s">
        <v>18</v>
      </c>
      <c r="G56" s="16">
        <v>70</v>
      </c>
    </row>
    <row r="57" spans="1:7" x14ac:dyDescent="0.25">
      <c r="A57" s="13" t="s">
        <v>679</v>
      </c>
      <c r="B57" s="13">
        <v>1600</v>
      </c>
      <c r="C57" s="14" t="str">
        <f>+VLOOKUP(B57,[1]LISTE!$A$1:$D$431,4,FALSE)</f>
        <v>MAOUA MOHAMED</v>
      </c>
      <c r="D57" s="15" t="s">
        <v>22</v>
      </c>
      <c r="E57" s="15">
        <v>45699</v>
      </c>
      <c r="F57" s="14" t="s">
        <v>20</v>
      </c>
      <c r="G57" s="16">
        <v>28.672000000000001</v>
      </c>
    </row>
    <row r="58" spans="1:7" x14ac:dyDescent="0.25">
      <c r="A58" s="13" t="s">
        <v>679</v>
      </c>
      <c r="B58" s="13">
        <v>1600</v>
      </c>
      <c r="C58" s="14" t="str">
        <f>+VLOOKUP(B58,[1]LISTE!$A$1:$D$431,4,FALSE)</f>
        <v>MAOUA MOHAMED</v>
      </c>
      <c r="D58" s="15" t="s">
        <v>22</v>
      </c>
      <c r="E58" s="15">
        <v>45698</v>
      </c>
      <c r="F58" s="14" t="s">
        <v>21</v>
      </c>
      <c r="G58" s="16">
        <v>120</v>
      </c>
    </row>
    <row r="59" spans="1:7" x14ac:dyDescent="0.25">
      <c r="A59" s="13" t="s">
        <v>698</v>
      </c>
      <c r="B59" s="13">
        <v>1600</v>
      </c>
      <c r="C59" s="14" t="str">
        <f>+VLOOKUP(B59,[1]LISTE!$A$1:$D$431,4,FALSE)</f>
        <v>MAOUA MOHAMED</v>
      </c>
      <c r="D59" s="14" t="s">
        <v>699</v>
      </c>
      <c r="E59" s="15">
        <v>45705</v>
      </c>
      <c r="F59" s="14" t="s">
        <v>20</v>
      </c>
      <c r="G59" s="16">
        <v>35.715000000000003</v>
      </c>
    </row>
    <row r="60" spans="1:7" x14ac:dyDescent="0.25">
      <c r="A60" s="13" t="s">
        <v>698</v>
      </c>
      <c r="B60" s="13">
        <v>1600</v>
      </c>
      <c r="C60" s="14" t="str">
        <f>+VLOOKUP(B60,[1]LISTE!$A$1:$D$431,4,FALSE)</f>
        <v>MAOUA MOHAMED</v>
      </c>
      <c r="D60" s="14" t="s">
        <v>699</v>
      </c>
      <c r="E60" s="15">
        <v>45705</v>
      </c>
      <c r="F60" s="14" t="s">
        <v>24</v>
      </c>
      <c r="G60" s="16">
        <v>75</v>
      </c>
    </row>
    <row r="61" spans="1:7" x14ac:dyDescent="0.25">
      <c r="A61" s="13" t="s">
        <v>749</v>
      </c>
      <c r="B61" s="13">
        <v>1616</v>
      </c>
      <c r="C61" s="14" t="str">
        <f>+VLOOKUP(B61,[1]LISTE!$A$1:$D$431,4,FALSE)</f>
        <v>MOUSSA FETHI</v>
      </c>
      <c r="D61" s="15" t="s">
        <v>180</v>
      </c>
      <c r="E61" s="15">
        <v>45701</v>
      </c>
      <c r="F61" s="14" t="s">
        <v>20</v>
      </c>
      <c r="G61" s="16">
        <v>10.11</v>
      </c>
    </row>
    <row r="62" spans="1:7" x14ac:dyDescent="0.25">
      <c r="A62" s="13" t="s">
        <v>749</v>
      </c>
      <c r="B62" s="13">
        <v>1616</v>
      </c>
      <c r="C62" s="14" t="str">
        <f>+VLOOKUP(B62,[1]LISTE!$A$1:$D$431,4,FALSE)</f>
        <v>MOUSSA FETHI</v>
      </c>
      <c r="D62" s="14" t="s">
        <v>180</v>
      </c>
      <c r="E62" s="15">
        <v>45700</v>
      </c>
      <c r="F62" s="14" t="s">
        <v>21</v>
      </c>
      <c r="G62" s="16">
        <v>401</v>
      </c>
    </row>
    <row r="63" spans="1:7" x14ac:dyDescent="0.25">
      <c r="A63" s="13" t="s">
        <v>749</v>
      </c>
      <c r="B63" s="13">
        <v>1616</v>
      </c>
      <c r="C63" s="14" t="str">
        <f>+VLOOKUP(B63,[1]LISTE!$A$1:$D$431,4,FALSE)</f>
        <v>MOUSSA FETHI</v>
      </c>
      <c r="D63" s="14" t="s">
        <v>180</v>
      </c>
      <c r="E63" s="15">
        <v>45701</v>
      </c>
      <c r="F63" s="14" t="s">
        <v>364</v>
      </c>
      <c r="G63" s="16">
        <v>1488.8340000000001</v>
      </c>
    </row>
    <row r="64" spans="1:7" x14ac:dyDescent="0.25">
      <c r="A64" s="13" t="s">
        <v>658</v>
      </c>
      <c r="B64" s="13">
        <v>1650</v>
      </c>
      <c r="C64" s="14" t="str">
        <f>+VLOOKUP(B64,[1]LISTE!$A$1:$D$431,4,FALSE)</f>
        <v>OUAJA RAOUF</v>
      </c>
      <c r="D64" s="15" t="s">
        <v>455</v>
      </c>
      <c r="E64" s="15">
        <v>45698</v>
      </c>
      <c r="F64" s="14" t="s">
        <v>23</v>
      </c>
      <c r="G64" s="16">
        <v>45</v>
      </c>
    </row>
    <row r="65" spans="1:7" x14ac:dyDescent="0.25">
      <c r="A65" s="13" t="s">
        <v>658</v>
      </c>
      <c r="B65" s="13">
        <v>1650</v>
      </c>
      <c r="C65" s="14" t="str">
        <f>+VLOOKUP(B65,[1]LISTE!$A$1:$D$431,4,FALSE)</f>
        <v>OUAJA RAOUF</v>
      </c>
      <c r="D65" s="15" t="s">
        <v>455</v>
      </c>
      <c r="E65" s="15">
        <v>45698</v>
      </c>
      <c r="F65" s="14" t="s">
        <v>20</v>
      </c>
      <c r="G65" s="16">
        <v>62.067999999999998</v>
      </c>
    </row>
    <row r="66" spans="1:7" x14ac:dyDescent="0.25">
      <c r="A66" s="13" t="s">
        <v>659</v>
      </c>
      <c r="B66" s="13">
        <v>1650</v>
      </c>
      <c r="C66" s="14" t="str">
        <f>+VLOOKUP(B66,[1]LISTE!$A$1:$D$431,4,FALSE)</f>
        <v>OUAJA RAOUF</v>
      </c>
      <c r="D66" s="15" t="s">
        <v>296</v>
      </c>
      <c r="E66" s="15">
        <v>45692</v>
      </c>
      <c r="F66" s="14" t="s">
        <v>23</v>
      </c>
      <c r="G66" s="16">
        <v>45</v>
      </c>
    </row>
    <row r="67" spans="1:7" x14ac:dyDescent="0.25">
      <c r="A67" s="13" t="s">
        <v>659</v>
      </c>
      <c r="B67" s="13">
        <v>1650</v>
      </c>
      <c r="C67" s="14" t="str">
        <f>+VLOOKUP(B67,[1]LISTE!$A$1:$D$431,4,FALSE)</f>
        <v>OUAJA RAOUF</v>
      </c>
      <c r="D67" s="14" t="s">
        <v>296</v>
      </c>
      <c r="E67" s="15">
        <v>45692</v>
      </c>
      <c r="F67" s="14" t="s">
        <v>20</v>
      </c>
      <c r="G67" s="16">
        <v>65.965999999999994</v>
      </c>
    </row>
    <row r="68" spans="1:7" x14ac:dyDescent="0.25">
      <c r="A68" s="13" t="s">
        <v>660</v>
      </c>
      <c r="B68" s="13">
        <v>1650</v>
      </c>
      <c r="C68" s="14" t="str">
        <f>+VLOOKUP(B68,[1]LISTE!$A$1:$D$431,4,FALSE)</f>
        <v>OUAJA RAOUF</v>
      </c>
      <c r="D68" s="14" t="s">
        <v>22</v>
      </c>
      <c r="E68" s="15">
        <v>45701</v>
      </c>
      <c r="F68" s="14" t="s">
        <v>23</v>
      </c>
      <c r="G68" s="16">
        <v>45</v>
      </c>
    </row>
    <row r="69" spans="1:7" x14ac:dyDescent="0.25">
      <c r="A69" s="13" t="s">
        <v>660</v>
      </c>
      <c r="B69" s="13">
        <v>1650</v>
      </c>
      <c r="C69" s="14" t="str">
        <f>+VLOOKUP(B69,[1]LISTE!$A$1:$D$431,4,FALSE)</f>
        <v>OUAJA RAOUF</v>
      </c>
      <c r="D69" s="14" t="s">
        <v>22</v>
      </c>
      <c r="E69" s="15">
        <v>45701</v>
      </c>
      <c r="F69" s="14" t="s">
        <v>20</v>
      </c>
      <c r="G69" s="16">
        <v>49.401000000000003</v>
      </c>
    </row>
    <row r="70" spans="1:7" x14ac:dyDescent="0.25">
      <c r="A70" s="13" t="s">
        <v>680</v>
      </c>
      <c r="B70" s="13">
        <v>1662</v>
      </c>
      <c r="C70" s="14" t="str">
        <f>+VLOOKUP(B70,[1]LISTE!$A$1:$D$431,4,FALSE)</f>
        <v>BEN SAAD ZIED</v>
      </c>
      <c r="D70" s="14" t="s">
        <v>681</v>
      </c>
      <c r="E70" s="15">
        <v>45689</v>
      </c>
      <c r="F70" s="14" t="s">
        <v>18</v>
      </c>
      <c r="G70" s="16">
        <v>70</v>
      </c>
    </row>
    <row r="71" spans="1:7" x14ac:dyDescent="0.25">
      <c r="A71" s="13" t="s">
        <v>680</v>
      </c>
      <c r="B71" s="13">
        <v>1662</v>
      </c>
      <c r="C71" s="14" t="str">
        <f>+VLOOKUP(B71,[1]LISTE!$A$1:$D$431,4,FALSE)</f>
        <v>BEN SAAD ZIED</v>
      </c>
      <c r="D71" s="15" t="s">
        <v>681</v>
      </c>
      <c r="E71" s="15">
        <v>45689</v>
      </c>
      <c r="F71" s="14" t="s">
        <v>20</v>
      </c>
      <c r="G71" s="16">
        <v>15.481999999999999</v>
      </c>
    </row>
    <row r="72" spans="1:7" x14ac:dyDescent="0.25">
      <c r="A72" s="13" t="s">
        <v>680</v>
      </c>
      <c r="B72" s="13">
        <v>1662</v>
      </c>
      <c r="C72" s="14" t="str">
        <f>+VLOOKUP(B72,[1]LISTE!$A$1:$D$431,4,FALSE)</f>
        <v>BEN SAAD ZIED</v>
      </c>
      <c r="D72" s="14" t="s">
        <v>681</v>
      </c>
      <c r="E72" s="15">
        <v>45696</v>
      </c>
      <c r="F72" s="14" t="s">
        <v>21</v>
      </c>
      <c r="G72" s="16">
        <v>90</v>
      </c>
    </row>
    <row r="73" spans="1:7" x14ac:dyDescent="0.25">
      <c r="A73" s="13" t="s">
        <v>685</v>
      </c>
      <c r="B73" s="13">
        <v>1671</v>
      </c>
      <c r="C73" s="14" t="str">
        <f>+VLOOKUP(B73,[1]LISTE!$A$1:$D$431,4,FALSE)</f>
        <v>EL BACH ADEL</v>
      </c>
      <c r="D73" s="14" t="s">
        <v>151</v>
      </c>
      <c r="E73" s="15">
        <v>45687</v>
      </c>
      <c r="F73" s="14" t="s">
        <v>23</v>
      </c>
      <c r="G73" s="16">
        <v>40</v>
      </c>
    </row>
    <row r="74" spans="1:7" x14ac:dyDescent="0.25">
      <c r="A74" s="13" t="s">
        <v>685</v>
      </c>
      <c r="B74" s="13">
        <v>1671</v>
      </c>
      <c r="C74" s="14" t="str">
        <f>+VLOOKUP(B74,[1]LISTE!$A$1:$D$431,4,FALSE)</f>
        <v>EL BACH ADEL</v>
      </c>
      <c r="D74" s="14" t="s">
        <v>151</v>
      </c>
      <c r="E74" s="15">
        <v>45687</v>
      </c>
      <c r="F74" s="14" t="s">
        <v>20</v>
      </c>
      <c r="G74" s="16">
        <v>71.58</v>
      </c>
    </row>
    <row r="75" spans="1:7" x14ac:dyDescent="0.25">
      <c r="A75" s="13" t="s">
        <v>686</v>
      </c>
      <c r="B75" s="13">
        <v>1671</v>
      </c>
      <c r="C75" s="14" t="str">
        <f>+VLOOKUP(B75,[1]LISTE!$A$1:$D$431,4,FALSE)</f>
        <v>EL BACH ADEL</v>
      </c>
      <c r="D75" s="14" t="s">
        <v>687</v>
      </c>
      <c r="E75" s="15">
        <v>45691</v>
      </c>
      <c r="F75" s="14" t="s">
        <v>23</v>
      </c>
      <c r="G75" s="16">
        <v>40</v>
      </c>
    </row>
    <row r="76" spans="1:7" x14ac:dyDescent="0.25">
      <c r="A76" s="13" t="s">
        <v>686</v>
      </c>
      <c r="B76" s="13">
        <v>1671</v>
      </c>
      <c r="C76" s="14" t="str">
        <f>+VLOOKUP(B76,[1]LISTE!$A$1:$D$431,4,FALSE)</f>
        <v>EL BACH ADEL</v>
      </c>
      <c r="D76" s="14" t="s">
        <v>687</v>
      </c>
      <c r="E76" s="15">
        <v>45691</v>
      </c>
      <c r="F76" s="14" t="s">
        <v>20</v>
      </c>
      <c r="G76" s="16">
        <v>75.86</v>
      </c>
    </row>
    <row r="77" spans="1:7" x14ac:dyDescent="0.25">
      <c r="A77" s="13" t="s">
        <v>732</v>
      </c>
      <c r="B77" s="13">
        <v>1671</v>
      </c>
      <c r="C77" s="14" t="str">
        <f>+VLOOKUP(B77,[1]LISTE!$A$1:$D$431,4,FALSE)</f>
        <v>EL BACH ADEL</v>
      </c>
      <c r="D77" s="14" t="s">
        <v>22</v>
      </c>
      <c r="E77" s="15">
        <v>45699</v>
      </c>
      <c r="F77" s="14" t="s">
        <v>23</v>
      </c>
      <c r="G77" s="16">
        <v>40</v>
      </c>
    </row>
    <row r="78" spans="1:7" x14ac:dyDescent="0.25">
      <c r="A78" s="13" t="s">
        <v>732</v>
      </c>
      <c r="B78" s="13">
        <v>1671</v>
      </c>
      <c r="C78" s="14" t="str">
        <f>+VLOOKUP(B78,[1]LISTE!$A$1:$D$431,4,FALSE)</f>
        <v>EL BACH ADEL</v>
      </c>
      <c r="D78" s="14" t="s">
        <v>22</v>
      </c>
      <c r="E78" s="15">
        <v>45699</v>
      </c>
      <c r="F78" s="14" t="s">
        <v>20</v>
      </c>
      <c r="G78" s="16">
        <v>72.400000000000006</v>
      </c>
    </row>
    <row r="79" spans="1:7" x14ac:dyDescent="0.25">
      <c r="A79" s="13" t="s">
        <v>675</v>
      </c>
      <c r="B79" s="13">
        <v>1677</v>
      </c>
      <c r="C79" s="14" t="str">
        <f>+VLOOKUP(B79,[1]LISTE!$A$1:$D$431,4,FALSE)</f>
        <v>HADJ AMMAR BRAHIM</v>
      </c>
      <c r="D79" s="14" t="s">
        <v>22</v>
      </c>
      <c r="E79" s="15">
        <v>45703</v>
      </c>
      <c r="F79" s="14" t="s">
        <v>18</v>
      </c>
      <c r="G79" s="16">
        <v>70</v>
      </c>
    </row>
    <row r="80" spans="1:7" x14ac:dyDescent="0.25">
      <c r="A80" s="13" t="s">
        <v>675</v>
      </c>
      <c r="B80" s="13">
        <v>1677</v>
      </c>
      <c r="C80" s="14" t="str">
        <f>+VLOOKUP(B80,[1]LISTE!$A$1:$D$431,4,FALSE)</f>
        <v>HADJ AMMAR BRAHIM</v>
      </c>
      <c r="D80" s="14" t="s">
        <v>22</v>
      </c>
      <c r="E80" s="15">
        <v>45703</v>
      </c>
      <c r="F80" s="14" t="s">
        <v>20</v>
      </c>
      <c r="G80" s="16">
        <v>50.087000000000003</v>
      </c>
    </row>
    <row r="81" spans="1:7" x14ac:dyDescent="0.25">
      <c r="A81" s="13" t="s">
        <v>675</v>
      </c>
      <c r="B81" s="13">
        <v>1677</v>
      </c>
      <c r="C81" s="14" t="str">
        <f>+VLOOKUP(B81,[1]LISTE!$A$1:$D$431,4,FALSE)</f>
        <v>HADJ AMMAR BRAHIM</v>
      </c>
      <c r="D81" s="15" t="s">
        <v>22</v>
      </c>
      <c r="E81" s="15">
        <v>45703</v>
      </c>
      <c r="F81" s="14" t="s">
        <v>21</v>
      </c>
      <c r="G81" s="16">
        <v>160</v>
      </c>
    </row>
    <row r="82" spans="1:7" x14ac:dyDescent="0.25">
      <c r="A82" s="13" t="s">
        <v>676</v>
      </c>
      <c r="B82" s="13">
        <v>1677</v>
      </c>
      <c r="C82" s="14" t="str">
        <f>+VLOOKUP(B82,[1]LISTE!$A$1:$D$431,4,FALSE)</f>
        <v>HADJ AMMAR BRAHIM</v>
      </c>
      <c r="D82" s="15" t="s">
        <v>677</v>
      </c>
      <c r="E82" s="15">
        <v>45704</v>
      </c>
      <c r="F82" s="14" t="s">
        <v>20</v>
      </c>
      <c r="G82" s="16">
        <v>23.855</v>
      </c>
    </row>
    <row r="83" spans="1:7" x14ac:dyDescent="0.25">
      <c r="A83" s="13" t="s">
        <v>609</v>
      </c>
      <c r="B83" s="13">
        <v>1687</v>
      </c>
      <c r="C83" s="14" t="str">
        <f>+VLOOKUP(B83,[1]LISTE!$A$1:$D$431,4,FALSE)</f>
        <v>LACHHAB SAHBI</v>
      </c>
      <c r="D83" s="14" t="s">
        <v>486</v>
      </c>
      <c r="E83" s="15">
        <v>45700</v>
      </c>
      <c r="F83" s="14" t="s">
        <v>23</v>
      </c>
      <c r="G83" s="16">
        <v>30</v>
      </c>
    </row>
    <row r="84" spans="1:7" x14ac:dyDescent="0.25">
      <c r="A84" s="13" t="s">
        <v>609</v>
      </c>
      <c r="B84" s="13">
        <v>1687</v>
      </c>
      <c r="C84" s="14" t="str">
        <f>+VLOOKUP(B84,[1]LISTE!$A$1:$D$431,4,FALSE)</f>
        <v>LACHHAB SAHBI</v>
      </c>
      <c r="D84" s="14" t="s">
        <v>486</v>
      </c>
      <c r="E84" s="15">
        <v>45700</v>
      </c>
      <c r="F84" s="14" t="s">
        <v>20</v>
      </c>
      <c r="G84" s="16">
        <v>144.73500000000001</v>
      </c>
    </row>
    <row r="85" spans="1:7" x14ac:dyDescent="0.25">
      <c r="A85" s="13" t="s">
        <v>621</v>
      </c>
      <c r="B85" s="13">
        <v>1689</v>
      </c>
      <c r="C85" s="14" t="str">
        <f>+VLOOKUP(B85,[1]LISTE!$A$1:$D$431,4,FALSE)</f>
        <v>GRAA SKANDER</v>
      </c>
      <c r="D85" s="14" t="s">
        <v>622</v>
      </c>
      <c r="E85" s="15">
        <v>45696</v>
      </c>
      <c r="F85" s="14" t="s">
        <v>23</v>
      </c>
      <c r="G85" s="16">
        <v>40</v>
      </c>
    </row>
    <row r="86" spans="1:7" x14ac:dyDescent="0.25">
      <c r="A86" s="13" t="s">
        <v>621</v>
      </c>
      <c r="B86" s="13">
        <v>1689</v>
      </c>
      <c r="C86" s="14" t="str">
        <f>+VLOOKUP(B86,[1]LISTE!$A$1:$D$431,4,FALSE)</f>
        <v>GRAA SKANDER</v>
      </c>
      <c r="D86" s="14" t="s">
        <v>622</v>
      </c>
      <c r="E86" s="15">
        <v>45696</v>
      </c>
      <c r="F86" s="14" t="s">
        <v>20</v>
      </c>
      <c r="G86" s="16">
        <v>25.609000000000002</v>
      </c>
    </row>
    <row r="87" spans="1:7" x14ac:dyDescent="0.25">
      <c r="A87" s="13" t="s">
        <v>735</v>
      </c>
      <c r="B87" s="13">
        <v>1694</v>
      </c>
      <c r="C87" s="14" t="str">
        <f>+VLOOKUP(B87,[1]LISTE!$A$1:$D$431,4,FALSE)</f>
        <v>ZRELLI KHALED</v>
      </c>
      <c r="D87" s="15" t="s">
        <v>736</v>
      </c>
      <c r="E87" s="15">
        <v>45673</v>
      </c>
      <c r="F87" s="14" t="s">
        <v>18</v>
      </c>
      <c r="G87" s="16">
        <v>70</v>
      </c>
    </row>
    <row r="88" spans="1:7" x14ac:dyDescent="0.25">
      <c r="A88" s="13" t="s">
        <v>735</v>
      </c>
      <c r="B88" s="13">
        <v>1694</v>
      </c>
      <c r="C88" s="14" t="str">
        <f>+VLOOKUP(B88,[1]LISTE!$A$1:$D$431,4,FALSE)</f>
        <v>ZRELLI KHALED</v>
      </c>
      <c r="D88" s="15" t="s">
        <v>736</v>
      </c>
      <c r="E88" s="15">
        <v>45704</v>
      </c>
      <c r="F88" s="14" t="s">
        <v>69</v>
      </c>
      <c r="G88" s="16">
        <v>350</v>
      </c>
    </row>
    <row r="89" spans="1:7" x14ac:dyDescent="0.25">
      <c r="A89" s="13" t="s">
        <v>629</v>
      </c>
      <c r="B89" s="13">
        <v>1716</v>
      </c>
      <c r="C89" s="14" t="s">
        <v>219</v>
      </c>
      <c r="D89" s="15" t="s">
        <v>44</v>
      </c>
      <c r="E89" s="15">
        <v>45685</v>
      </c>
      <c r="F89" s="14" t="s">
        <v>19</v>
      </c>
      <c r="G89" s="16">
        <v>43.8</v>
      </c>
    </row>
    <row r="90" spans="1:7" x14ac:dyDescent="0.25">
      <c r="A90" s="13" t="s">
        <v>759</v>
      </c>
      <c r="B90" s="13">
        <v>1733</v>
      </c>
      <c r="C90" s="14" t="str">
        <f>+VLOOKUP(B90,[1]LISTE!$A$1:$D$431,4,FALSE)</f>
        <v>BEN ABDELJELIL MED RIDHA</v>
      </c>
      <c r="D90" s="14" t="s">
        <v>760</v>
      </c>
      <c r="E90" s="15">
        <v>45707</v>
      </c>
      <c r="F90" s="14" t="s">
        <v>18</v>
      </c>
      <c r="G90" s="16">
        <v>70</v>
      </c>
    </row>
    <row r="91" spans="1:7" x14ac:dyDescent="0.25">
      <c r="A91" s="13" t="s">
        <v>759</v>
      </c>
      <c r="B91" s="13">
        <v>1733</v>
      </c>
      <c r="C91" s="14" t="str">
        <f>+VLOOKUP(B91,[1]LISTE!$A$1:$D$431,4,FALSE)</f>
        <v>BEN ABDELJELIL MED RIDHA</v>
      </c>
      <c r="D91" s="15" t="s">
        <v>760</v>
      </c>
      <c r="E91" s="15">
        <v>45707</v>
      </c>
      <c r="F91" s="14" t="s">
        <v>19</v>
      </c>
      <c r="G91" s="16">
        <v>23.9</v>
      </c>
    </row>
    <row r="92" spans="1:7" x14ac:dyDescent="0.25">
      <c r="A92" s="13" t="s">
        <v>759</v>
      </c>
      <c r="B92" s="13">
        <v>1733</v>
      </c>
      <c r="C92" s="14" t="str">
        <f>+VLOOKUP(B92,[1]LISTE!$A$1:$D$431,4,FALSE)</f>
        <v>BEN ABDELJELIL MED RIDHA</v>
      </c>
      <c r="D92" s="15" t="s">
        <v>760</v>
      </c>
      <c r="E92" s="15">
        <v>45707</v>
      </c>
      <c r="F92" s="14" t="s">
        <v>20</v>
      </c>
      <c r="G92" s="16">
        <v>19.437999999999999</v>
      </c>
    </row>
    <row r="93" spans="1:7" x14ac:dyDescent="0.25">
      <c r="A93" s="13" t="s">
        <v>626</v>
      </c>
      <c r="B93" s="13">
        <v>1738</v>
      </c>
      <c r="C93" s="14" t="str">
        <f>+VLOOKUP(B93,[1]LISTE!$A$1:$D$431,4,FALSE)</f>
        <v>GAMHA KHALED</v>
      </c>
      <c r="D93" s="14" t="s">
        <v>311</v>
      </c>
      <c r="E93" s="15">
        <v>45693</v>
      </c>
      <c r="F93" s="14" t="s">
        <v>23</v>
      </c>
      <c r="G93" s="16">
        <v>30</v>
      </c>
    </row>
    <row r="94" spans="1:7" x14ac:dyDescent="0.25">
      <c r="A94" s="13" t="s">
        <v>626</v>
      </c>
      <c r="B94" s="13">
        <v>1738</v>
      </c>
      <c r="C94" s="14" t="str">
        <f>+VLOOKUP(B94,[1]LISTE!$A$1:$D$431,4,FALSE)</f>
        <v>GAMHA KHALED</v>
      </c>
      <c r="D94" s="15" t="s">
        <v>311</v>
      </c>
      <c r="E94" s="15">
        <v>45693</v>
      </c>
      <c r="F94" s="14" t="s">
        <v>20</v>
      </c>
      <c r="G94" s="16">
        <v>39.5</v>
      </c>
    </row>
    <row r="95" spans="1:7" x14ac:dyDescent="0.25">
      <c r="A95" s="13" t="s">
        <v>626</v>
      </c>
      <c r="B95" s="13">
        <v>1738</v>
      </c>
      <c r="C95" s="14" t="str">
        <f>+VLOOKUP(B95,[1]LISTE!$A$1:$D$431,4,FALSE)</f>
        <v>GAMHA KHALED</v>
      </c>
      <c r="D95" s="15" t="s">
        <v>311</v>
      </c>
      <c r="E95" s="15">
        <v>45696</v>
      </c>
      <c r="F95" s="14" t="s">
        <v>69</v>
      </c>
      <c r="G95" s="16">
        <v>340</v>
      </c>
    </row>
    <row r="96" spans="1:7" x14ac:dyDescent="0.25">
      <c r="A96" s="13" t="s">
        <v>627</v>
      </c>
      <c r="B96" s="13">
        <v>1738</v>
      </c>
      <c r="C96" s="14" t="str">
        <f>+VLOOKUP(B96,[1]LISTE!$A$1:$D$431,4,FALSE)</f>
        <v>GAMHA KHALED</v>
      </c>
      <c r="D96" s="15" t="s">
        <v>475</v>
      </c>
      <c r="E96" s="15">
        <v>45692</v>
      </c>
      <c r="F96" s="14" t="s">
        <v>23</v>
      </c>
      <c r="G96" s="16">
        <v>30</v>
      </c>
    </row>
    <row r="97" spans="1:7" x14ac:dyDescent="0.25">
      <c r="A97" s="13" t="s">
        <v>627</v>
      </c>
      <c r="B97" s="13">
        <v>1738</v>
      </c>
      <c r="C97" s="14" t="str">
        <f>+VLOOKUP(B97,[1]LISTE!$A$1:$D$431,4,FALSE)</f>
        <v>GAMHA KHALED</v>
      </c>
      <c r="D97" s="15" t="s">
        <v>475</v>
      </c>
      <c r="E97" s="15">
        <v>45696</v>
      </c>
      <c r="F97" s="14" t="s">
        <v>20</v>
      </c>
      <c r="G97" s="16">
        <v>320</v>
      </c>
    </row>
    <row r="98" spans="1:7" x14ac:dyDescent="0.25">
      <c r="A98" s="13" t="s">
        <v>741</v>
      </c>
      <c r="B98" s="13">
        <v>1741</v>
      </c>
      <c r="C98" s="14" t="str">
        <f>+VLOOKUP(B98,[1]LISTE!$A$1:$D$431,4,FALSE)</f>
        <v>HACHICHA ZIED</v>
      </c>
      <c r="D98" s="14" t="s">
        <v>742</v>
      </c>
      <c r="E98" s="15">
        <v>45707</v>
      </c>
      <c r="F98" s="14" t="s">
        <v>18</v>
      </c>
      <c r="G98" s="16">
        <v>60</v>
      </c>
    </row>
    <row r="99" spans="1:7" x14ac:dyDescent="0.25">
      <c r="A99" s="13" t="s">
        <v>741</v>
      </c>
      <c r="B99" s="13">
        <v>1741</v>
      </c>
      <c r="C99" s="14" t="str">
        <f>+VLOOKUP(B99,[1]LISTE!$A$1:$D$431,4,FALSE)</f>
        <v>HACHICHA ZIED</v>
      </c>
      <c r="D99" s="14" t="s">
        <v>742</v>
      </c>
      <c r="E99" s="15">
        <v>45707</v>
      </c>
      <c r="F99" s="14" t="s">
        <v>20</v>
      </c>
      <c r="G99" s="16">
        <v>56.14</v>
      </c>
    </row>
    <row r="100" spans="1:7" x14ac:dyDescent="0.25">
      <c r="A100" s="13" t="s">
        <v>741</v>
      </c>
      <c r="B100" s="13">
        <v>1741</v>
      </c>
      <c r="C100" s="14" t="str">
        <f>+VLOOKUP(B100,[1]LISTE!$A$1:$D$431,4,FALSE)</f>
        <v>HACHICHA ZIED</v>
      </c>
      <c r="D100" s="15" t="s">
        <v>742</v>
      </c>
      <c r="E100" s="15">
        <v>45708</v>
      </c>
      <c r="F100" s="14" t="s">
        <v>21</v>
      </c>
      <c r="G100" s="16">
        <v>80</v>
      </c>
    </row>
    <row r="101" spans="1:7" x14ac:dyDescent="0.25">
      <c r="A101" s="13" t="s">
        <v>673</v>
      </c>
      <c r="B101" s="13">
        <v>1752</v>
      </c>
      <c r="C101" s="14" t="str">
        <f>+VLOOKUP(B101,[1]LISTE!$A$1:$D$431,4,FALSE)</f>
        <v>HEDHILI MUSTAPHA</v>
      </c>
      <c r="D101" s="14" t="s">
        <v>128</v>
      </c>
      <c r="E101" s="15">
        <v>45694</v>
      </c>
      <c r="F101" s="14" t="s">
        <v>18</v>
      </c>
      <c r="G101" s="16">
        <v>70</v>
      </c>
    </row>
    <row r="102" spans="1:7" x14ac:dyDescent="0.25">
      <c r="A102" s="13" t="s">
        <v>673</v>
      </c>
      <c r="B102" s="13">
        <v>1752</v>
      </c>
      <c r="C102" s="14" t="str">
        <f>+VLOOKUP(B102,[1]LISTE!$A$1:$D$431,4,FALSE)</f>
        <v>HEDHILI MUSTAPHA</v>
      </c>
      <c r="D102" s="14" t="s">
        <v>128</v>
      </c>
      <c r="E102" s="15">
        <v>45704</v>
      </c>
      <c r="F102" s="14" t="s">
        <v>69</v>
      </c>
      <c r="G102" s="16">
        <v>340</v>
      </c>
    </row>
    <row r="103" spans="1:7" x14ac:dyDescent="0.25">
      <c r="A103" s="13" t="s">
        <v>702</v>
      </c>
      <c r="B103" s="13">
        <v>1755</v>
      </c>
      <c r="C103" s="14" t="str">
        <f>+VLOOKUP(B103,[1]LISTE!$A$1:$D$431,4,FALSE)</f>
        <v>REJEB NEJIB</v>
      </c>
      <c r="D103" s="15" t="s">
        <v>703</v>
      </c>
      <c r="E103" s="15">
        <v>45698</v>
      </c>
      <c r="F103" s="14" t="s">
        <v>18</v>
      </c>
      <c r="G103" s="16">
        <v>60</v>
      </c>
    </row>
    <row r="104" spans="1:7" x14ac:dyDescent="0.25">
      <c r="A104" s="13" t="s">
        <v>702</v>
      </c>
      <c r="B104" s="13">
        <v>1755</v>
      </c>
      <c r="C104" s="14" t="str">
        <f>+VLOOKUP(B104,[1]LISTE!$A$1:$D$431,4,FALSE)</f>
        <v>REJEB NEJIB</v>
      </c>
      <c r="D104" s="14" t="s">
        <v>703</v>
      </c>
      <c r="E104" s="15">
        <v>45698</v>
      </c>
      <c r="F104" s="14" t="s">
        <v>20</v>
      </c>
      <c r="G104" s="16">
        <v>113.355</v>
      </c>
    </row>
    <row r="105" spans="1:7" x14ac:dyDescent="0.25">
      <c r="A105" s="13" t="s">
        <v>704</v>
      </c>
      <c r="B105" s="13">
        <v>1755</v>
      </c>
      <c r="C105" s="14" t="str">
        <f>+VLOOKUP(B105,[1]LISTE!$A$1:$D$431,4,FALSE)</f>
        <v>REJEB NEJIB</v>
      </c>
      <c r="D105" s="14" t="s">
        <v>245</v>
      </c>
      <c r="E105" s="15">
        <v>45703</v>
      </c>
      <c r="F105" s="14" t="s">
        <v>18</v>
      </c>
      <c r="G105" s="16">
        <v>60</v>
      </c>
    </row>
    <row r="106" spans="1:7" x14ac:dyDescent="0.25">
      <c r="A106" s="13" t="s">
        <v>704</v>
      </c>
      <c r="B106" s="13">
        <v>1755</v>
      </c>
      <c r="C106" s="14" t="str">
        <f>+VLOOKUP(B106,[1]LISTE!$A$1:$D$431,4,FALSE)</f>
        <v>REJEB NEJIB</v>
      </c>
      <c r="D106" s="14" t="s">
        <v>245</v>
      </c>
      <c r="E106" s="15">
        <v>45703</v>
      </c>
      <c r="F106" s="14" t="s">
        <v>20</v>
      </c>
      <c r="G106" s="16">
        <v>65.8</v>
      </c>
    </row>
    <row r="107" spans="1:7" x14ac:dyDescent="0.25">
      <c r="A107" s="13" t="s">
        <v>610</v>
      </c>
      <c r="B107" s="13">
        <v>1756</v>
      </c>
      <c r="C107" s="14" t="str">
        <f>+VLOOKUP(B107,[1]LISTE!$A$1:$D$431,4,FALSE)</f>
        <v>SOUA FOUED</v>
      </c>
      <c r="D107" s="14" t="s">
        <v>22</v>
      </c>
      <c r="E107" s="15">
        <v>45698</v>
      </c>
      <c r="F107" s="14" t="s">
        <v>20</v>
      </c>
      <c r="G107" s="16">
        <v>302.8202</v>
      </c>
    </row>
    <row r="108" spans="1:7" x14ac:dyDescent="0.25">
      <c r="A108" s="13" t="s">
        <v>655</v>
      </c>
      <c r="B108" s="13">
        <v>1761</v>
      </c>
      <c r="C108" s="14" t="str">
        <f>+VLOOKUP(B108,[1]LISTE!$A$1:$D$431,4,FALSE)</f>
        <v>BEN SALEM KHELIL</v>
      </c>
      <c r="D108" s="15" t="s">
        <v>656</v>
      </c>
      <c r="E108" s="15">
        <v>45701</v>
      </c>
      <c r="F108" s="14" t="s">
        <v>23</v>
      </c>
      <c r="G108" s="16">
        <v>1.5</v>
      </c>
    </row>
    <row r="109" spans="1:7" x14ac:dyDescent="0.25">
      <c r="A109" s="13" t="s">
        <v>655</v>
      </c>
      <c r="B109" s="13">
        <v>1761</v>
      </c>
      <c r="C109" s="14" t="str">
        <f>+VLOOKUP(B109,[1]LISTE!$A$1:$D$431,4,FALSE)</f>
        <v>BEN SALEM KHELIL</v>
      </c>
      <c r="D109" s="15" t="s">
        <v>656</v>
      </c>
      <c r="E109" s="15">
        <v>45701</v>
      </c>
      <c r="F109" s="14" t="s">
        <v>20</v>
      </c>
      <c r="G109" s="16">
        <v>68.004999999999995</v>
      </c>
    </row>
    <row r="110" spans="1:7" x14ac:dyDescent="0.25">
      <c r="A110" s="13" t="s">
        <v>657</v>
      </c>
      <c r="B110" s="13">
        <v>1761</v>
      </c>
      <c r="C110" s="14" t="str">
        <f>+VLOOKUP(B110,[1]LISTE!$A$1:$D$431,4,FALSE)</f>
        <v>BEN SALEM KHELIL</v>
      </c>
      <c r="D110" s="15" t="s">
        <v>253</v>
      </c>
      <c r="E110" s="15">
        <v>45698</v>
      </c>
      <c r="F110" s="14" t="s">
        <v>23</v>
      </c>
      <c r="G110" s="16">
        <v>50</v>
      </c>
    </row>
    <row r="111" spans="1:7" x14ac:dyDescent="0.25">
      <c r="A111" s="13" t="s">
        <v>657</v>
      </c>
      <c r="B111" s="13">
        <v>1761</v>
      </c>
      <c r="C111" s="14" t="str">
        <f>+VLOOKUP(B111,[1]LISTE!$A$1:$D$431,4,FALSE)</f>
        <v>BEN SALEM KHELIL</v>
      </c>
      <c r="D111" s="15" t="s">
        <v>253</v>
      </c>
      <c r="E111" s="15">
        <v>45698</v>
      </c>
      <c r="F111" s="14" t="s">
        <v>20</v>
      </c>
      <c r="G111" s="16">
        <v>27.32</v>
      </c>
    </row>
    <row r="112" spans="1:7" x14ac:dyDescent="0.25">
      <c r="A112" s="13" t="s">
        <v>700</v>
      </c>
      <c r="B112" s="13">
        <v>1761</v>
      </c>
      <c r="C112" s="14" t="str">
        <f>+VLOOKUP(B112,[1]LISTE!$A$1:$D$431,4,FALSE)</f>
        <v>BEN SALEM KHELIL</v>
      </c>
      <c r="D112" s="14" t="s">
        <v>214</v>
      </c>
      <c r="E112" s="15">
        <v>45701</v>
      </c>
      <c r="F112" s="14" t="s">
        <v>23</v>
      </c>
      <c r="G112" s="16">
        <v>1.5</v>
      </c>
    </row>
    <row r="113" spans="1:7" x14ac:dyDescent="0.25">
      <c r="A113" s="13" t="s">
        <v>700</v>
      </c>
      <c r="B113" s="13">
        <v>1761</v>
      </c>
      <c r="C113" s="14" t="str">
        <f>+VLOOKUP(B113,[1]LISTE!$A$1:$D$431,4,FALSE)</f>
        <v>BEN SALEM KHELIL</v>
      </c>
      <c r="D113" s="14" t="s">
        <v>214</v>
      </c>
      <c r="E113" s="15">
        <v>45701</v>
      </c>
      <c r="F113" s="14" t="s">
        <v>20</v>
      </c>
      <c r="G113" s="16">
        <v>40.664999999999999</v>
      </c>
    </row>
    <row r="114" spans="1:7" x14ac:dyDescent="0.25">
      <c r="A114" s="13" t="s">
        <v>672</v>
      </c>
      <c r="B114" s="13">
        <v>1765</v>
      </c>
      <c r="C114" s="14" t="str">
        <f>+VLOOKUP(B114,[1]LISTE!$A$1:$D$431,4,FALSE)</f>
        <v>DAHMANI SALAH</v>
      </c>
      <c r="D114" s="15" t="s">
        <v>22</v>
      </c>
      <c r="E114" s="15">
        <v>45703</v>
      </c>
      <c r="F114" s="14" t="s">
        <v>23</v>
      </c>
      <c r="G114" s="16">
        <v>45</v>
      </c>
    </row>
    <row r="115" spans="1:7" x14ac:dyDescent="0.25">
      <c r="A115" s="13" t="s">
        <v>672</v>
      </c>
      <c r="B115" s="13">
        <v>1765</v>
      </c>
      <c r="C115" s="14" t="str">
        <f>+VLOOKUP(B115,[1]LISTE!$A$1:$D$431,4,FALSE)</f>
        <v>DAHMANI SALAH</v>
      </c>
      <c r="D115" s="15" t="s">
        <v>22</v>
      </c>
      <c r="E115" s="15">
        <v>45703</v>
      </c>
      <c r="F115" s="14" t="s">
        <v>20</v>
      </c>
      <c r="G115" s="16">
        <v>78.923000000000002</v>
      </c>
    </row>
    <row r="116" spans="1:7" x14ac:dyDescent="0.25">
      <c r="A116" s="13" t="s">
        <v>705</v>
      </c>
      <c r="B116" s="13">
        <v>1765</v>
      </c>
      <c r="C116" s="14" t="str">
        <f>+VLOOKUP(B116,[1]LISTE!$A$1:$D$431,4,FALSE)</f>
        <v>DAHMANI SALAH</v>
      </c>
      <c r="D116" s="15" t="s">
        <v>582</v>
      </c>
      <c r="E116" s="15">
        <v>45705</v>
      </c>
      <c r="F116" s="14" t="s">
        <v>18</v>
      </c>
      <c r="G116" s="16">
        <v>70</v>
      </c>
    </row>
    <row r="117" spans="1:7" x14ac:dyDescent="0.25">
      <c r="A117" s="13" t="s">
        <v>705</v>
      </c>
      <c r="B117" s="13">
        <v>1765</v>
      </c>
      <c r="C117" s="14" t="str">
        <f>+VLOOKUP(B117,[1]LISTE!$A$1:$D$431,4,FALSE)</f>
        <v>DAHMANI SALAH</v>
      </c>
      <c r="D117" s="14" t="s">
        <v>582</v>
      </c>
      <c r="E117" s="15">
        <v>45705</v>
      </c>
      <c r="F117" s="14" t="s">
        <v>69</v>
      </c>
      <c r="G117" s="16">
        <v>320</v>
      </c>
    </row>
    <row r="118" spans="1:7" x14ac:dyDescent="0.25">
      <c r="A118" s="13" t="s">
        <v>678</v>
      </c>
      <c r="B118" s="13">
        <v>1768</v>
      </c>
      <c r="C118" s="14" t="str">
        <f>+VLOOKUP(B118,[1]LISTE!$A$1:$D$431,4,FALSE)</f>
        <v>LADJIMI MAHER</v>
      </c>
      <c r="D118" s="14" t="s">
        <v>206</v>
      </c>
      <c r="E118" s="15">
        <v>45700</v>
      </c>
      <c r="F118" s="14" t="s">
        <v>18</v>
      </c>
      <c r="G118" s="16">
        <v>80</v>
      </c>
    </row>
    <row r="119" spans="1:7" x14ac:dyDescent="0.25">
      <c r="A119" s="13" t="s">
        <v>678</v>
      </c>
      <c r="B119" s="13">
        <v>1768</v>
      </c>
      <c r="C119" s="14" t="str">
        <f>+VLOOKUP(B119,[1]LISTE!$A$1:$D$431,4,FALSE)</f>
        <v>LADJIMI MAHER</v>
      </c>
      <c r="D119" s="15" t="s">
        <v>206</v>
      </c>
      <c r="E119" s="15">
        <v>45700</v>
      </c>
      <c r="F119" s="14" t="s">
        <v>20</v>
      </c>
      <c r="G119" s="16">
        <v>89.022000000000006</v>
      </c>
    </row>
    <row r="120" spans="1:7" x14ac:dyDescent="0.25">
      <c r="A120" s="13" t="s">
        <v>727</v>
      </c>
      <c r="B120" s="13">
        <v>1773</v>
      </c>
      <c r="C120" s="14" t="str">
        <f>+VLOOKUP(B120,[1]LISTE!$A$1:$D$431,4,FALSE)</f>
        <v>GAIEB SAMI</v>
      </c>
      <c r="D120" s="14" t="s">
        <v>22</v>
      </c>
      <c r="E120" s="15">
        <v>45675</v>
      </c>
      <c r="F120" s="14" t="s">
        <v>18</v>
      </c>
      <c r="G120" s="16">
        <v>60</v>
      </c>
    </row>
    <row r="121" spans="1:7" x14ac:dyDescent="0.25">
      <c r="A121" s="13" t="s">
        <v>727</v>
      </c>
      <c r="B121" s="13">
        <v>1773</v>
      </c>
      <c r="C121" s="14" t="str">
        <f>+VLOOKUP(B121,[1]LISTE!$A$1:$D$431,4,FALSE)</f>
        <v>GAIEB SAMI</v>
      </c>
      <c r="D121" s="14" t="s">
        <v>22</v>
      </c>
      <c r="E121" s="15">
        <v>45675</v>
      </c>
      <c r="F121" s="14" t="s">
        <v>20</v>
      </c>
      <c r="G121" s="16">
        <v>7.0220000000000002</v>
      </c>
    </row>
    <row r="122" spans="1:7" x14ac:dyDescent="0.25">
      <c r="A122" s="13" t="s">
        <v>727</v>
      </c>
      <c r="B122" s="13">
        <v>1773</v>
      </c>
      <c r="C122" s="14" t="str">
        <f>+VLOOKUP(B122,[1]LISTE!$A$1:$D$431,4,FALSE)</f>
        <v>GAIEB SAMI</v>
      </c>
      <c r="D122" s="14" t="s">
        <v>22</v>
      </c>
      <c r="E122" s="15">
        <v>45679</v>
      </c>
      <c r="F122" s="14" t="s">
        <v>20</v>
      </c>
      <c r="G122" s="16">
        <v>84.947999999999993</v>
      </c>
    </row>
    <row r="123" spans="1:7" x14ac:dyDescent="0.25">
      <c r="A123" s="13" t="s">
        <v>728</v>
      </c>
      <c r="B123" s="13">
        <v>1773</v>
      </c>
      <c r="C123" s="14" t="str">
        <f>+VLOOKUP(B123,[1]LISTE!$A$1:$D$431,4,FALSE)</f>
        <v>GAIEB SAMI</v>
      </c>
      <c r="D123" s="15" t="s">
        <v>22</v>
      </c>
      <c r="E123" s="15">
        <v>45686</v>
      </c>
      <c r="F123" s="14" t="s">
        <v>18</v>
      </c>
      <c r="G123" s="16">
        <v>60</v>
      </c>
    </row>
    <row r="124" spans="1:7" x14ac:dyDescent="0.25">
      <c r="A124" s="13" t="s">
        <v>728</v>
      </c>
      <c r="B124" s="13">
        <v>1773</v>
      </c>
      <c r="C124" s="14" t="str">
        <f>+VLOOKUP(B124,[1]LISTE!$A$1:$D$431,4,FALSE)</f>
        <v>GAIEB SAMI</v>
      </c>
      <c r="D124" s="14" t="s">
        <v>22</v>
      </c>
      <c r="E124" s="15">
        <v>45686</v>
      </c>
      <c r="F124" s="14" t="s">
        <v>20</v>
      </c>
      <c r="G124" s="16">
        <v>4.2450000000000001</v>
      </c>
    </row>
    <row r="125" spans="1:7" x14ac:dyDescent="0.25">
      <c r="A125" s="13" t="s">
        <v>692</v>
      </c>
      <c r="B125" s="13">
        <v>1780</v>
      </c>
      <c r="C125" s="14" t="str">
        <f>+VLOOKUP(B125,[1]LISTE!$A$1:$D$431,4,FALSE)</f>
        <v>SASSI SAIFELLAH</v>
      </c>
      <c r="D125" s="15" t="s">
        <v>22</v>
      </c>
      <c r="E125" s="15">
        <v>45698</v>
      </c>
      <c r="F125" s="14" t="s">
        <v>18</v>
      </c>
      <c r="G125" s="16">
        <v>70</v>
      </c>
    </row>
    <row r="126" spans="1:7" x14ac:dyDescent="0.25">
      <c r="A126" s="13" t="s">
        <v>692</v>
      </c>
      <c r="B126" s="13">
        <v>1780</v>
      </c>
      <c r="C126" s="14" t="str">
        <f>+VLOOKUP(B126,[1]LISTE!$A$1:$D$431,4,FALSE)</f>
        <v>SASSI SAIFELLAH</v>
      </c>
      <c r="D126" s="15" t="s">
        <v>22</v>
      </c>
      <c r="E126" s="15">
        <v>45698</v>
      </c>
      <c r="F126" s="14" t="s">
        <v>20</v>
      </c>
      <c r="G126" s="16">
        <v>9.2360000000000007</v>
      </c>
    </row>
    <row r="127" spans="1:7" x14ac:dyDescent="0.25">
      <c r="A127" s="13" t="s">
        <v>692</v>
      </c>
      <c r="B127" s="13">
        <v>1780</v>
      </c>
      <c r="C127" s="14" t="str">
        <f>+VLOOKUP(B127,[1]LISTE!$A$1:$D$431,4,FALSE)</f>
        <v>SASSI SAIFELLAH</v>
      </c>
      <c r="D127" s="15" t="s">
        <v>22</v>
      </c>
      <c r="E127" s="15">
        <v>45698</v>
      </c>
      <c r="F127" s="14" t="s">
        <v>69</v>
      </c>
      <c r="G127" s="16">
        <v>420</v>
      </c>
    </row>
    <row r="128" spans="1:7" x14ac:dyDescent="0.25">
      <c r="A128" s="13" t="s">
        <v>624</v>
      </c>
      <c r="B128" s="13">
        <v>1785</v>
      </c>
      <c r="C128" s="14" t="s">
        <v>625</v>
      </c>
      <c r="D128" s="14" t="s">
        <v>22</v>
      </c>
      <c r="E128" s="15">
        <v>45691</v>
      </c>
      <c r="F128" s="14" t="s">
        <v>18</v>
      </c>
      <c r="G128" s="16">
        <v>70</v>
      </c>
    </row>
    <row r="129" spans="1:7" x14ac:dyDescent="0.25">
      <c r="A129" s="13" t="s">
        <v>624</v>
      </c>
      <c r="B129" s="13">
        <v>1785</v>
      </c>
      <c r="C129" s="14" t="s">
        <v>625</v>
      </c>
      <c r="D129" s="14" t="s">
        <v>22</v>
      </c>
      <c r="E129" s="15">
        <v>45691</v>
      </c>
      <c r="F129" s="14" t="s">
        <v>19</v>
      </c>
      <c r="G129" s="16">
        <v>105.074</v>
      </c>
    </row>
    <row r="130" spans="1:7" x14ac:dyDescent="0.25">
      <c r="A130" s="13" t="s">
        <v>624</v>
      </c>
      <c r="B130" s="13">
        <v>1785</v>
      </c>
      <c r="C130" s="14" t="s">
        <v>625</v>
      </c>
      <c r="D130" s="14" t="s">
        <v>22</v>
      </c>
      <c r="E130" s="15">
        <v>45695</v>
      </c>
      <c r="F130" s="14" t="s">
        <v>20</v>
      </c>
      <c r="G130" s="16">
        <v>139.69300000000001</v>
      </c>
    </row>
    <row r="131" spans="1:7" x14ac:dyDescent="0.25">
      <c r="A131" s="13" t="s">
        <v>611</v>
      </c>
      <c r="B131" s="13">
        <v>1789</v>
      </c>
      <c r="C131" s="14" t="str">
        <f>+VLOOKUP(B131,[1]LISTE!$A$1:$D$431,4,FALSE)</f>
        <v>CHIHI MOHAMED SALAH</v>
      </c>
      <c r="D131" s="14" t="s">
        <v>22</v>
      </c>
      <c r="E131" s="15">
        <v>45700</v>
      </c>
      <c r="F131" s="14" t="s">
        <v>18</v>
      </c>
      <c r="G131" s="16">
        <v>70</v>
      </c>
    </row>
    <row r="132" spans="1:7" x14ac:dyDescent="0.25">
      <c r="A132" s="13" t="s">
        <v>611</v>
      </c>
      <c r="B132" s="13">
        <v>1789</v>
      </c>
      <c r="C132" s="14" t="str">
        <f>+VLOOKUP(B132,[1]LISTE!$A$1:$D$431,4,FALSE)</f>
        <v>CHIHI MOHAMED SALAH</v>
      </c>
      <c r="D132" s="15" t="s">
        <v>22</v>
      </c>
      <c r="E132" s="15">
        <v>45700</v>
      </c>
      <c r="F132" s="14" t="s">
        <v>20</v>
      </c>
      <c r="G132" s="16">
        <v>10.442</v>
      </c>
    </row>
    <row r="133" spans="1:7" x14ac:dyDescent="0.25">
      <c r="A133" s="13" t="s">
        <v>667</v>
      </c>
      <c r="B133" s="13">
        <v>1795</v>
      </c>
      <c r="C133" s="14" t="str">
        <f>+VLOOKUP(B133,[1]LISTE!$A$1:$D$431,4,FALSE)</f>
        <v>SOUA MOHAMED</v>
      </c>
      <c r="D133" s="15" t="s">
        <v>22</v>
      </c>
      <c r="E133" s="15">
        <v>45701</v>
      </c>
      <c r="F133" s="14" t="s">
        <v>18</v>
      </c>
      <c r="G133" s="16">
        <v>70</v>
      </c>
    </row>
    <row r="134" spans="1:7" x14ac:dyDescent="0.25">
      <c r="A134" s="13" t="s">
        <v>667</v>
      </c>
      <c r="B134" s="13">
        <v>1795</v>
      </c>
      <c r="C134" s="14" t="str">
        <f>+VLOOKUP(B134,[1]LISTE!$A$1:$D$431,4,FALSE)</f>
        <v>SOUA MOHAMED</v>
      </c>
      <c r="D134" s="14" t="s">
        <v>22</v>
      </c>
      <c r="E134" s="15">
        <v>45701</v>
      </c>
      <c r="F134" s="14" t="s">
        <v>20</v>
      </c>
      <c r="G134" s="16">
        <v>37.003999999999998</v>
      </c>
    </row>
    <row r="135" spans="1:7" x14ac:dyDescent="0.25">
      <c r="A135" s="13" t="s">
        <v>667</v>
      </c>
      <c r="B135" s="13">
        <v>1795</v>
      </c>
      <c r="C135" s="14" t="str">
        <f>+VLOOKUP(B135,[1]LISTE!$A$1:$D$431,4,FALSE)</f>
        <v>SOUA MOHAMED</v>
      </c>
      <c r="D135" s="14" t="s">
        <v>22</v>
      </c>
      <c r="E135" s="15">
        <v>45701</v>
      </c>
      <c r="F135" s="14" t="s">
        <v>69</v>
      </c>
      <c r="G135" s="16">
        <v>800</v>
      </c>
    </row>
    <row r="136" spans="1:7" x14ac:dyDescent="0.25">
      <c r="A136" s="13" t="s">
        <v>619</v>
      </c>
      <c r="B136" s="13">
        <v>1801</v>
      </c>
      <c r="C136" s="14" t="str">
        <f>+VLOOKUP(B136,[1]LISTE!$A$1:$D$431,4,FALSE)</f>
        <v>MAHJOUB MOHAMED</v>
      </c>
      <c r="D136" s="14" t="s">
        <v>128</v>
      </c>
      <c r="E136" s="15">
        <v>45695</v>
      </c>
      <c r="F136" s="14" t="s">
        <v>18</v>
      </c>
      <c r="G136" s="16">
        <v>70</v>
      </c>
    </row>
    <row r="137" spans="1:7" x14ac:dyDescent="0.25">
      <c r="A137" s="13" t="s">
        <v>619</v>
      </c>
      <c r="B137" s="13">
        <v>1801</v>
      </c>
      <c r="C137" s="14" t="str">
        <f>+VLOOKUP(B137,[1]LISTE!$A$1:$D$431,4,FALSE)</f>
        <v>MAHJOUB MOHAMED</v>
      </c>
      <c r="D137" s="14" t="s">
        <v>128</v>
      </c>
      <c r="E137" s="15">
        <v>45696</v>
      </c>
      <c r="F137" s="14" t="s">
        <v>20</v>
      </c>
      <c r="G137" s="16">
        <v>25.478000000000002</v>
      </c>
    </row>
    <row r="138" spans="1:7" x14ac:dyDescent="0.25">
      <c r="A138" s="13" t="s">
        <v>682</v>
      </c>
      <c r="B138" s="13">
        <v>1801</v>
      </c>
      <c r="C138" s="14" t="str">
        <f>+VLOOKUP(B138,[1]LISTE!$A$1:$D$431,4,FALSE)</f>
        <v>MAHJOUB MOHAMED</v>
      </c>
      <c r="D138" s="15" t="s">
        <v>22</v>
      </c>
      <c r="E138" s="15">
        <v>45700</v>
      </c>
      <c r="F138" s="14" t="s">
        <v>23</v>
      </c>
      <c r="G138" s="16">
        <v>40</v>
      </c>
    </row>
    <row r="139" spans="1:7" x14ac:dyDescent="0.25">
      <c r="A139" s="13" t="s">
        <v>682</v>
      </c>
      <c r="B139" s="13">
        <v>1801</v>
      </c>
      <c r="C139" s="14" t="str">
        <f>+VLOOKUP(B139,[1]LISTE!$A$1:$D$431,4,FALSE)</f>
        <v>MAHJOUB MOHAMED</v>
      </c>
      <c r="D139" s="14" t="s">
        <v>22</v>
      </c>
      <c r="E139" s="15">
        <v>45700</v>
      </c>
      <c r="F139" s="14" t="s">
        <v>20</v>
      </c>
      <c r="G139" s="16">
        <v>29.66</v>
      </c>
    </row>
    <row r="140" spans="1:7" x14ac:dyDescent="0.25">
      <c r="A140" s="13" t="s">
        <v>682</v>
      </c>
      <c r="B140" s="13">
        <v>1801</v>
      </c>
      <c r="C140" s="14" t="str">
        <f>+VLOOKUP(B140,[1]LISTE!$A$1:$D$431,4,FALSE)</f>
        <v>MAHJOUB MOHAMED</v>
      </c>
      <c r="D140" s="14" t="s">
        <v>22</v>
      </c>
      <c r="E140" s="15">
        <v>45701</v>
      </c>
      <c r="F140" s="14" t="s">
        <v>25</v>
      </c>
      <c r="G140" s="16">
        <v>600</v>
      </c>
    </row>
    <row r="141" spans="1:7" x14ac:dyDescent="0.25">
      <c r="A141" s="13" t="s">
        <v>620</v>
      </c>
      <c r="B141" s="13">
        <v>1803</v>
      </c>
      <c r="C141" s="14" t="str">
        <f>+VLOOKUP(B141,[1]LISTE!$A$1:$D$431,4,FALSE)</f>
        <v>GAM HAMDI</v>
      </c>
      <c r="D141" s="14" t="s">
        <v>22</v>
      </c>
      <c r="E141" s="15">
        <v>45687</v>
      </c>
      <c r="F141" s="14" t="s">
        <v>18</v>
      </c>
      <c r="G141" s="16">
        <v>70</v>
      </c>
    </row>
    <row r="142" spans="1:7" x14ac:dyDescent="0.25">
      <c r="A142" s="13" t="s">
        <v>620</v>
      </c>
      <c r="B142" s="13">
        <v>1803</v>
      </c>
      <c r="C142" s="14" t="str">
        <f>+VLOOKUP(B142,[1]LISTE!$A$1:$D$431,4,FALSE)</f>
        <v>GAM HAMDI</v>
      </c>
      <c r="D142" s="14" t="s">
        <v>22</v>
      </c>
      <c r="E142" s="15">
        <v>45698</v>
      </c>
      <c r="F142" s="14" t="s">
        <v>69</v>
      </c>
      <c r="G142" s="16">
        <v>761.6</v>
      </c>
    </row>
    <row r="143" spans="1:7" x14ac:dyDescent="0.25">
      <c r="A143" s="13" t="s">
        <v>671</v>
      </c>
      <c r="B143" s="13">
        <v>1803</v>
      </c>
      <c r="C143" s="14" t="str">
        <f>+VLOOKUP(B143,[1]LISTE!$A$1:$D$431,4,FALSE)</f>
        <v>GAM HAMDI</v>
      </c>
      <c r="D143" s="14" t="s">
        <v>186</v>
      </c>
      <c r="E143" s="15">
        <v>45700</v>
      </c>
      <c r="F143" s="14" t="s">
        <v>18</v>
      </c>
      <c r="G143" s="16">
        <v>60</v>
      </c>
    </row>
    <row r="144" spans="1:7" x14ac:dyDescent="0.25">
      <c r="A144" s="13" t="s">
        <v>671</v>
      </c>
      <c r="B144" s="13">
        <v>1803</v>
      </c>
      <c r="C144" s="14" t="str">
        <f>+VLOOKUP(B144,[1]LISTE!$A$1:$D$431,4,FALSE)</f>
        <v>GAM HAMDI</v>
      </c>
      <c r="D144" s="14" t="s">
        <v>186</v>
      </c>
      <c r="E144" s="15">
        <v>45700</v>
      </c>
      <c r="F144" s="14" t="s">
        <v>363</v>
      </c>
      <c r="G144" s="16">
        <v>200</v>
      </c>
    </row>
    <row r="145" spans="1:7" x14ac:dyDescent="0.25">
      <c r="A145" s="13" t="s">
        <v>671</v>
      </c>
      <c r="B145" s="13">
        <v>1803</v>
      </c>
      <c r="C145" s="14" t="str">
        <f>+VLOOKUP(B145,[1]LISTE!$A$1:$D$431,4,FALSE)</f>
        <v>GAM HAMDI</v>
      </c>
      <c r="D145" s="14" t="s">
        <v>186</v>
      </c>
      <c r="E145" s="15">
        <v>45700</v>
      </c>
      <c r="F145" s="14" t="s">
        <v>20</v>
      </c>
      <c r="G145" s="16">
        <v>6.39</v>
      </c>
    </row>
    <row r="146" spans="1:7" x14ac:dyDescent="0.25">
      <c r="A146" s="13" t="s">
        <v>693</v>
      </c>
      <c r="B146" s="13">
        <v>1810</v>
      </c>
      <c r="C146" s="14" t="str">
        <f>+VLOOKUP(B146,[1]LISTE!$A$1:$D$431,4,FALSE)</f>
        <v>GHEZEL SOFIANE</v>
      </c>
      <c r="D146" s="15" t="s">
        <v>694</v>
      </c>
      <c r="E146" s="15">
        <v>45684</v>
      </c>
      <c r="F146" s="14" t="s">
        <v>20</v>
      </c>
      <c r="G146" s="16">
        <v>43.805999999999997</v>
      </c>
    </row>
    <row r="147" spans="1:7" x14ac:dyDescent="0.25">
      <c r="A147" s="13" t="s">
        <v>695</v>
      </c>
      <c r="B147" s="13">
        <v>1810</v>
      </c>
      <c r="C147" s="14" t="str">
        <f>+VLOOKUP(B147,[1]LISTE!$A$1:$D$431,4,FALSE)</f>
        <v>GHEZEL SOFIANE</v>
      </c>
      <c r="D147" s="15" t="s">
        <v>22</v>
      </c>
      <c r="E147" s="15">
        <v>45684</v>
      </c>
      <c r="F147" s="14" t="s">
        <v>20</v>
      </c>
      <c r="G147" s="16">
        <v>26.672999999999998</v>
      </c>
    </row>
    <row r="148" spans="1:7" x14ac:dyDescent="0.25">
      <c r="A148" s="13" t="s">
        <v>745</v>
      </c>
      <c r="B148" s="13">
        <v>1810</v>
      </c>
      <c r="C148" s="14" t="str">
        <f>+VLOOKUP(B148,[1]LISTE!$A$1:$D$431,4,FALSE)</f>
        <v>GHEZEL SOFIANE</v>
      </c>
      <c r="D148" s="15" t="s">
        <v>200</v>
      </c>
      <c r="E148" s="15">
        <v>45696</v>
      </c>
      <c r="F148" s="14" t="s">
        <v>18</v>
      </c>
      <c r="G148" s="16">
        <v>70</v>
      </c>
    </row>
    <row r="149" spans="1:7" x14ac:dyDescent="0.25">
      <c r="A149" s="13" t="s">
        <v>745</v>
      </c>
      <c r="B149" s="13">
        <v>1810</v>
      </c>
      <c r="C149" s="14" t="str">
        <f>+VLOOKUP(B149,[1]LISTE!$A$1:$D$431,4,FALSE)</f>
        <v>GHEZEL SOFIANE</v>
      </c>
      <c r="D149" s="15" t="s">
        <v>200</v>
      </c>
      <c r="E149" s="15">
        <v>45707</v>
      </c>
      <c r="F149" s="14" t="s">
        <v>69</v>
      </c>
      <c r="G149" s="16">
        <v>400</v>
      </c>
    </row>
    <row r="150" spans="1:7" x14ac:dyDescent="0.25">
      <c r="A150" s="13" t="s">
        <v>746</v>
      </c>
      <c r="B150" s="13">
        <v>1810</v>
      </c>
      <c r="C150" s="14" t="str">
        <f>+VLOOKUP(B150,[1]LISTE!$A$1:$D$431,4,FALSE)</f>
        <v>GHEZEL SOFIANE</v>
      </c>
      <c r="D150" s="15" t="s">
        <v>198</v>
      </c>
      <c r="E150" s="15">
        <v>45692</v>
      </c>
      <c r="F150" s="14" t="s">
        <v>18</v>
      </c>
      <c r="G150" s="16">
        <v>70</v>
      </c>
    </row>
    <row r="151" spans="1:7" x14ac:dyDescent="0.25">
      <c r="A151" s="13" t="s">
        <v>746</v>
      </c>
      <c r="B151" s="13">
        <v>1810</v>
      </c>
      <c r="C151" s="14" t="str">
        <f>+VLOOKUP(B151,[1]LISTE!$A$1:$D$431,4,FALSE)</f>
        <v>GHEZEL SOFIANE</v>
      </c>
      <c r="D151" s="14" t="s">
        <v>198</v>
      </c>
      <c r="E151" s="15">
        <v>45707</v>
      </c>
      <c r="F151" s="14" t="s">
        <v>69</v>
      </c>
      <c r="G151" s="16">
        <v>470</v>
      </c>
    </row>
    <row r="152" spans="1:7" x14ac:dyDescent="0.25">
      <c r="A152" s="13" t="s">
        <v>640</v>
      </c>
      <c r="B152" s="13">
        <v>1814</v>
      </c>
      <c r="C152" s="14" t="str">
        <f>+VLOOKUP(B152,[1]LISTE!$A$1:$D$431,4,FALSE)</f>
        <v>BEL ARBIA SLAH</v>
      </c>
      <c r="D152" s="14" t="s">
        <v>641</v>
      </c>
      <c r="E152" s="15">
        <v>45696</v>
      </c>
      <c r="F152" s="14" t="s">
        <v>23</v>
      </c>
      <c r="G152" s="16">
        <v>20</v>
      </c>
    </row>
    <row r="153" spans="1:7" x14ac:dyDescent="0.25">
      <c r="A153" s="13" t="s">
        <v>640</v>
      </c>
      <c r="B153" s="13">
        <v>1814</v>
      </c>
      <c r="C153" s="14" t="str">
        <f>+VLOOKUP(B153,[1]LISTE!$A$1:$D$431,4,FALSE)</f>
        <v>BEL ARBIA SLAH</v>
      </c>
      <c r="D153" s="14" t="s">
        <v>641</v>
      </c>
      <c r="E153" s="15">
        <v>45696</v>
      </c>
      <c r="F153" s="14" t="s">
        <v>20</v>
      </c>
      <c r="G153" s="16">
        <v>55.152999999999999</v>
      </c>
    </row>
    <row r="154" spans="1:7" x14ac:dyDescent="0.25">
      <c r="A154" s="13" t="s">
        <v>758</v>
      </c>
      <c r="B154" s="13">
        <v>1814</v>
      </c>
      <c r="C154" s="14" t="str">
        <f>+VLOOKUP(B154,[1]LISTE!$A$1:$D$431,4,FALSE)</f>
        <v>BEL ARBIA SLAH</v>
      </c>
      <c r="D154" s="15" t="s">
        <v>128</v>
      </c>
      <c r="E154" s="15">
        <v>45710</v>
      </c>
      <c r="F154" s="14" t="s">
        <v>23</v>
      </c>
      <c r="G154" s="16">
        <v>20</v>
      </c>
    </row>
    <row r="155" spans="1:7" x14ac:dyDescent="0.25">
      <c r="A155" s="13" t="s">
        <v>758</v>
      </c>
      <c r="B155" s="13">
        <v>1814</v>
      </c>
      <c r="C155" s="14" t="str">
        <f>+VLOOKUP(B155,[1]LISTE!$A$1:$D$431,4,FALSE)</f>
        <v>BEL ARBIA SLAH</v>
      </c>
      <c r="D155" s="14" t="s">
        <v>128</v>
      </c>
      <c r="E155" s="15">
        <v>45710</v>
      </c>
      <c r="F155" s="14" t="s">
        <v>20</v>
      </c>
      <c r="G155" s="16">
        <v>10.106999999999999</v>
      </c>
    </row>
    <row r="156" spans="1:7" x14ac:dyDescent="0.25">
      <c r="A156" s="13" t="s">
        <v>623</v>
      </c>
      <c r="B156" s="13">
        <v>1827</v>
      </c>
      <c r="C156" s="14" t="str">
        <f>+VLOOKUP(B156,[1]LISTE!$A$1:$D$431,4,FALSE)</f>
        <v>CHTIOUI HAMADI</v>
      </c>
      <c r="D156" s="14" t="s">
        <v>394</v>
      </c>
      <c r="E156" s="15">
        <v>45692</v>
      </c>
      <c r="F156" s="14" t="s">
        <v>23</v>
      </c>
      <c r="G156" s="16">
        <v>25</v>
      </c>
    </row>
    <row r="157" spans="1:7" x14ac:dyDescent="0.25">
      <c r="A157" s="13" t="s">
        <v>623</v>
      </c>
      <c r="B157" s="13">
        <v>1827</v>
      </c>
      <c r="C157" s="14" t="str">
        <f>+VLOOKUP(B157,[1]LISTE!$A$1:$D$431,4,FALSE)</f>
        <v>CHTIOUI HAMADI</v>
      </c>
      <c r="D157" s="14" t="s">
        <v>394</v>
      </c>
      <c r="E157" s="15">
        <v>45692</v>
      </c>
      <c r="F157" s="14" t="s">
        <v>20</v>
      </c>
      <c r="G157" s="16">
        <v>63.27</v>
      </c>
    </row>
    <row r="158" spans="1:7" x14ac:dyDescent="0.25">
      <c r="A158" s="13" t="s">
        <v>723</v>
      </c>
      <c r="B158" s="13">
        <v>1828</v>
      </c>
      <c r="C158" s="14" t="str">
        <f>+VLOOKUP(B158,[1]LISTE!$A$1:$D$431,4,FALSE)</f>
        <v>FNAYOU MOHAMED</v>
      </c>
      <c r="D158" s="14" t="s">
        <v>186</v>
      </c>
      <c r="E158" s="15">
        <v>45698</v>
      </c>
      <c r="F158" s="14" t="s">
        <v>18</v>
      </c>
      <c r="G158" s="16">
        <v>70</v>
      </c>
    </row>
    <row r="159" spans="1:7" x14ac:dyDescent="0.25">
      <c r="A159" s="13" t="s">
        <v>723</v>
      </c>
      <c r="B159" s="13">
        <v>1828</v>
      </c>
      <c r="C159" s="14" t="str">
        <f>+VLOOKUP(B159,[1]LISTE!$A$1:$D$431,4,FALSE)</f>
        <v>FNAYOU MOHAMED</v>
      </c>
      <c r="D159" s="14" t="s">
        <v>186</v>
      </c>
      <c r="E159" s="15">
        <v>45698</v>
      </c>
      <c r="F159" s="14" t="s">
        <v>69</v>
      </c>
      <c r="G159" s="16">
        <v>560</v>
      </c>
    </row>
    <row r="160" spans="1:7" x14ac:dyDescent="0.25">
      <c r="A160" s="13" t="s">
        <v>651</v>
      </c>
      <c r="B160" s="13">
        <v>1830</v>
      </c>
      <c r="C160" s="14" t="str">
        <f>+VLOOKUP(B160,[1]LISTE!$A$1:$D$431,4,FALSE)</f>
        <v>LOURIMI ABDALLAH</v>
      </c>
      <c r="D160" s="15" t="s">
        <v>22</v>
      </c>
      <c r="E160" s="15">
        <v>45700</v>
      </c>
      <c r="F160" s="14" t="s">
        <v>20</v>
      </c>
      <c r="G160" s="16">
        <v>89.796000000000006</v>
      </c>
    </row>
    <row r="161" spans="1:7" x14ac:dyDescent="0.25">
      <c r="A161" s="13" t="s">
        <v>752</v>
      </c>
      <c r="B161" s="13">
        <v>1832</v>
      </c>
      <c r="C161" s="14" t="str">
        <f>+VLOOKUP(B161,[1]LISTE!$A$1:$D$431,4,FALSE)</f>
        <v>ERGUEZ MEJDI</v>
      </c>
      <c r="D161" s="14" t="s">
        <v>753</v>
      </c>
      <c r="E161" s="15">
        <v>45706</v>
      </c>
      <c r="F161" s="14" t="s">
        <v>23</v>
      </c>
      <c r="G161" s="16">
        <v>25</v>
      </c>
    </row>
    <row r="162" spans="1:7" x14ac:dyDescent="0.25">
      <c r="A162" s="13" t="s">
        <v>752</v>
      </c>
      <c r="B162" s="13">
        <v>1832</v>
      </c>
      <c r="C162" s="14" t="str">
        <f>+VLOOKUP(B162,[1]LISTE!$A$1:$D$431,4,FALSE)</f>
        <v>ERGUEZ MEJDI</v>
      </c>
      <c r="D162" s="14" t="s">
        <v>753</v>
      </c>
      <c r="E162" s="15">
        <v>45706</v>
      </c>
      <c r="F162" s="14" t="s">
        <v>20</v>
      </c>
      <c r="G162" s="16">
        <v>6.8140000000000001</v>
      </c>
    </row>
    <row r="163" spans="1:7" x14ac:dyDescent="0.25">
      <c r="A163" s="13" t="s">
        <v>690</v>
      </c>
      <c r="B163" s="13">
        <v>1849</v>
      </c>
      <c r="C163" s="14" t="str">
        <f>+VLOOKUP(B163,[1]LISTE!$A$1:$D$431,4,FALSE)</f>
        <v>GANHOUBA MEHDI</v>
      </c>
      <c r="D163" s="14" t="s">
        <v>22</v>
      </c>
      <c r="E163" s="15">
        <v>45705</v>
      </c>
      <c r="F163" s="14" t="s">
        <v>23</v>
      </c>
      <c r="G163" s="16">
        <v>45</v>
      </c>
    </row>
    <row r="164" spans="1:7" x14ac:dyDescent="0.25">
      <c r="A164" s="13" t="s">
        <v>690</v>
      </c>
      <c r="B164" s="13">
        <v>1849</v>
      </c>
      <c r="C164" s="14" t="str">
        <f>+VLOOKUP(B164,[1]LISTE!$A$1:$D$431,4,FALSE)</f>
        <v>GANHOUBA MEHDI</v>
      </c>
      <c r="D164" s="14" t="s">
        <v>22</v>
      </c>
      <c r="E164" s="15">
        <v>45705</v>
      </c>
      <c r="F164" s="14" t="s">
        <v>20</v>
      </c>
      <c r="G164" s="16">
        <v>42.064999999999998</v>
      </c>
    </row>
    <row r="165" spans="1:7" x14ac:dyDescent="0.25">
      <c r="A165" s="13" t="s">
        <v>739</v>
      </c>
      <c r="B165" s="13">
        <v>1849</v>
      </c>
      <c r="C165" s="14" t="str">
        <f>+VLOOKUP(B165,[1]LISTE!$A$1:$D$431,4,FALSE)</f>
        <v>GANHOUBA MEHDI</v>
      </c>
      <c r="D165" s="14" t="s">
        <v>22</v>
      </c>
      <c r="E165" s="15">
        <v>45700</v>
      </c>
      <c r="F165" s="14" t="s">
        <v>20</v>
      </c>
      <c r="G165" s="16">
        <v>5.69</v>
      </c>
    </row>
    <row r="166" spans="1:7" x14ac:dyDescent="0.25">
      <c r="A166" s="13" t="s">
        <v>739</v>
      </c>
      <c r="B166" s="13">
        <v>1849</v>
      </c>
      <c r="C166" s="14" t="str">
        <f>+VLOOKUP(B166,[1]LISTE!$A$1:$D$431,4,FALSE)</f>
        <v>GANHOUBA MEHDI</v>
      </c>
      <c r="D166" s="14" t="s">
        <v>22</v>
      </c>
      <c r="E166" s="15">
        <v>45707</v>
      </c>
      <c r="F166" s="14" t="s">
        <v>24</v>
      </c>
      <c r="G166" s="16">
        <v>180</v>
      </c>
    </row>
    <row r="167" spans="1:7" x14ac:dyDescent="0.25">
      <c r="A167" s="13" t="s">
        <v>740</v>
      </c>
      <c r="B167" s="13">
        <v>1849</v>
      </c>
      <c r="C167" s="14" t="str">
        <f>+VLOOKUP(B167,[1]LISTE!$A$1:$D$431,4,FALSE)</f>
        <v>GANHOUBA MEHDI</v>
      </c>
      <c r="D167" s="15" t="s">
        <v>298</v>
      </c>
      <c r="E167" s="15">
        <v>45707</v>
      </c>
      <c r="F167" s="14" t="s">
        <v>20</v>
      </c>
      <c r="G167" s="16">
        <v>1.5149999999999999</v>
      </c>
    </row>
    <row r="168" spans="1:7" x14ac:dyDescent="0.25">
      <c r="A168" s="13" t="s">
        <v>740</v>
      </c>
      <c r="B168" s="13">
        <v>1849</v>
      </c>
      <c r="C168" s="14" t="str">
        <f>+VLOOKUP(B168,[1]LISTE!$A$1:$D$431,4,FALSE)</f>
        <v>GANHOUBA MEHDI</v>
      </c>
      <c r="D168" s="15" t="s">
        <v>298</v>
      </c>
      <c r="E168" s="15">
        <v>45707</v>
      </c>
      <c r="F168" s="14" t="s">
        <v>24</v>
      </c>
      <c r="G168" s="16">
        <v>220</v>
      </c>
    </row>
    <row r="169" spans="1:7" x14ac:dyDescent="0.25">
      <c r="A169" s="13" t="s">
        <v>617</v>
      </c>
      <c r="B169" s="13">
        <v>1877</v>
      </c>
      <c r="C169" s="14" t="str">
        <f>+VLOOKUP(B169,[1]LISTE!$A$1:$D$431,4,FALSE)</f>
        <v>SOUSSI MAHER</v>
      </c>
      <c r="D169" s="14" t="s">
        <v>125</v>
      </c>
      <c r="E169" s="15">
        <v>45686</v>
      </c>
      <c r="F169" s="14" t="s">
        <v>18</v>
      </c>
      <c r="G169" s="16">
        <v>70</v>
      </c>
    </row>
    <row r="170" spans="1:7" x14ac:dyDescent="0.25">
      <c r="A170" s="13" t="s">
        <v>617</v>
      </c>
      <c r="B170" s="13">
        <v>1877</v>
      </c>
      <c r="C170" s="14" t="str">
        <f>+VLOOKUP(B170,[1]LISTE!$A$1:$D$431,4,FALSE)</f>
        <v>SOUSSI MAHER</v>
      </c>
      <c r="D170" s="14" t="s">
        <v>125</v>
      </c>
      <c r="E170" s="15">
        <v>45686</v>
      </c>
      <c r="F170" s="14" t="s">
        <v>20</v>
      </c>
      <c r="G170" s="16">
        <v>46.664999999999999</v>
      </c>
    </row>
    <row r="171" spans="1:7" x14ac:dyDescent="0.25">
      <c r="A171" s="13" t="s">
        <v>617</v>
      </c>
      <c r="B171" s="13">
        <v>1877</v>
      </c>
      <c r="C171" s="14" t="str">
        <f>+VLOOKUP(B171,[1]LISTE!$A$1:$D$431,4,FALSE)</f>
        <v>SOUSSI MAHER</v>
      </c>
      <c r="D171" s="14" t="s">
        <v>125</v>
      </c>
      <c r="E171" s="15">
        <v>45693</v>
      </c>
      <c r="F171" s="14" t="s">
        <v>20</v>
      </c>
      <c r="G171" s="16">
        <v>26.355</v>
      </c>
    </row>
    <row r="172" spans="1:7" x14ac:dyDescent="0.25">
      <c r="A172" s="13" t="s">
        <v>617</v>
      </c>
      <c r="B172" s="13">
        <v>1877</v>
      </c>
      <c r="C172" s="14" t="str">
        <f>+VLOOKUP(B172,[1]LISTE!$A$1:$D$431,4,FALSE)</f>
        <v>SOUSSI MAHER</v>
      </c>
      <c r="D172" s="15" t="s">
        <v>125</v>
      </c>
      <c r="E172" s="15">
        <v>45693</v>
      </c>
      <c r="F172" s="14" t="s">
        <v>21</v>
      </c>
      <c r="G172" s="16">
        <v>70</v>
      </c>
    </row>
    <row r="173" spans="1:7" x14ac:dyDescent="0.25">
      <c r="A173" s="13" t="s">
        <v>738</v>
      </c>
      <c r="B173" s="13">
        <v>1887</v>
      </c>
      <c r="C173" s="14" t="str">
        <f>+VLOOKUP(B173,[1]LISTE!$A$1:$D$431,4,FALSE)</f>
        <v>BEN SALAH HATEM</v>
      </c>
      <c r="D173" s="15" t="s">
        <v>361</v>
      </c>
      <c r="E173" s="15">
        <v>45707</v>
      </c>
      <c r="F173" s="14" t="s">
        <v>20</v>
      </c>
      <c r="G173" s="16">
        <v>11.28</v>
      </c>
    </row>
    <row r="174" spans="1:7" x14ac:dyDescent="0.25">
      <c r="A174" s="13" t="s">
        <v>738</v>
      </c>
      <c r="B174" s="13">
        <v>1887</v>
      </c>
      <c r="C174" s="14" t="str">
        <f>+VLOOKUP(B174,[1]LISTE!$A$1:$D$431,4,FALSE)</f>
        <v>BEN SALAH HATEM</v>
      </c>
      <c r="D174" s="14" t="s">
        <v>361</v>
      </c>
      <c r="E174" s="15">
        <v>45709</v>
      </c>
      <c r="F174" s="14" t="s">
        <v>24</v>
      </c>
      <c r="G174" s="16">
        <v>130</v>
      </c>
    </row>
    <row r="175" spans="1:7" x14ac:dyDescent="0.25">
      <c r="A175" s="13" t="s">
        <v>701</v>
      </c>
      <c r="B175" s="13">
        <v>1900</v>
      </c>
      <c r="C175" s="14" t="str">
        <f>+VLOOKUP(B175,[1]LISTE!$A$1:$D$431,4,FALSE)</f>
        <v>BOUAZZA SALAH</v>
      </c>
      <c r="D175" s="14" t="s">
        <v>349</v>
      </c>
      <c r="E175" s="15">
        <v>45684</v>
      </c>
      <c r="F175" s="14" t="s">
        <v>23</v>
      </c>
      <c r="G175" s="16">
        <v>50</v>
      </c>
    </row>
    <row r="176" spans="1:7" x14ac:dyDescent="0.25">
      <c r="A176" s="13" t="s">
        <v>701</v>
      </c>
      <c r="B176" s="13">
        <v>1900</v>
      </c>
      <c r="C176" s="14" t="str">
        <f>+VLOOKUP(B176,[1]LISTE!$A$1:$D$431,4,FALSE)</f>
        <v>BOUAZZA SALAH</v>
      </c>
      <c r="D176" s="14" t="s">
        <v>349</v>
      </c>
      <c r="E176" s="15">
        <v>45684</v>
      </c>
      <c r="F176" s="14" t="s">
        <v>20</v>
      </c>
      <c r="G176" s="16">
        <v>2.605</v>
      </c>
    </row>
    <row r="177" spans="1:7" x14ac:dyDescent="0.25">
      <c r="A177" s="13" t="s">
        <v>701</v>
      </c>
      <c r="B177" s="13">
        <v>1900</v>
      </c>
      <c r="C177" s="14" t="str">
        <f>+VLOOKUP(B177,[1]LISTE!$A$1:$D$431,4,FALSE)</f>
        <v>BOUAZZA SALAH</v>
      </c>
      <c r="D177" s="14" t="s">
        <v>349</v>
      </c>
      <c r="E177" s="15">
        <v>45695</v>
      </c>
      <c r="F177" s="14" t="s">
        <v>24</v>
      </c>
      <c r="G177" s="16">
        <v>290</v>
      </c>
    </row>
    <row r="178" spans="1:7" x14ac:dyDescent="0.25">
      <c r="A178" s="13" t="s">
        <v>762</v>
      </c>
      <c r="B178" s="13">
        <v>1911</v>
      </c>
      <c r="C178" s="14" t="str">
        <f>+VLOOKUP(B178,[1]LISTE!$A$1:$D$431,4,FALSE)</f>
        <v>MEJRI KHELIL</v>
      </c>
      <c r="D178" s="14" t="s">
        <v>763</v>
      </c>
      <c r="E178" s="15">
        <v>45707</v>
      </c>
      <c r="F178" s="14" t="s">
        <v>23</v>
      </c>
      <c r="G178" s="16">
        <v>45</v>
      </c>
    </row>
    <row r="179" spans="1:7" x14ac:dyDescent="0.25">
      <c r="A179" s="13" t="s">
        <v>762</v>
      </c>
      <c r="B179" s="13">
        <v>1911</v>
      </c>
      <c r="C179" s="14" t="str">
        <f>+VLOOKUP(B179,[1]LISTE!$A$1:$D$431,4,FALSE)</f>
        <v>MEJRI KHELIL</v>
      </c>
      <c r="D179" s="14" t="s">
        <v>763</v>
      </c>
      <c r="E179" s="15">
        <v>45707</v>
      </c>
      <c r="F179" s="14" t="s">
        <v>20</v>
      </c>
      <c r="G179" s="16">
        <v>20.5</v>
      </c>
    </row>
    <row r="180" spans="1:7" x14ac:dyDescent="0.25">
      <c r="A180" s="13" t="s">
        <v>764</v>
      </c>
      <c r="B180" s="13">
        <v>1911</v>
      </c>
      <c r="C180" s="14" t="str">
        <f>+VLOOKUP(B180,[1]LISTE!$A$1:$D$431,4,FALSE)</f>
        <v>MEJRI KHELIL</v>
      </c>
      <c r="D180" s="14" t="s">
        <v>22</v>
      </c>
      <c r="E180" s="15">
        <v>45707</v>
      </c>
      <c r="F180" s="14" t="s">
        <v>23</v>
      </c>
      <c r="G180" s="16">
        <v>45</v>
      </c>
    </row>
    <row r="181" spans="1:7" x14ac:dyDescent="0.25">
      <c r="A181" s="13" t="s">
        <v>764</v>
      </c>
      <c r="B181" s="13">
        <v>1911</v>
      </c>
      <c r="C181" s="14" t="str">
        <f>+VLOOKUP(B181,[1]LISTE!$A$1:$D$431,4,FALSE)</f>
        <v>MEJRI KHELIL</v>
      </c>
      <c r="D181" s="15" t="s">
        <v>22</v>
      </c>
      <c r="E181" s="15">
        <v>45707</v>
      </c>
      <c r="F181" s="14" t="s">
        <v>20</v>
      </c>
      <c r="G181" s="16">
        <v>24.213999999999999</v>
      </c>
    </row>
    <row r="182" spans="1:7" x14ac:dyDescent="0.25">
      <c r="A182" s="13" t="s">
        <v>748</v>
      </c>
      <c r="B182" s="13">
        <v>1915</v>
      </c>
      <c r="C182" s="14" t="str">
        <f>+VLOOKUP(B182,[1]LISTE!$A$1:$D$431,4,FALSE)</f>
        <v>BEN ABDALLAH MOHAMED SALAH</v>
      </c>
      <c r="D182" s="14" t="s">
        <v>311</v>
      </c>
      <c r="E182" s="15">
        <v>45693</v>
      </c>
      <c r="F182" s="14" t="s">
        <v>18</v>
      </c>
      <c r="G182" s="16">
        <v>70</v>
      </c>
    </row>
    <row r="183" spans="1:7" x14ac:dyDescent="0.25">
      <c r="A183" s="13" t="s">
        <v>748</v>
      </c>
      <c r="B183" s="13">
        <v>1915</v>
      </c>
      <c r="C183" s="14" t="str">
        <f>+VLOOKUP(B183,[1]LISTE!$A$1:$D$431,4,FALSE)</f>
        <v>BEN ABDALLAH MOHAMED SALAH</v>
      </c>
      <c r="D183" s="14" t="s">
        <v>311</v>
      </c>
      <c r="E183" s="15">
        <v>45693</v>
      </c>
      <c r="F183" s="14" t="s">
        <v>20</v>
      </c>
      <c r="G183" s="16">
        <v>21.312999999999999</v>
      </c>
    </row>
    <row r="184" spans="1:7" x14ac:dyDescent="0.25">
      <c r="A184" s="13" t="s">
        <v>714</v>
      </c>
      <c r="B184" s="13">
        <v>1922</v>
      </c>
      <c r="C184" s="14" t="str">
        <f>+VLOOKUP(B184,[1]LISTE!$A$1:$D$431,4,FALSE)</f>
        <v>MAHJOUB FAKER</v>
      </c>
      <c r="D184" s="15" t="s">
        <v>22</v>
      </c>
      <c r="E184" s="15">
        <v>45702</v>
      </c>
      <c r="F184" s="14" t="s">
        <v>23</v>
      </c>
      <c r="G184" s="16">
        <v>40</v>
      </c>
    </row>
    <row r="185" spans="1:7" x14ac:dyDescent="0.25">
      <c r="A185" s="13" t="s">
        <v>714</v>
      </c>
      <c r="B185" s="13">
        <v>1922</v>
      </c>
      <c r="C185" s="14" t="str">
        <f>+VLOOKUP(B185,[1]LISTE!$A$1:$D$431,4,FALSE)</f>
        <v>MAHJOUB FAKER</v>
      </c>
      <c r="D185" s="14" t="s">
        <v>22</v>
      </c>
      <c r="E185" s="15">
        <v>45702</v>
      </c>
      <c r="F185" s="14" t="s">
        <v>20</v>
      </c>
      <c r="G185" s="16">
        <v>53.311999999999998</v>
      </c>
    </row>
    <row r="186" spans="1:7" x14ac:dyDescent="0.25">
      <c r="A186" s="13" t="s">
        <v>607</v>
      </c>
      <c r="B186" s="13">
        <v>1925</v>
      </c>
      <c r="C186" s="14" t="str">
        <f>+VLOOKUP(B186,[1]LISTE!$A$1:$D$431,4,FALSE)</f>
        <v>HACHICHA MOHAMED</v>
      </c>
      <c r="D186" s="14" t="s">
        <v>22</v>
      </c>
      <c r="E186" s="15">
        <v>45697</v>
      </c>
      <c r="F186" s="14" t="s">
        <v>23</v>
      </c>
      <c r="G186" s="16">
        <v>50</v>
      </c>
    </row>
    <row r="187" spans="1:7" x14ac:dyDescent="0.25">
      <c r="A187" s="13" t="s">
        <v>670</v>
      </c>
      <c r="B187" s="13">
        <v>1927</v>
      </c>
      <c r="C187" s="14" t="str">
        <f>+VLOOKUP(B187,[1]LISTE!$A$1:$D$431,4,FALSE)</f>
        <v>BEN HAMMOUDA AYMEN</v>
      </c>
      <c r="D187" s="15" t="s">
        <v>599</v>
      </c>
      <c r="E187" s="15">
        <v>45700</v>
      </c>
      <c r="F187" s="14" t="s">
        <v>23</v>
      </c>
      <c r="G187" s="16">
        <v>35</v>
      </c>
    </row>
    <row r="188" spans="1:7" x14ac:dyDescent="0.25">
      <c r="A188" s="13" t="s">
        <v>670</v>
      </c>
      <c r="B188" s="13">
        <v>1927</v>
      </c>
      <c r="C188" s="14" t="str">
        <f>+VLOOKUP(B188,[1]LISTE!$A$1:$D$431,4,FALSE)</f>
        <v>BEN HAMMOUDA AYMEN</v>
      </c>
      <c r="D188" s="14" t="s">
        <v>599</v>
      </c>
      <c r="E188" s="15">
        <v>45700</v>
      </c>
      <c r="F188" s="14" t="s">
        <v>20</v>
      </c>
      <c r="G188" s="16">
        <v>53.488999999999997</v>
      </c>
    </row>
    <row r="189" spans="1:7" x14ac:dyDescent="0.25">
      <c r="A189" s="13" t="s">
        <v>691</v>
      </c>
      <c r="B189" s="13">
        <v>1938</v>
      </c>
      <c r="C189" s="14" t="str">
        <f>+VLOOKUP(B189,[1]LISTE!$A$1:$D$431,4,FALSE)</f>
        <v>NAFFATI SOFIENE</v>
      </c>
      <c r="D189" s="15" t="s">
        <v>22</v>
      </c>
      <c r="E189" s="15">
        <v>45703</v>
      </c>
      <c r="F189" s="14" t="s">
        <v>20</v>
      </c>
      <c r="G189" s="16">
        <v>15.102</v>
      </c>
    </row>
    <row r="190" spans="1:7" x14ac:dyDescent="0.25">
      <c r="A190" s="13" t="s">
        <v>646</v>
      </c>
      <c r="B190" s="13">
        <v>1953</v>
      </c>
      <c r="C190" s="14" t="str">
        <f>+VLOOKUP(B190,[1]LISTE!$A$1:$D$431,4,FALSE)</f>
        <v>SGHAIER SAMI</v>
      </c>
      <c r="D190" s="15" t="s">
        <v>22</v>
      </c>
      <c r="E190" s="15">
        <v>45703</v>
      </c>
      <c r="F190" s="14" t="s">
        <v>18</v>
      </c>
      <c r="G190" s="16">
        <v>70</v>
      </c>
    </row>
    <row r="191" spans="1:7" x14ac:dyDescent="0.25">
      <c r="A191" s="13" t="s">
        <v>646</v>
      </c>
      <c r="B191" s="13">
        <v>1953</v>
      </c>
      <c r="C191" s="14" t="str">
        <f>+VLOOKUP(B191,[1]LISTE!$A$1:$D$431,4,FALSE)</f>
        <v>SGHAIER SAMI</v>
      </c>
      <c r="D191" s="15" t="s">
        <v>22</v>
      </c>
      <c r="E191" s="15">
        <v>45703</v>
      </c>
      <c r="F191" s="14" t="s">
        <v>20</v>
      </c>
      <c r="G191" s="16">
        <v>5.9560000000000004</v>
      </c>
    </row>
    <row r="192" spans="1:7" x14ac:dyDescent="0.25">
      <c r="A192" s="13" t="s">
        <v>661</v>
      </c>
      <c r="B192" s="13">
        <v>1961</v>
      </c>
      <c r="C192" s="14" t="str">
        <f>+VLOOKUP(B192,[1]LISTE!$A$1:$D$431,4,FALSE)</f>
        <v>HEDFI ANIS</v>
      </c>
      <c r="D192" s="14" t="s">
        <v>332</v>
      </c>
      <c r="E192" s="15">
        <v>45700</v>
      </c>
      <c r="F192" s="14" t="s">
        <v>23</v>
      </c>
      <c r="G192" s="16">
        <v>45</v>
      </c>
    </row>
    <row r="193" spans="1:7" x14ac:dyDescent="0.25">
      <c r="A193" s="13" t="s">
        <v>661</v>
      </c>
      <c r="B193" s="13">
        <v>1961</v>
      </c>
      <c r="C193" s="14" t="str">
        <f>+VLOOKUP(B193,[1]LISTE!$A$1:$D$431,4,FALSE)</f>
        <v>HEDFI ANIS</v>
      </c>
      <c r="D193" s="14" t="s">
        <v>332</v>
      </c>
      <c r="E193" s="15">
        <v>45700</v>
      </c>
      <c r="F193" s="14" t="s">
        <v>20</v>
      </c>
      <c r="G193" s="16">
        <v>17.382999999999999</v>
      </c>
    </row>
    <row r="194" spans="1:7" x14ac:dyDescent="0.25">
      <c r="A194" s="13" t="s">
        <v>618</v>
      </c>
      <c r="B194" s="13">
        <v>1969</v>
      </c>
      <c r="C194" s="14" t="str">
        <f>+VLOOKUP(B194,[1]LISTE!$A$1:$D$431,4,FALSE)</f>
        <v>BOUKADDIDA MEHREZ</v>
      </c>
      <c r="D194" s="15" t="s">
        <v>306</v>
      </c>
      <c r="E194" s="15">
        <v>45688</v>
      </c>
      <c r="F194" s="14" t="s">
        <v>18</v>
      </c>
      <c r="G194" s="16">
        <v>60</v>
      </c>
    </row>
    <row r="195" spans="1:7" x14ac:dyDescent="0.25">
      <c r="A195" s="13" t="s">
        <v>618</v>
      </c>
      <c r="B195" s="13">
        <v>1969</v>
      </c>
      <c r="C195" s="14" t="str">
        <f>+VLOOKUP(B195,[1]LISTE!$A$1:$D$431,4,FALSE)</f>
        <v>BOUKADDIDA MEHREZ</v>
      </c>
      <c r="D195" s="15" t="s">
        <v>306</v>
      </c>
      <c r="E195" s="15">
        <v>45688</v>
      </c>
      <c r="F195" s="14" t="s">
        <v>20</v>
      </c>
      <c r="G195" s="16">
        <v>15.435</v>
      </c>
    </row>
    <row r="196" spans="1:7" x14ac:dyDescent="0.25">
      <c r="A196" s="13" t="s">
        <v>634</v>
      </c>
      <c r="B196" s="13">
        <v>1969</v>
      </c>
      <c r="C196" s="14" t="str">
        <f>+VLOOKUP(B196,[1]LISTE!$A$1:$D$431,4,FALSE)</f>
        <v>BOUKADDIDA MEHREZ</v>
      </c>
      <c r="D196" s="14" t="s">
        <v>22</v>
      </c>
      <c r="E196" s="15">
        <v>45691</v>
      </c>
      <c r="F196" s="14" t="s">
        <v>18</v>
      </c>
      <c r="G196" s="16">
        <v>70</v>
      </c>
    </row>
    <row r="197" spans="1:7" x14ac:dyDescent="0.25">
      <c r="A197" s="13" t="s">
        <v>634</v>
      </c>
      <c r="B197" s="13">
        <v>1969</v>
      </c>
      <c r="C197" s="14" t="str">
        <f>+VLOOKUP(B197,[1]LISTE!$A$1:$D$431,4,FALSE)</f>
        <v>BOUKADDIDA MEHREZ</v>
      </c>
      <c r="D197" s="15" t="s">
        <v>22</v>
      </c>
      <c r="E197" s="15">
        <v>45682</v>
      </c>
      <c r="F197" s="14" t="s">
        <v>19</v>
      </c>
      <c r="G197" s="16">
        <v>57.78</v>
      </c>
    </row>
    <row r="198" spans="1:7" x14ac:dyDescent="0.25">
      <c r="A198" s="13" t="s">
        <v>634</v>
      </c>
      <c r="B198" s="13">
        <v>1969</v>
      </c>
      <c r="C198" s="14" t="str">
        <f>+VLOOKUP(B198,[1]LISTE!$A$1:$D$431,4,FALSE)</f>
        <v>BOUKADDIDA MEHREZ</v>
      </c>
      <c r="D198" s="15" t="s">
        <v>22</v>
      </c>
      <c r="E198" s="15">
        <v>45690</v>
      </c>
      <c r="F198" s="14" t="s">
        <v>20</v>
      </c>
      <c r="G198" s="16">
        <v>48.7</v>
      </c>
    </row>
    <row r="199" spans="1:7" x14ac:dyDescent="0.25">
      <c r="A199" s="13" t="s">
        <v>634</v>
      </c>
      <c r="B199" s="13">
        <v>1969</v>
      </c>
      <c r="C199" s="14" t="str">
        <f>+VLOOKUP(B199,[1]LISTE!$A$1:$D$431,4,FALSE)</f>
        <v>BOUKADDIDA MEHREZ</v>
      </c>
      <c r="D199" s="15" t="s">
        <v>22</v>
      </c>
      <c r="E199" s="15">
        <v>45696</v>
      </c>
      <c r="F199" s="14" t="s">
        <v>363</v>
      </c>
      <c r="G199" s="16">
        <v>30</v>
      </c>
    </row>
    <row r="200" spans="1:7" x14ac:dyDescent="0.25">
      <c r="A200" s="13" t="s">
        <v>634</v>
      </c>
      <c r="B200" s="13">
        <v>1969</v>
      </c>
      <c r="C200" s="14" t="str">
        <f>+VLOOKUP(B200,[1]LISTE!$A$1:$D$431,4,FALSE)</f>
        <v>BOUKADDIDA MEHREZ</v>
      </c>
      <c r="D200" s="15" t="s">
        <v>22</v>
      </c>
      <c r="E200" s="15">
        <v>45696</v>
      </c>
      <c r="F200" s="14" t="s">
        <v>363</v>
      </c>
      <c r="G200" s="16">
        <v>200</v>
      </c>
    </row>
    <row r="201" spans="1:7" x14ac:dyDescent="0.25">
      <c r="A201" s="13" t="s">
        <v>634</v>
      </c>
      <c r="B201" s="13">
        <v>1969</v>
      </c>
      <c r="C201" s="14" t="str">
        <f>+VLOOKUP(B201,[1]LISTE!$A$1:$D$431,4,FALSE)</f>
        <v>BOUKADDIDA MEHREZ</v>
      </c>
      <c r="D201" s="15" t="s">
        <v>22</v>
      </c>
      <c r="E201" s="15">
        <v>45696</v>
      </c>
      <c r="F201" s="14" t="s">
        <v>19</v>
      </c>
      <c r="G201" s="16">
        <v>70</v>
      </c>
    </row>
    <row r="202" spans="1:7" x14ac:dyDescent="0.25">
      <c r="A202" s="13" t="s">
        <v>634</v>
      </c>
      <c r="B202" s="13">
        <v>1969</v>
      </c>
      <c r="C202" s="14" t="str">
        <f>+VLOOKUP(B202,[1]LISTE!$A$1:$D$431,4,FALSE)</f>
        <v>BOUKADDIDA MEHREZ</v>
      </c>
      <c r="D202" s="15" t="s">
        <v>22</v>
      </c>
      <c r="E202" s="15">
        <v>45696</v>
      </c>
      <c r="F202" s="14" t="s">
        <v>364</v>
      </c>
      <c r="G202" s="16">
        <v>120</v>
      </c>
    </row>
    <row r="203" spans="1:7" x14ac:dyDescent="0.25">
      <c r="A203" s="13" t="s">
        <v>708</v>
      </c>
      <c r="B203" s="13">
        <v>1969</v>
      </c>
      <c r="C203" s="14" t="str">
        <f>+VLOOKUP(B203,[1]LISTE!$A$1:$D$431,4,FALSE)</f>
        <v>BOUKADDIDA MEHREZ</v>
      </c>
      <c r="D203" s="15" t="s">
        <v>22</v>
      </c>
      <c r="E203" s="15">
        <v>45689</v>
      </c>
      <c r="F203" s="14" t="s">
        <v>23</v>
      </c>
      <c r="G203" s="16">
        <v>50</v>
      </c>
    </row>
    <row r="204" spans="1:7" x14ac:dyDescent="0.25">
      <c r="A204" s="13" t="s">
        <v>708</v>
      </c>
      <c r="B204" s="13">
        <v>1969</v>
      </c>
      <c r="C204" s="14" t="str">
        <f>+VLOOKUP(B204,[1]LISTE!$A$1:$D$431,4,FALSE)</f>
        <v>BOUKADDIDA MEHREZ</v>
      </c>
      <c r="D204" s="15" t="s">
        <v>22</v>
      </c>
      <c r="E204" s="15">
        <v>45689</v>
      </c>
      <c r="F204" s="14" t="s">
        <v>20</v>
      </c>
      <c r="G204" s="16">
        <v>3.71</v>
      </c>
    </row>
    <row r="205" spans="1:7" x14ac:dyDescent="0.25">
      <c r="A205" s="13" t="s">
        <v>708</v>
      </c>
      <c r="B205" s="13">
        <v>1969</v>
      </c>
      <c r="C205" s="14" t="str">
        <f>+VLOOKUP(B205,[1]LISTE!$A$1:$D$431,4,FALSE)</f>
        <v>BOUKADDIDA MEHREZ</v>
      </c>
      <c r="D205" s="15" t="s">
        <v>22</v>
      </c>
      <c r="E205" s="15">
        <v>45703</v>
      </c>
      <c r="F205" s="14" t="s">
        <v>25</v>
      </c>
      <c r="G205" s="16">
        <v>250</v>
      </c>
    </row>
    <row r="206" spans="1:7" x14ac:dyDescent="0.25">
      <c r="A206" s="13" t="s">
        <v>755</v>
      </c>
      <c r="B206" s="13">
        <v>1978</v>
      </c>
      <c r="C206" s="14" t="str">
        <f>+VLOOKUP(B206,[1]LISTE!$A$1:$D$431,4,FALSE)</f>
        <v>MAHJOUB AHMED</v>
      </c>
      <c r="D206" s="14" t="s">
        <v>418</v>
      </c>
      <c r="E206" s="15">
        <v>45703</v>
      </c>
      <c r="F206" s="14" t="s">
        <v>65</v>
      </c>
      <c r="G206" s="16">
        <v>175</v>
      </c>
    </row>
    <row r="207" spans="1:7" x14ac:dyDescent="0.25">
      <c r="A207" s="13" t="s">
        <v>637</v>
      </c>
      <c r="B207" s="13">
        <v>1979</v>
      </c>
      <c r="C207" s="14" t="str">
        <f>+VLOOKUP(B207,[1]LISTE!$A$1:$D$431,4,FALSE)</f>
        <v>LANDOULSI MOHAMED SAHBI</v>
      </c>
      <c r="D207" s="14" t="s">
        <v>638</v>
      </c>
      <c r="E207" s="15">
        <v>45671</v>
      </c>
      <c r="F207" s="14" t="s">
        <v>18</v>
      </c>
      <c r="G207" s="16">
        <v>70</v>
      </c>
    </row>
    <row r="208" spans="1:7" x14ac:dyDescent="0.25">
      <c r="A208" s="13" t="s">
        <v>637</v>
      </c>
      <c r="B208" s="13">
        <v>1979</v>
      </c>
      <c r="C208" s="14" t="str">
        <f>+VLOOKUP(B208,[1]LISTE!$A$1:$D$431,4,FALSE)</f>
        <v>LANDOULSI MOHAMED SAHBI</v>
      </c>
      <c r="D208" s="15" t="s">
        <v>638</v>
      </c>
      <c r="E208" s="15">
        <v>45671</v>
      </c>
      <c r="F208" s="14" t="s">
        <v>20</v>
      </c>
      <c r="G208" s="16">
        <v>151.19999999999999</v>
      </c>
    </row>
    <row r="209" spans="1:7" x14ac:dyDescent="0.25">
      <c r="A209" s="13" t="s">
        <v>639</v>
      </c>
      <c r="B209" s="13">
        <v>1979</v>
      </c>
      <c r="C209" s="14" t="str">
        <f>+VLOOKUP(B209,[1]LISTE!$A$1:$D$431,4,FALSE)</f>
        <v>LANDOULSI MOHAMED SAHBI</v>
      </c>
      <c r="D209" s="15" t="s">
        <v>22</v>
      </c>
      <c r="E209" s="15">
        <v>45685</v>
      </c>
      <c r="F209" s="14" t="s">
        <v>23</v>
      </c>
      <c r="G209" s="16">
        <v>40</v>
      </c>
    </row>
    <row r="210" spans="1:7" x14ac:dyDescent="0.25">
      <c r="A210" s="13" t="s">
        <v>639</v>
      </c>
      <c r="B210" s="13">
        <v>1979</v>
      </c>
      <c r="C210" s="14" t="str">
        <f>+VLOOKUP(B210,[1]LISTE!$A$1:$D$431,4,FALSE)</f>
        <v>LANDOULSI MOHAMED SAHBI</v>
      </c>
      <c r="D210" s="15" t="s">
        <v>22</v>
      </c>
      <c r="E210" s="15">
        <v>45689</v>
      </c>
      <c r="F210" s="14" t="s">
        <v>24</v>
      </c>
      <c r="G210" s="16">
        <v>120</v>
      </c>
    </row>
    <row r="211" spans="1:7" x14ac:dyDescent="0.25">
      <c r="A211" s="13" t="s">
        <v>639</v>
      </c>
      <c r="B211" s="13">
        <v>1979</v>
      </c>
      <c r="C211" s="14" t="str">
        <f>+VLOOKUP(B211,[1]LISTE!$A$1:$D$431,4,FALSE)</f>
        <v>LANDOULSI MOHAMED SAHBI</v>
      </c>
      <c r="D211" s="15" t="s">
        <v>22</v>
      </c>
      <c r="E211" s="15">
        <v>45691</v>
      </c>
      <c r="F211" s="14" t="s">
        <v>25</v>
      </c>
      <c r="G211" s="16">
        <v>250</v>
      </c>
    </row>
    <row r="212" spans="1:7" x14ac:dyDescent="0.25">
      <c r="A212" s="13" t="s">
        <v>652</v>
      </c>
      <c r="B212" s="13">
        <v>1979</v>
      </c>
      <c r="C212" s="14" t="str">
        <f>+VLOOKUP(B212,[1]LISTE!$A$1:$D$431,4,FALSE)</f>
        <v>LANDOULSI MOHAMED SAHBI</v>
      </c>
      <c r="D212" s="15" t="s">
        <v>638</v>
      </c>
      <c r="E212" s="15">
        <v>45701</v>
      </c>
      <c r="F212" s="14" t="s">
        <v>18</v>
      </c>
      <c r="G212" s="16">
        <v>70</v>
      </c>
    </row>
    <row r="213" spans="1:7" x14ac:dyDescent="0.25">
      <c r="A213" s="13" t="s">
        <v>652</v>
      </c>
      <c r="B213" s="13">
        <v>1979</v>
      </c>
      <c r="C213" s="14" t="str">
        <f>+VLOOKUP(B213,[1]LISTE!$A$1:$D$431,4,FALSE)</f>
        <v>LANDOULSI MOHAMED SAHBI</v>
      </c>
      <c r="D213" s="15" t="s">
        <v>638</v>
      </c>
      <c r="E213" s="15">
        <v>45701</v>
      </c>
      <c r="F213" s="14" t="s">
        <v>20</v>
      </c>
      <c r="G213" s="16">
        <v>19.614999999999998</v>
      </c>
    </row>
    <row r="214" spans="1:7" x14ac:dyDescent="0.25">
      <c r="A214" s="13" t="s">
        <v>615</v>
      </c>
      <c r="B214" s="13">
        <v>1980</v>
      </c>
      <c r="C214" s="14" t="str">
        <f>+VLOOKUP(B214,[1]LISTE!$A$1:$D$431,4,FALSE)</f>
        <v>MLAYEH YOUSSEF</v>
      </c>
      <c r="D214" s="15" t="s">
        <v>22</v>
      </c>
      <c r="E214" s="15">
        <v>45691</v>
      </c>
      <c r="F214" s="14" t="s">
        <v>23</v>
      </c>
      <c r="G214" s="16">
        <v>40</v>
      </c>
    </row>
    <row r="215" spans="1:7" x14ac:dyDescent="0.25">
      <c r="A215" s="13" t="s">
        <v>615</v>
      </c>
      <c r="B215" s="13">
        <v>1980</v>
      </c>
      <c r="C215" s="14" t="str">
        <f>+VLOOKUP(B215,[1]LISTE!$A$1:$D$431,4,FALSE)</f>
        <v>MLAYEH YOUSSEF</v>
      </c>
      <c r="D215" s="15" t="s">
        <v>22</v>
      </c>
      <c r="E215" s="15">
        <v>45691</v>
      </c>
      <c r="F215" s="14" t="s">
        <v>20</v>
      </c>
      <c r="G215" s="16">
        <v>4.2450000000000001</v>
      </c>
    </row>
    <row r="216" spans="1:7" x14ac:dyDescent="0.25">
      <c r="A216" s="13" t="s">
        <v>615</v>
      </c>
      <c r="B216" s="13">
        <v>1980</v>
      </c>
      <c r="C216" s="14" t="str">
        <f>+VLOOKUP(B216,[1]LISTE!$A$1:$D$431,4,FALSE)</f>
        <v>MLAYEH YOUSSEF</v>
      </c>
      <c r="D216" s="15" t="s">
        <v>22</v>
      </c>
      <c r="E216" s="15">
        <v>45698</v>
      </c>
      <c r="F216" s="14" t="s">
        <v>24</v>
      </c>
      <c r="G216" s="16">
        <v>160</v>
      </c>
    </row>
    <row r="217" spans="1:7" x14ac:dyDescent="0.25">
      <c r="A217" s="13" t="s">
        <v>751</v>
      </c>
      <c r="B217" s="13">
        <v>1990</v>
      </c>
      <c r="C217" s="14" t="s">
        <v>360</v>
      </c>
      <c r="D217" s="15" t="s">
        <v>186</v>
      </c>
      <c r="E217" s="15">
        <v>45693</v>
      </c>
      <c r="F217" s="14" t="s">
        <v>18</v>
      </c>
      <c r="G217" s="16">
        <v>60</v>
      </c>
    </row>
    <row r="218" spans="1:7" x14ac:dyDescent="0.25">
      <c r="A218" s="13" t="s">
        <v>751</v>
      </c>
      <c r="B218" s="13">
        <v>1990</v>
      </c>
      <c r="C218" s="14" t="s">
        <v>360</v>
      </c>
      <c r="D218" s="14" t="s">
        <v>186</v>
      </c>
      <c r="E218" s="15">
        <v>45703</v>
      </c>
      <c r="F218" s="14" t="s">
        <v>19</v>
      </c>
      <c r="G218" s="16">
        <v>107.535</v>
      </c>
    </row>
    <row r="219" spans="1:7" x14ac:dyDescent="0.25">
      <c r="A219" s="13" t="s">
        <v>751</v>
      </c>
      <c r="B219" s="13">
        <v>1990</v>
      </c>
      <c r="C219" s="14" t="s">
        <v>360</v>
      </c>
      <c r="D219" s="14" t="s">
        <v>186</v>
      </c>
      <c r="E219" s="15">
        <v>45701</v>
      </c>
      <c r="F219" s="14" t="s">
        <v>20</v>
      </c>
      <c r="G219" s="16">
        <v>7.2</v>
      </c>
    </row>
    <row r="220" spans="1:7" x14ac:dyDescent="0.25">
      <c r="A220" s="13" t="s">
        <v>729</v>
      </c>
      <c r="B220" s="13">
        <v>2009</v>
      </c>
      <c r="C220" s="14" t="str">
        <f>+VLOOKUP(B220,[1]LISTE!$A$1:$D$431,4,FALSE)</f>
        <v>BEN SAAD MOHAMED AMINE</v>
      </c>
      <c r="D220" s="14" t="s">
        <v>613</v>
      </c>
      <c r="E220" s="15">
        <v>45707</v>
      </c>
      <c r="F220" s="14" t="s">
        <v>23</v>
      </c>
      <c r="G220" s="16">
        <v>45</v>
      </c>
    </row>
    <row r="221" spans="1:7" x14ac:dyDescent="0.25">
      <c r="A221" s="13" t="s">
        <v>729</v>
      </c>
      <c r="B221" s="13">
        <v>2009</v>
      </c>
      <c r="C221" s="14" t="str">
        <f>+VLOOKUP(B221,[1]LISTE!$A$1:$D$431,4,FALSE)</f>
        <v>BEN SAAD MOHAMED AMINE</v>
      </c>
      <c r="D221" s="14" t="s">
        <v>613</v>
      </c>
      <c r="E221" s="15">
        <v>45707</v>
      </c>
      <c r="F221" s="14" t="s">
        <v>20</v>
      </c>
      <c r="G221" s="16">
        <v>32.44</v>
      </c>
    </row>
    <row r="222" spans="1:7" x14ac:dyDescent="0.25">
      <c r="A222" s="13" t="s">
        <v>756</v>
      </c>
      <c r="B222" s="13">
        <v>2013</v>
      </c>
      <c r="C222" s="14" t="str">
        <f>+VLOOKUP(B222,[1]LISTE!$A$1:$D$431,4,FALSE)</f>
        <v>BEL HADJ ALI MOHAMED ALI</v>
      </c>
      <c r="D222" s="14" t="s">
        <v>186</v>
      </c>
      <c r="E222" s="15">
        <v>45700</v>
      </c>
      <c r="F222" s="14" t="s">
        <v>18</v>
      </c>
      <c r="G222" s="16">
        <v>60</v>
      </c>
    </row>
    <row r="223" spans="1:7" x14ac:dyDescent="0.25">
      <c r="A223" s="13" t="s">
        <v>756</v>
      </c>
      <c r="B223" s="13">
        <v>2013</v>
      </c>
      <c r="C223" s="14" t="str">
        <f>+VLOOKUP(B223,[1]LISTE!$A$1:$D$431,4,FALSE)</f>
        <v>BEL HADJ ALI MOHAMED ALI</v>
      </c>
      <c r="D223" s="14" t="s">
        <v>186</v>
      </c>
      <c r="E223" s="15">
        <v>45700</v>
      </c>
      <c r="F223" s="14" t="s">
        <v>20</v>
      </c>
      <c r="G223" s="16">
        <v>62.468000000000004</v>
      </c>
    </row>
    <row r="224" spans="1:7" x14ac:dyDescent="0.25">
      <c r="A224" s="13" t="s">
        <v>757</v>
      </c>
      <c r="B224" s="13">
        <v>2013</v>
      </c>
      <c r="C224" s="14" t="str">
        <f>+VLOOKUP(B224,[1]LISTE!$A$1:$D$431,4,FALSE)</f>
        <v>BEL HADJ ALI MOHAMED ALI</v>
      </c>
      <c r="D224" s="15" t="s">
        <v>160</v>
      </c>
      <c r="E224" s="15">
        <v>45701</v>
      </c>
      <c r="F224" s="14" t="s">
        <v>23</v>
      </c>
      <c r="G224" s="16">
        <v>4.5</v>
      </c>
    </row>
    <row r="225" spans="1:7" x14ac:dyDescent="0.25">
      <c r="A225" s="13" t="s">
        <v>757</v>
      </c>
      <c r="B225" s="13">
        <v>2013</v>
      </c>
      <c r="C225" s="14" t="str">
        <f>+VLOOKUP(B225,[1]LISTE!$A$1:$D$431,4,FALSE)</f>
        <v>BEL HADJ ALI MOHAMED ALI</v>
      </c>
      <c r="D225" s="14" t="s">
        <v>160</v>
      </c>
      <c r="E225" s="15">
        <v>45701</v>
      </c>
      <c r="F225" s="14" t="s">
        <v>20</v>
      </c>
      <c r="G225" s="16">
        <v>25.5</v>
      </c>
    </row>
    <row r="226" spans="1:7" x14ac:dyDescent="0.25">
      <c r="A226" s="13" t="s">
        <v>730</v>
      </c>
      <c r="B226" s="13">
        <v>2014</v>
      </c>
      <c r="C226" s="14" t="str">
        <f>+VLOOKUP(B226,[1]LISTE!$A$1:$D$431,4,FALSE)</f>
        <v>JARRAR MEHDI</v>
      </c>
      <c r="D226" s="14" t="s">
        <v>731</v>
      </c>
      <c r="E226" s="15">
        <v>45705</v>
      </c>
      <c r="F226" s="14" t="s">
        <v>23</v>
      </c>
      <c r="G226" s="16">
        <v>45</v>
      </c>
    </row>
    <row r="227" spans="1:7" x14ac:dyDescent="0.25">
      <c r="A227" s="13" t="s">
        <v>730</v>
      </c>
      <c r="B227" s="13">
        <v>2014</v>
      </c>
      <c r="C227" s="14" t="str">
        <f>+VLOOKUP(B227,[1]LISTE!$A$1:$D$431,4,FALSE)</f>
        <v>JARRAR MEHDI</v>
      </c>
      <c r="D227" s="14" t="s">
        <v>731</v>
      </c>
      <c r="E227" s="15">
        <v>45705</v>
      </c>
      <c r="F227" s="14" t="s">
        <v>20</v>
      </c>
      <c r="G227" s="16">
        <v>49.113</v>
      </c>
    </row>
    <row r="228" spans="1:7" x14ac:dyDescent="0.25">
      <c r="A228" s="13" t="s">
        <v>747</v>
      </c>
      <c r="B228" s="13">
        <v>2014</v>
      </c>
      <c r="C228" s="14" t="str">
        <f>+VLOOKUP(B228,[1]LISTE!$A$1:$D$431,4,FALSE)</f>
        <v>JARRAR MEHDI</v>
      </c>
      <c r="D228" s="14" t="s">
        <v>236</v>
      </c>
      <c r="E228" s="15">
        <v>45708</v>
      </c>
      <c r="F228" s="14" t="s">
        <v>23</v>
      </c>
      <c r="G228" s="16">
        <v>45</v>
      </c>
    </row>
    <row r="229" spans="1:7" x14ac:dyDescent="0.25">
      <c r="A229" s="13" t="s">
        <v>747</v>
      </c>
      <c r="B229" s="13">
        <v>2014</v>
      </c>
      <c r="C229" s="14" t="str">
        <f>+VLOOKUP(B229,[1]LISTE!$A$1:$D$431,4,FALSE)</f>
        <v>JARRAR MEHDI</v>
      </c>
      <c r="D229" s="14" t="s">
        <v>236</v>
      </c>
      <c r="E229" s="15">
        <v>45708</v>
      </c>
      <c r="F229" s="14" t="s">
        <v>20</v>
      </c>
      <c r="G229" s="16">
        <v>48.045999999999999</v>
      </c>
    </row>
    <row r="230" spans="1:7" x14ac:dyDescent="0.25">
      <c r="A230" s="13" t="s">
        <v>709</v>
      </c>
      <c r="B230" s="13">
        <v>2017</v>
      </c>
      <c r="C230" s="14" t="s">
        <v>710</v>
      </c>
      <c r="D230" s="14" t="s">
        <v>22</v>
      </c>
      <c r="E230" s="15">
        <v>45679</v>
      </c>
      <c r="F230" s="14" t="s">
        <v>19</v>
      </c>
      <c r="G230" s="16">
        <v>65.7</v>
      </c>
    </row>
    <row r="231" spans="1:7" x14ac:dyDescent="0.25">
      <c r="A231" s="13" t="s">
        <v>711</v>
      </c>
      <c r="B231" s="13">
        <v>2017</v>
      </c>
      <c r="C231" s="14" t="s">
        <v>710</v>
      </c>
      <c r="D231" s="14" t="s">
        <v>712</v>
      </c>
      <c r="E231" s="15">
        <v>45680</v>
      </c>
      <c r="F231" s="14" t="s">
        <v>18</v>
      </c>
      <c r="G231" s="16">
        <v>70</v>
      </c>
    </row>
    <row r="232" spans="1:7" x14ac:dyDescent="0.25">
      <c r="A232" s="13" t="s">
        <v>711</v>
      </c>
      <c r="B232" s="13">
        <v>2017</v>
      </c>
      <c r="C232" s="14" t="s">
        <v>710</v>
      </c>
      <c r="D232" s="15" t="s">
        <v>712</v>
      </c>
      <c r="E232" s="15">
        <v>45680</v>
      </c>
      <c r="F232" s="14" t="s">
        <v>19</v>
      </c>
      <c r="G232" s="16">
        <v>35.950000000000003</v>
      </c>
    </row>
    <row r="233" spans="1:7" x14ac:dyDescent="0.25">
      <c r="A233" s="13" t="s">
        <v>724</v>
      </c>
      <c r="B233" s="13">
        <v>2036</v>
      </c>
      <c r="C233" s="14" t="s">
        <v>131</v>
      </c>
      <c r="D233" s="15" t="s">
        <v>132</v>
      </c>
      <c r="E233" s="15">
        <v>45701</v>
      </c>
      <c r="F233" s="14" t="s">
        <v>18</v>
      </c>
      <c r="G233" s="16">
        <v>70</v>
      </c>
    </row>
    <row r="234" spans="1:7" x14ac:dyDescent="0.25">
      <c r="A234" s="13" t="s">
        <v>724</v>
      </c>
      <c r="B234" s="13">
        <v>2036</v>
      </c>
      <c r="C234" s="14" t="s">
        <v>131</v>
      </c>
      <c r="D234" s="14" t="s">
        <v>132</v>
      </c>
      <c r="E234" s="15">
        <v>45704</v>
      </c>
      <c r="F234" s="14" t="s">
        <v>69</v>
      </c>
      <c r="G234" s="16">
        <v>170</v>
      </c>
    </row>
    <row r="235" spans="1:7" x14ac:dyDescent="0.25">
      <c r="A235" s="13" t="s">
        <v>653</v>
      </c>
      <c r="B235" s="13">
        <v>2065</v>
      </c>
      <c r="C235" s="14" t="str">
        <f>+VLOOKUP(B235,[1]LISTE!$A$1:$D$431,4,FALSE)</f>
        <v>CHIHAOUI ALAAEDDINE</v>
      </c>
      <c r="D235" s="14" t="s">
        <v>22</v>
      </c>
      <c r="E235" s="15">
        <v>45701</v>
      </c>
      <c r="F235" s="14" t="s">
        <v>23</v>
      </c>
      <c r="G235" s="16">
        <v>40</v>
      </c>
    </row>
    <row r="236" spans="1:7" x14ac:dyDescent="0.25">
      <c r="A236" s="13" t="s">
        <v>653</v>
      </c>
      <c r="B236" s="13">
        <v>2065</v>
      </c>
      <c r="C236" s="14" t="str">
        <f>+VLOOKUP(B236,[1]LISTE!$A$1:$D$431,4,FALSE)</f>
        <v>CHIHAOUI ALAAEDDINE</v>
      </c>
      <c r="D236" s="14" t="s">
        <v>22</v>
      </c>
      <c r="E236" s="15">
        <v>45701</v>
      </c>
      <c r="F236" s="14" t="s">
        <v>20</v>
      </c>
      <c r="G236" s="16">
        <v>122.63200000000001</v>
      </c>
    </row>
    <row r="237" spans="1:7" x14ac:dyDescent="0.25">
      <c r="A237" s="13" t="s">
        <v>769</v>
      </c>
      <c r="B237" s="13">
        <v>2084</v>
      </c>
      <c r="C237" s="14" t="str">
        <f>+VLOOKUP(B237,[1]LISTE!$A$1:$D$431,4,FALSE)</f>
        <v>HELALI Emna</v>
      </c>
      <c r="D237" s="14" t="s">
        <v>22</v>
      </c>
      <c r="E237" s="15">
        <v>45705</v>
      </c>
      <c r="F237" s="14" t="s">
        <v>23</v>
      </c>
      <c r="G237" s="16">
        <v>50</v>
      </c>
    </row>
    <row r="238" spans="1:7" x14ac:dyDescent="0.25">
      <c r="A238" s="13" t="s">
        <v>769</v>
      </c>
      <c r="B238" s="13">
        <v>2084</v>
      </c>
      <c r="C238" s="14" t="str">
        <f>+VLOOKUP(B238,[1]LISTE!$A$1:$D$431,4,FALSE)</f>
        <v>HELALI Emna</v>
      </c>
      <c r="D238" s="15" t="s">
        <v>22</v>
      </c>
      <c r="E238" s="15">
        <v>45705</v>
      </c>
      <c r="F238" s="14" t="s">
        <v>20</v>
      </c>
      <c r="G238" s="16">
        <v>4.92</v>
      </c>
    </row>
    <row r="239" spans="1:7" x14ac:dyDescent="0.25">
      <c r="A239" s="13" t="s">
        <v>668</v>
      </c>
      <c r="B239" s="13">
        <v>2092</v>
      </c>
      <c r="C239" s="14" t="str">
        <f>+VLOOKUP(B239,[1]LISTE!$A$1:$D$431,4,FALSE)</f>
        <v>MOHAMED YASSINE SBAII</v>
      </c>
      <c r="D239" s="14" t="s">
        <v>669</v>
      </c>
      <c r="E239" s="15">
        <v>45700</v>
      </c>
      <c r="F239" s="14" t="s">
        <v>24</v>
      </c>
      <c r="G239" s="16">
        <v>250</v>
      </c>
    </row>
    <row r="240" spans="1:7" x14ac:dyDescent="0.25">
      <c r="A240" s="13" t="s">
        <v>689</v>
      </c>
      <c r="B240" s="13">
        <v>2100</v>
      </c>
      <c r="C240" s="14" t="str">
        <f>+VLOOKUP(B240,[1]LISTE!$A$1:$D$431,4,FALSE)</f>
        <v>MLAYEH NEZIHA</v>
      </c>
      <c r="D240" s="14" t="s">
        <v>112</v>
      </c>
      <c r="E240" s="15">
        <v>45701</v>
      </c>
      <c r="F240" s="14" t="s">
        <v>18</v>
      </c>
      <c r="G240" s="16">
        <v>70</v>
      </c>
    </row>
    <row r="241" spans="1:7" x14ac:dyDescent="0.25">
      <c r="A241" s="13" t="s">
        <v>689</v>
      </c>
      <c r="B241" s="13">
        <v>2100</v>
      </c>
      <c r="C241" s="14" t="str">
        <f>+VLOOKUP(B241,[1]LISTE!$A$1:$D$431,4,FALSE)</f>
        <v>MLAYEH NEZIHA</v>
      </c>
      <c r="D241" s="14" t="s">
        <v>112</v>
      </c>
      <c r="E241" s="15">
        <v>45701</v>
      </c>
      <c r="F241" s="14" t="s">
        <v>19</v>
      </c>
      <c r="G241" s="16">
        <v>73.977000000000004</v>
      </c>
    </row>
    <row r="242" spans="1:7" x14ac:dyDescent="0.25">
      <c r="A242" s="13" t="s">
        <v>689</v>
      </c>
      <c r="B242" s="13">
        <v>2100</v>
      </c>
      <c r="C242" s="14" t="str">
        <f>+VLOOKUP(B242,[1]LISTE!$A$1:$D$431,4,FALSE)</f>
        <v>MLAYEH NEZIHA</v>
      </c>
      <c r="D242" s="14" t="s">
        <v>112</v>
      </c>
      <c r="E242" s="15">
        <v>45703</v>
      </c>
      <c r="F242" s="14" t="s">
        <v>20</v>
      </c>
      <c r="G242" s="16">
        <v>138.66</v>
      </c>
    </row>
    <row r="243" spans="1:7" x14ac:dyDescent="0.25">
      <c r="A243" s="13" t="s">
        <v>737</v>
      </c>
      <c r="B243" s="13">
        <v>2100</v>
      </c>
      <c r="C243" s="14" t="str">
        <f>+VLOOKUP(B243,[1]LISTE!$A$1:$D$431,4,FALSE)</f>
        <v>MLAYEH NEZIHA</v>
      </c>
      <c r="D243" s="14" t="s">
        <v>112</v>
      </c>
      <c r="E243" s="15">
        <v>45706</v>
      </c>
      <c r="F243" s="14" t="s">
        <v>23</v>
      </c>
      <c r="G243" s="16">
        <v>1.5</v>
      </c>
    </row>
    <row r="244" spans="1:7" x14ac:dyDescent="0.25">
      <c r="A244" s="13" t="s">
        <v>737</v>
      </c>
      <c r="B244" s="13">
        <v>2100</v>
      </c>
      <c r="C244" s="14" t="str">
        <f>+VLOOKUP(B244,[1]LISTE!$A$1:$D$431,4,FALSE)</f>
        <v>MLAYEH NEZIHA</v>
      </c>
      <c r="D244" s="14" t="s">
        <v>112</v>
      </c>
      <c r="E244" s="15">
        <v>45706</v>
      </c>
      <c r="F244" s="14" t="s">
        <v>20</v>
      </c>
      <c r="G244" s="16">
        <v>31.254999999999999</v>
      </c>
    </row>
    <row r="245" spans="1:7" x14ac:dyDescent="0.25">
      <c r="A245" s="13" t="s">
        <v>643</v>
      </c>
      <c r="B245" s="13">
        <v>2102</v>
      </c>
      <c r="C245" s="14" t="str">
        <f>+VLOOKUP(B245,[1]LISTE!$A$1:$D$431,4,FALSE)</f>
        <v>BENAMER MARWA</v>
      </c>
      <c r="D245" s="15" t="s">
        <v>22</v>
      </c>
      <c r="E245" s="15">
        <v>45700</v>
      </c>
      <c r="F245" s="14" t="s">
        <v>23</v>
      </c>
      <c r="G245" s="16">
        <v>40</v>
      </c>
    </row>
    <row r="246" spans="1:7" x14ac:dyDescent="0.25">
      <c r="A246" s="13" t="s">
        <v>643</v>
      </c>
      <c r="B246" s="13">
        <v>2102</v>
      </c>
      <c r="C246" s="14" t="str">
        <f>+VLOOKUP(B246,[1]LISTE!$A$1:$D$431,4,FALSE)</f>
        <v>BENAMER MARWA</v>
      </c>
      <c r="D246" s="15" t="s">
        <v>22</v>
      </c>
      <c r="E246" s="15">
        <v>45700</v>
      </c>
      <c r="F246" s="14" t="s">
        <v>20</v>
      </c>
      <c r="G246" s="16">
        <v>14.497999999999999</v>
      </c>
    </row>
    <row r="247" spans="1:7" x14ac:dyDescent="0.25">
      <c r="A247" s="13" t="s">
        <v>643</v>
      </c>
      <c r="B247" s="13">
        <v>2102</v>
      </c>
      <c r="C247" s="14" t="str">
        <f>+VLOOKUP(B247,[1]LISTE!$A$1:$D$431,4,FALSE)</f>
        <v>BENAMER MARWA</v>
      </c>
      <c r="D247" s="15" t="s">
        <v>22</v>
      </c>
      <c r="E247" s="15">
        <v>45702</v>
      </c>
      <c r="F247" s="14" t="s">
        <v>21</v>
      </c>
      <c r="G247" s="16">
        <v>90</v>
      </c>
    </row>
    <row r="248" spans="1:7" x14ac:dyDescent="0.25">
      <c r="A248" s="13" t="s">
        <v>644</v>
      </c>
      <c r="B248" s="13">
        <v>2102</v>
      </c>
      <c r="C248" s="14" t="str">
        <f>+VLOOKUP(B248,[1]LISTE!$A$1:$D$431,4,FALSE)</f>
        <v>BENAMER MARWA</v>
      </c>
      <c r="D248" s="15" t="s">
        <v>645</v>
      </c>
      <c r="E248" s="15">
        <v>45700</v>
      </c>
      <c r="F248" s="14" t="s">
        <v>23</v>
      </c>
      <c r="G248" s="16">
        <v>40</v>
      </c>
    </row>
    <row r="249" spans="1:7" x14ac:dyDescent="0.25">
      <c r="A249" s="13" t="s">
        <v>644</v>
      </c>
      <c r="B249" s="13">
        <v>2102</v>
      </c>
      <c r="C249" s="14" t="str">
        <f>+VLOOKUP(B249,[1]LISTE!$A$1:$D$431,4,FALSE)</f>
        <v>BENAMER MARWA</v>
      </c>
      <c r="D249" s="15" t="s">
        <v>645</v>
      </c>
      <c r="E249" s="15">
        <v>45700</v>
      </c>
      <c r="F249" s="14" t="s">
        <v>20</v>
      </c>
      <c r="G249" s="16">
        <v>28.399000000000001</v>
      </c>
    </row>
    <row r="250" spans="1:7" x14ac:dyDescent="0.25">
      <c r="A250" s="13" t="s">
        <v>743</v>
      </c>
      <c r="B250" s="13">
        <v>2128</v>
      </c>
      <c r="C250" s="14" t="str">
        <f>+VLOOKUP(B250,[1]LISTE!$A$1:$D$431,4,FALSE)</f>
        <v>ILYES DHIFALLAH</v>
      </c>
      <c r="D250" s="14" t="s">
        <v>744</v>
      </c>
      <c r="E250" s="15">
        <v>45703</v>
      </c>
      <c r="F250" s="14" t="s">
        <v>18</v>
      </c>
      <c r="G250" s="16">
        <v>80</v>
      </c>
    </row>
    <row r="251" spans="1:7" x14ac:dyDescent="0.25">
      <c r="A251" s="13" t="s">
        <v>743</v>
      </c>
      <c r="B251" s="13">
        <v>2128</v>
      </c>
      <c r="C251" s="14" t="str">
        <f>+VLOOKUP(B251,[1]LISTE!$A$1:$D$431,4,FALSE)</f>
        <v>ILYES DHIFALLAH</v>
      </c>
      <c r="D251" s="14" t="s">
        <v>744</v>
      </c>
      <c r="E251" s="15">
        <v>45703</v>
      </c>
      <c r="F251" s="14" t="s">
        <v>20</v>
      </c>
      <c r="G251" s="16">
        <v>67.409000000000006</v>
      </c>
    </row>
    <row r="252" spans="1:7" x14ac:dyDescent="0.25">
      <c r="A252" s="13" t="s">
        <v>761</v>
      </c>
      <c r="B252" s="13">
        <v>2137</v>
      </c>
      <c r="C252" s="14" t="str">
        <f>+VLOOKUP(B252,[1]LISTE!$A$1:$D$431,4,FALSE)</f>
        <v>MOHAMED BOUZAMOUCHA</v>
      </c>
      <c r="D252" s="15" t="s">
        <v>22</v>
      </c>
      <c r="E252" s="15">
        <v>45698</v>
      </c>
      <c r="F252" s="14" t="s">
        <v>23</v>
      </c>
      <c r="G252" s="16">
        <v>40</v>
      </c>
    </row>
    <row r="253" spans="1:7" x14ac:dyDescent="0.25">
      <c r="A253" s="13" t="s">
        <v>761</v>
      </c>
      <c r="B253" s="13">
        <v>2137</v>
      </c>
      <c r="C253" s="14" t="str">
        <f>+VLOOKUP(B253,[1]LISTE!$A$1:$D$431,4,FALSE)</f>
        <v>MOHAMED BOUZAMOUCHA</v>
      </c>
      <c r="D253" s="15" t="s">
        <v>22</v>
      </c>
      <c r="E253" s="15">
        <v>45698</v>
      </c>
      <c r="F253" s="14" t="s">
        <v>20</v>
      </c>
      <c r="G253" s="16">
        <v>41.18</v>
      </c>
    </row>
    <row r="254" spans="1:7" x14ac:dyDescent="0.25">
      <c r="A254" s="13" t="s">
        <v>761</v>
      </c>
      <c r="B254" s="13">
        <v>2137</v>
      </c>
      <c r="C254" s="14" t="str">
        <f>+VLOOKUP(B254,[1]LISTE!$A$1:$D$431,4,FALSE)</f>
        <v>MOHAMED BOUZAMOUCHA</v>
      </c>
      <c r="D254" s="14" t="s">
        <v>22</v>
      </c>
      <c r="E254" s="15">
        <v>45698</v>
      </c>
      <c r="F254" s="14" t="s">
        <v>24</v>
      </c>
      <c r="G254" s="16">
        <v>60</v>
      </c>
    </row>
    <row r="255" spans="1:7" x14ac:dyDescent="0.25">
      <c r="A255" s="13" t="s">
        <v>683</v>
      </c>
      <c r="B255" s="13">
        <v>2145</v>
      </c>
      <c r="C255" s="14" t="str">
        <f>+VLOOKUP(B255,[1]LISTE!$A$1:$D$431,4,FALSE)</f>
        <v>MRIBAH HAMZA</v>
      </c>
      <c r="D255" s="14" t="s">
        <v>44</v>
      </c>
      <c r="E255" s="15">
        <v>45703</v>
      </c>
      <c r="F255" s="14" t="s">
        <v>23</v>
      </c>
      <c r="G255" s="16">
        <v>3</v>
      </c>
    </row>
    <row r="256" spans="1:7" x14ac:dyDescent="0.25">
      <c r="A256" s="13" t="s">
        <v>683</v>
      </c>
      <c r="B256" s="13">
        <v>2145</v>
      </c>
      <c r="C256" s="14" t="str">
        <f>+VLOOKUP(B256,[1]LISTE!$A$1:$D$431,4,FALSE)</f>
        <v>MRIBAH HAMZA</v>
      </c>
      <c r="D256" s="14" t="s">
        <v>44</v>
      </c>
      <c r="E256" s="15">
        <v>45703</v>
      </c>
      <c r="F256" s="14" t="s">
        <v>20</v>
      </c>
      <c r="G256" s="16">
        <v>33.975000000000001</v>
      </c>
    </row>
    <row r="257" spans="1:7" x14ac:dyDescent="0.25">
      <c r="A257" s="13" t="s">
        <v>684</v>
      </c>
      <c r="B257" s="13">
        <v>2170</v>
      </c>
      <c r="C257" s="14" t="str">
        <f>+VLOOKUP(B257,[1]LISTE!$A$1:$D$431,4,FALSE)</f>
        <v>BEN AHMED ANOUAR</v>
      </c>
      <c r="D257" s="14" t="s">
        <v>22</v>
      </c>
      <c r="E257" s="15">
        <v>45706</v>
      </c>
      <c r="F257" s="14" t="s">
        <v>23</v>
      </c>
      <c r="G257" s="16">
        <v>35</v>
      </c>
    </row>
    <row r="258" spans="1:7" x14ac:dyDescent="0.25">
      <c r="A258" s="13" t="s">
        <v>684</v>
      </c>
      <c r="B258" s="13">
        <v>2170</v>
      </c>
      <c r="C258" s="14" t="str">
        <f>+VLOOKUP(B258,[1]LISTE!$A$1:$D$431,4,FALSE)</f>
        <v>BEN AHMED ANOUAR</v>
      </c>
      <c r="D258" s="14" t="s">
        <v>22</v>
      </c>
      <c r="E258" s="15">
        <v>45706</v>
      </c>
      <c r="F258" s="14" t="s">
        <v>20</v>
      </c>
      <c r="G258" s="16">
        <v>55.320999999999998</v>
      </c>
    </row>
    <row r="259" spans="1:7" x14ac:dyDescent="0.25">
      <c r="A259" s="13" t="s">
        <v>725</v>
      </c>
      <c r="B259" s="13">
        <v>2179</v>
      </c>
      <c r="C259" s="14" t="str">
        <f>+VLOOKUP(B259,[1]LISTE!$A$1:$D$431,4,FALSE)</f>
        <v>BOUHLEL AHMED</v>
      </c>
      <c r="D259" s="14" t="s">
        <v>726</v>
      </c>
      <c r="E259" s="15">
        <v>45707</v>
      </c>
      <c r="F259" s="14" t="s">
        <v>18</v>
      </c>
      <c r="G259" s="16">
        <v>60</v>
      </c>
    </row>
    <row r="260" spans="1:7" x14ac:dyDescent="0.25">
      <c r="A260" s="13" t="s">
        <v>725</v>
      </c>
      <c r="B260" s="13">
        <v>2179</v>
      </c>
      <c r="C260" s="14" t="str">
        <f>+VLOOKUP(B260,[1]LISTE!$A$1:$D$431,4,FALSE)</f>
        <v>BOUHLEL AHMED</v>
      </c>
      <c r="D260" s="14" t="s">
        <v>726</v>
      </c>
      <c r="E260" s="15">
        <v>45707</v>
      </c>
      <c r="F260" s="14" t="s">
        <v>20</v>
      </c>
      <c r="G260" s="16">
        <v>61.57</v>
      </c>
    </row>
    <row r="261" spans="1:7" x14ac:dyDescent="0.25">
      <c r="A261" s="13" t="s">
        <v>719</v>
      </c>
      <c r="B261" s="13">
        <v>2229</v>
      </c>
      <c r="C261" s="14" t="s">
        <v>720</v>
      </c>
      <c r="D261" s="14" t="s">
        <v>721</v>
      </c>
      <c r="E261" s="15">
        <v>45693</v>
      </c>
      <c r="F261" s="14" t="s">
        <v>18</v>
      </c>
      <c r="G261" s="16">
        <v>70</v>
      </c>
    </row>
    <row r="262" spans="1:7" x14ac:dyDescent="0.25">
      <c r="A262" s="13" t="s">
        <v>719</v>
      </c>
      <c r="B262" s="13">
        <v>2229</v>
      </c>
      <c r="C262" s="14" t="s">
        <v>720</v>
      </c>
      <c r="D262" s="14" t="s">
        <v>721</v>
      </c>
      <c r="E262" s="15">
        <v>45696</v>
      </c>
      <c r="F262" s="14" t="s">
        <v>19</v>
      </c>
      <c r="G262" s="16">
        <v>32.314</v>
      </c>
    </row>
    <row r="263" spans="1:7" x14ac:dyDescent="0.25">
      <c r="A263" s="13" t="s">
        <v>719</v>
      </c>
      <c r="B263" s="13">
        <v>2229</v>
      </c>
      <c r="C263" s="14" t="s">
        <v>720</v>
      </c>
      <c r="D263" s="14" t="s">
        <v>721</v>
      </c>
      <c r="E263" s="15">
        <v>45693</v>
      </c>
      <c r="F263" s="14" t="s">
        <v>20</v>
      </c>
      <c r="G263" s="16">
        <v>57.604999999999997</v>
      </c>
    </row>
    <row r="264" spans="1:7" x14ac:dyDescent="0.25">
      <c r="A264" s="13" t="s">
        <v>632</v>
      </c>
      <c r="B264" s="13">
        <v>2236</v>
      </c>
      <c r="C264" s="14" t="s">
        <v>633</v>
      </c>
      <c r="D264" s="15" t="s">
        <v>22</v>
      </c>
      <c r="E264" s="15">
        <v>45699</v>
      </c>
      <c r="F264" s="14" t="s">
        <v>23</v>
      </c>
      <c r="G264" s="16">
        <v>20</v>
      </c>
    </row>
    <row r="265" spans="1:7" x14ac:dyDescent="0.25">
      <c r="A265" s="13" t="s">
        <v>632</v>
      </c>
      <c r="B265" s="13">
        <v>2236</v>
      </c>
      <c r="C265" s="14" t="s">
        <v>633</v>
      </c>
      <c r="D265" s="15" t="s">
        <v>22</v>
      </c>
      <c r="E265" s="15">
        <v>45699</v>
      </c>
      <c r="F265" s="14" t="s">
        <v>20</v>
      </c>
      <c r="G265" s="16">
        <v>9.5269999999999992</v>
      </c>
    </row>
    <row r="266" spans="1:7" x14ac:dyDescent="0.25">
      <c r="A266" s="13" t="s">
        <v>663</v>
      </c>
      <c r="B266" s="13">
        <v>2246</v>
      </c>
      <c r="C266" s="14" t="s">
        <v>664</v>
      </c>
      <c r="D266" s="14" t="s">
        <v>665</v>
      </c>
      <c r="E266" s="15">
        <v>45684</v>
      </c>
      <c r="F266" s="14" t="s">
        <v>18</v>
      </c>
      <c r="G266" s="16">
        <v>70</v>
      </c>
    </row>
    <row r="267" spans="1:7" x14ac:dyDescent="0.25">
      <c r="A267" s="13" t="s">
        <v>663</v>
      </c>
      <c r="B267" s="13">
        <v>2246</v>
      </c>
      <c r="C267" s="14" t="s">
        <v>664</v>
      </c>
      <c r="D267" s="14" t="s">
        <v>665</v>
      </c>
      <c r="E267" s="15">
        <v>45684</v>
      </c>
      <c r="F267" s="14" t="s">
        <v>20</v>
      </c>
      <c r="G267" s="16">
        <v>24.957999999999998</v>
      </c>
    </row>
    <row r="268" spans="1:7" x14ac:dyDescent="0.25">
      <c r="A268" s="13" t="s">
        <v>605</v>
      </c>
      <c r="B268" s="13">
        <v>2312</v>
      </c>
      <c r="C268" s="14" t="s">
        <v>398</v>
      </c>
      <c r="D268" s="14" t="s">
        <v>606</v>
      </c>
      <c r="E268" s="15">
        <v>45699</v>
      </c>
      <c r="F268" s="14" t="s">
        <v>23</v>
      </c>
      <c r="G268" s="16">
        <v>3</v>
      </c>
    </row>
    <row r="269" spans="1:7" x14ac:dyDescent="0.25">
      <c r="A269" s="13" t="s">
        <v>605</v>
      </c>
      <c r="B269" s="13">
        <v>2312</v>
      </c>
      <c r="C269" s="14" t="s">
        <v>398</v>
      </c>
      <c r="D269" s="14" t="s">
        <v>606</v>
      </c>
      <c r="E269" s="15">
        <v>45699</v>
      </c>
      <c r="F269" s="14" t="s">
        <v>21</v>
      </c>
      <c r="G269" s="16">
        <v>4.5</v>
      </c>
    </row>
    <row r="270" spans="1:7" x14ac:dyDescent="0.25">
      <c r="A270" s="13" t="s">
        <v>605</v>
      </c>
      <c r="B270" s="13">
        <v>2312</v>
      </c>
      <c r="C270" s="14" t="s">
        <v>398</v>
      </c>
      <c r="D270" s="14" t="s">
        <v>606</v>
      </c>
      <c r="E270" s="15">
        <v>45699</v>
      </c>
      <c r="F270" s="14" t="s">
        <v>20</v>
      </c>
      <c r="G270" s="16">
        <v>21.42</v>
      </c>
    </row>
    <row r="271" spans="1:7" x14ac:dyDescent="0.25">
      <c r="A271" s="13" t="s">
        <v>713</v>
      </c>
      <c r="B271" s="13">
        <v>2326</v>
      </c>
      <c r="C271" s="14" t="s">
        <v>28</v>
      </c>
      <c r="D271" s="15" t="s">
        <v>67</v>
      </c>
      <c r="E271" s="15">
        <v>45703</v>
      </c>
      <c r="F271" s="14" t="s">
        <v>18</v>
      </c>
      <c r="G271" s="16">
        <v>60</v>
      </c>
    </row>
    <row r="272" spans="1:7" x14ac:dyDescent="0.25">
      <c r="A272" s="13" t="s">
        <v>713</v>
      </c>
      <c r="B272" s="13">
        <v>2326</v>
      </c>
      <c r="C272" s="14" t="s">
        <v>28</v>
      </c>
      <c r="D272" s="15" t="s">
        <v>67</v>
      </c>
      <c r="E272" s="15">
        <v>45703</v>
      </c>
      <c r="F272" s="14" t="s">
        <v>20</v>
      </c>
      <c r="G272" s="16">
        <v>56.146999999999998</v>
      </c>
    </row>
    <row r="273" spans="1:7" x14ac:dyDescent="0.25">
      <c r="A273" s="13" t="s">
        <v>696</v>
      </c>
      <c r="B273" s="13">
        <v>2330</v>
      </c>
      <c r="C273" s="14" t="s">
        <v>697</v>
      </c>
      <c r="D273" s="15" t="s">
        <v>22</v>
      </c>
      <c r="E273" s="15">
        <v>45706</v>
      </c>
      <c r="F273" s="14" t="s">
        <v>18</v>
      </c>
      <c r="G273" s="16">
        <v>70</v>
      </c>
    </row>
    <row r="274" spans="1:7" x14ac:dyDescent="0.25">
      <c r="A274" s="13" t="s">
        <v>696</v>
      </c>
      <c r="B274" s="13">
        <v>2330</v>
      </c>
      <c r="C274" s="14" t="s">
        <v>697</v>
      </c>
      <c r="D274" s="15" t="s">
        <v>22</v>
      </c>
      <c r="E274" s="15">
        <v>45706</v>
      </c>
      <c r="F274" s="14" t="s">
        <v>20</v>
      </c>
      <c r="G274" s="16">
        <v>37.545000000000002</v>
      </c>
    </row>
    <row r="275" spans="1:7" x14ac:dyDescent="0.25">
      <c r="A275" s="13" t="s">
        <v>733</v>
      </c>
      <c r="B275" s="13">
        <v>2404</v>
      </c>
      <c r="C275" s="14" t="s">
        <v>734</v>
      </c>
      <c r="D275" s="15" t="s">
        <v>22</v>
      </c>
      <c r="E275" s="15">
        <v>45699</v>
      </c>
      <c r="F275" s="14" t="s">
        <v>23</v>
      </c>
      <c r="G275" s="16">
        <v>40</v>
      </c>
    </row>
    <row r="276" spans="1:7" x14ac:dyDescent="0.25">
      <c r="A276" s="13" t="s">
        <v>733</v>
      </c>
      <c r="B276" s="13">
        <v>2404</v>
      </c>
      <c r="C276" s="14" t="s">
        <v>734</v>
      </c>
      <c r="D276" s="15" t="s">
        <v>22</v>
      </c>
      <c r="E276" s="15">
        <v>45706</v>
      </c>
      <c r="F276" s="14" t="s">
        <v>24</v>
      </c>
      <c r="G276" s="16">
        <v>80</v>
      </c>
    </row>
    <row r="277" spans="1:7" x14ac:dyDescent="0.25">
      <c r="A277" s="13" t="s">
        <v>688</v>
      </c>
      <c r="B277" s="13">
        <v>2444</v>
      </c>
      <c r="C277" s="14" t="s">
        <v>271</v>
      </c>
      <c r="D277" s="15" t="s">
        <v>236</v>
      </c>
      <c r="E277" s="15">
        <v>45702</v>
      </c>
      <c r="F277" s="14" t="s">
        <v>18</v>
      </c>
      <c r="G277" s="16">
        <v>70</v>
      </c>
    </row>
    <row r="278" spans="1:7" x14ac:dyDescent="0.25">
      <c r="A278" s="13" t="s">
        <v>688</v>
      </c>
      <c r="B278" s="13">
        <v>2444</v>
      </c>
      <c r="C278" s="14" t="s">
        <v>271</v>
      </c>
      <c r="D278" s="14" t="s">
        <v>236</v>
      </c>
      <c r="E278" s="15">
        <v>45702</v>
      </c>
      <c r="F278" s="14" t="s">
        <v>20</v>
      </c>
      <c r="G278" s="16">
        <v>114.5</v>
      </c>
    </row>
    <row r="279" spans="1:7" x14ac:dyDescent="0.25">
      <c r="A279" s="13" t="s">
        <v>715</v>
      </c>
      <c r="B279" s="13">
        <v>2536</v>
      </c>
      <c r="C279" s="14" t="s">
        <v>716</v>
      </c>
      <c r="D279" s="14" t="s">
        <v>717</v>
      </c>
      <c r="E279" s="15">
        <v>45703</v>
      </c>
      <c r="F279" s="14" t="s">
        <v>18</v>
      </c>
      <c r="G279" s="16">
        <v>80</v>
      </c>
    </row>
    <row r="280" spans="1:7" x14ac:dyDescent="0.25">
      <c r="A280" s="13" t="s">
        <v>630</v>
      </c>
      <c r="B280" s="13">
        <v>2592</v>
      </c>
      <c r="C280" s="14" t="s">
        <v>631</v>
      </c>
      <c r="D280" s="14" t="s">
        <v>22</v>
      </c>
      <c r="E280" s="15">
        <v>45689</v>
      </c>
      <c r="F280" s="14" t="s">
        <v>23</v>
      </c>
      <c r="G280" s="16">
        <v>80</v>
      </c>
    </row>
    <row r="281" spans="1:7" x14ac:dyDescent="0.25">
      <c r="A281" s="13" t="s">
        <v>630</v>
      </c>
      <c r="B281" s="13">
        <v>2592</v>
      </c>
      <c r="C281" s="14" t="s">
        <v>631</v>
      </c>
      <c r="D281" s="14" t="s">
        <v>22</v>
      </c>
      <c r="E281" s="15">
        <v>45689</v>
      </c>
      <c r="F281" s="14" t="s">
        <v>20</v>
      </c>
      <c r="G281" s="16">
        <v>21.33</v>
      </c>
    </row>
    <row r="282" spans="1:7" x14ac:dyDescent="0.25">
      <c r="A282" s="13" t="s">
        <v>630</v>
      </c>
      <c r="B282" s="13">
        <v>2592</v>
      </c>
      <c r="C282" s="14" t="s">
        <v>631</v>
      </c>
      <c r="D282" s="14" t="s">
        <v>22</v>
      </c>
      <c r="E282" s="15">
        <v>45693</v>
      </c>
      <c r="F282" s="14" t="s">
        <v>20</v>
      </c>
      <c r="G282" s="16">
        <v>16.234999999999999</v>
      </c>
    </row>
    <row r="283" spans="1:7" x14ac:dyDescent="0.25">
      <c r="A283" s="13" t="s">
        <v>630</v>
      </c>
      <c r="B283" s="13">
        <v>2592</v>
      </c>
      <c r="C283" s="14" t="s">
        <v>631</v>
      </c>
      <c r="D283" s="14" t="s">
        <v>22</v>
      </c>
      <c r="E283" s="15">
        <v>45689</v>
      </c>
      <c r="F283" s="14" t="s">
        <v>21</v>
      </c>
      <c r="G283" s="16">
        <v>50</v>
      </c>
    </row>
    <row r="284" spans="1:7" x14ac:dyDescent="0.25">
      <c r="A284" s="13" t="s">
        <v>630</v>
      </c>
      <c r="B284" s="13">
        <v>2592</v>
      </c>
      <c r="C284" s="14" t="s">
        <v>631</v>
      </c>
      <c r="D284" s="15" t="s">
        <v>22</v>
      </c>
      <c r="E284" s="15">
        <v>45693</v>
      </c>
      <c r="F284" s="14" t="s">
        <v>24</v>
      </c>
      <c r="G284" s="16">
        <v>150</v>
      </c>
    </row>
    <row r="285" spans="1:7" x14ac:dyDescent="0.25">
      <c r="A285" s="13" t="s">
        <v>635</v>
      </c>
      <c r="B285" s="13">
        <v>2631</v>
      </c>
      <c r="C285" s="14" t="s">
        <v>533</v>
      </c>
      <c r="D285" s="14" t="s">
        <v>636</v>
      </c>
      <c r="E285" s="15">
        <v>45696</v>
      </c>
      <c r="F285" s="14" t="s">
        <v>18</v>
      </c>
      <c r="G285" s="16">
        <v>70</v>
      </c>
    </row>
    <row r="286" spans="1:7" x14ac:dyDescent="0.25">
      <c r="A286" s="13" t="s">
        <v>635</v>
      </c>
      <c r="B286" s="13">
        <v>2631</v>
      </c>
      <c r="C286" s="14" t="s">
        <v>533</v>
      </c>
      <c r="D286" s="14" t="s">
        <v>636</v>
      </c>
      <c r="E286" s="15">
        <v>45696</v>
      </c>
      <c r="F286" s="14" t="s">
        <v>20</v>
      </c>
      <c r="G286" s="16">
        <v>7.83</v>
      </c>
    </row>
    <row r="287" spans="1:7" x14ac:dyDescent="0.25">
      <c r="A287" s="13" t="s">
        <v>616</v>
      </c>
      <c r="B287" s="13">
        <v>2633</v>
      </c>
      <c r="C287" s="14" t="s">
        <v>157</v>
      </c>
      <c r="D287" s="14" t="s">
        <v>158</v>
      </c>
      <c r="E287" s="15">
        <v>45678</v>
      </c>
      <c r="F287" s="14" t="s">
        <v>19</v>
      </c>
      <c r="G287" s="16">
        <v>60.5</v>
      </c>
    </row>
    <row r="288" spans="1:7" ht="18.75" x14ac:dyDescent="0.3">
      <c r="A288" s="14"/>
      <c r="B288" s="28"/>
      <c r="C288" s="29"/>
      <c r="D288" s="14"/>
      <c r="E288" s="28"/>
      <c r="F288" s="17" t="s">
        <v>11</v>
      </c>
      <c r="G288" s="17">
        <f>SUM(G10:G287)</f>
        <v>23733.253199999999</v>
      </c>
    </row>
    <row r="289" spans="1:7" ht="18.75" x14ac:dyDescent="0.3">
      <c r="A289" s="38"/>
      <c r="B289" s="39"/>
      <c r="C289" s="40"/>
      <c r="D289" s="41"/>
      <c r="E289" s="19"/>
      <c r="F289" s="18"/>
      <c r="G289" s="34"/>
    </row>
    <row r="290" spans="1:7" ht="18.75" x14ac:dyDescent="0.3">
      <c r="A290" s="35"/>
      <c r="B290" s="36"/>
      <c r="C290" s="37"/>
      <c r="D290" s="42"/>
      <c r="E290" s="43"/>
      <c r="F290" s="44"/>
      <c r="G290" s="44"/>
    </row>
    <row r="291" spans="1:7" ht="15.75" x14ac:dyDescent="0.25">
      <c r="A291" s="35"/>
      <c r="B291" s="36" t="s">
        <v>12</v>
      </c>
      <c r="C291" s="37"/>
      <c r="E291" s="36" t="s">
        <v>13</v>
      </c>
      <c r="F291" s="18"/>
      <c r="G291" s="18"/>
    </row>
    <row r="292" spans="1:7" ht="15.75" x14ac:dyDescent="0.25">
      <c r="A292" s="45"/>
      <c r="B292" s="46" t="s">
        <v>14</v>
      </c>
      <c r="C292" s="47"/>
      <c r="E292" s="36" t="s">
        <v>15</v>
      </c>
      <c r="F292" s="18"/>
      <c r="G292" s="18"/>
    </row>
    <row r="293" spans="1:7" ht="15.75" x14ac:dyDescent="0.25">
      <c r="A293" s="23"/>
      <c r="B293" s="24"/>
      <c r="C293" s="25"/>
      <c r="E293" s="27"/>
      <c r="F293" s="18"/>
      <c r="G293" s="18"/>
    </row>
    <row r="294" spans="1:7" ht="18.75" x14ac:dyDescent="0.3">
      <c r="B294" s="19"/>
      <c r="C294" s="20"/>
      <c r="D294" s="21"/>
      <c r="E294" s="22"/>
      <c r="F294" s="19"/>
      <c r="G294" s="22"/>
    </row>
    <row r="295" spans="1:7" ht="15.75" x14ac:dyDescent="0.25">
      <c r="A295" s="23"/>
      <c r="B295" s="24"/>
      <c r="C295" s="25"/>
      <c r="D295" s="26"/>
      <c r="E295" s="22"/>
      <c r="F295" s="27"/>
      <c r="G295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Page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8"/>
  <sheetViews>
    <sheetView workbookViewId="0">
      <pane ySplit="9" topLeftCell="A10" activePane="bottomLeft" state="frozen"/>
      <selection pane="bottomLeft" sqref="A1:A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772</v>
      </c>
      <c r="C5" s="7"/>
      <c r="D5" s="4"/>
    </row>
    <row r="6" spans="1:7" ht="22.5" customHeight="1" x14ac:dyDescent="0.25">
      <c r="A6" s="6"/>
      <c r="B6" s="8" t="s">
        <v>925</v>
      </c>
      <c r="C6" s="9"/>
      <c r="D6" s="4"/>
    </row>
    <row r="7" spans="1:7" ht="22.5" customHeight="1" x14ac:dyDescent="0.35">
      <c r="A7" s="4"/>
      <c r="B7" s="10"/>
      <c r="C7" s="11" t="s">
        <v>924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893</v>
      </c>
      <c r="B10" s="13">
        <v>590</v>
      </c>
      <c r="C10" s="14" t="str">
        <f>+VLOOKUP(B10,[1]LISTE!$A$1:$D$431,4,FALSE)</f>
        <v>KHALFALLAH ABDELAZIZ</v>
      </c>
      <c r="D10" s="15" t="s">
        <v>279</v>
      </c>
      <c r="E10" s="15">
        <v>45707</v>
      </c>
      <c r="F10" s="14" t="s">
        <v>19</v>
      </c>
      <c r="G10" s="16">
        <v>63.24</v>
      </c>
    </row>
    <row r="11" spans="1:7" x14ac:dyDescent="0.25">
      <c r="A11" s="13" t="s">
        <v>893</v>
      </c>
      <c r="B11" s="13">
        <v>590</v>
      </c>
      <c r="C11" s="14" t="str">
        <f>+VLOOKUP(B11,[1]LISTE!$A$1:$D$431,4,FALSE)</f>
        <v>KHALFALLAH ABDELAZIZ</v>
      </c>
      <c r="D11" s="14" t="s">
        <v>279</v>
      </c>
      <c r="E11" s="15">
        <v>45710</v>
      </c>
      <c r="F11" s="14" t="s">
        <v>20</v>
      </c>
      <c r="G11" s="16">
        <v>89.72</v>
      </c>
    </row>
    <row r="12" spans="1:7" x14ac:dyDescent="0.25">
      <c r="A12" s="13" t="s">
        <v>899</v>
      </c>
      <c r="B12" s="13">
        <v>692</v>
      </c>
      <c r="C12" s="14" t="str">
        <f>+VLOOKUP(B12,[1]LISTE!$A$1:$D$431,4,FALSE)</f>
        <v>ABDELLAH MOHAMED</v>
      </c>
      <c r="D12" s="14" t="s">
        <v>604</v>
      </c>
      <c r="E12" s="15">
        <v>45710</v>
      </c>
      <c r="F12" s="14" t="s">
        <v>18</v>
      </c>
      <c r="G12" s="16">
        <v>70</v>
      </c>
    </row>
    <row r="13" spans="1:7" x14ac:dyDescent="0.25">
      <c r="A13" s="13" t="s">
        <v>899</v>
      </c>
      <c r="B13" s="13">
        <v>692</v>
      </c>
      <c r="C13" s="14" t="str">
        <f>+VLOOKUP(B13,[1]LISTE!$A$1:$D$431,4,FALSE)</f>
        <v>ABDELLAH MOHAMED</v>
      </c>
      <c r="D13" s="14" t="s">
        <v>604</v>
      </c>
      <c r="E13" s="15">
        <v>45722</v>
      </c>
      <c r="F13" s="14" t="s">
        <v>20</v>
      </c>
      <c r="G13" s="16">
        <v>3.71</v>
      </c>
    </row>
    <row r="14" spans="1:7" x14ac:dyDescent="0.25">
      <c r="A14" s="13" t="s">
        <v>900</v>
      </c>
      <c r="B14" s="13">
        <v>692</v>
      </c>
      <c r="C14" s="14" t="str">
        <f>+VLOOKUP(B14,[1]LISTE!$A$1:$D$431,4,FALSE)</f>
        <v>ABDELLAH MOHAMED</v>
      </c>
      <c r="D14" s="14" t="s">
        <v>604</v>
      </c>
      <c r="E14" s="15">
        <v>45705</v>
      </c>
      <c r="F14" s="14" t="s">
        <v>20</v>
      </c>
      <c r="G14" s="16">
        <v>35.185000000000002</v>
      </c>
    </row>
    <row r="15" spans="1:7" x14ac:dyDescent="0.25">
      <c r="A15" s="13" t="s">
        <v>833</v>
      </c>
      <c r="B15" s="13">
        <v>700</v>
      </c>
      <c r="C15" s="14" t="str">
        <f>+VLOOKUP(B15,[1]LISTE!$A$1:$D$431,4,FALSE)</f>
        <v>ZORGATI ABDELFATTEH</v>
      </c>
      <c r="D15" s="15" t="s">
        <v>22</v>
      </c>
      <c r="E15" s="15">
        <v>45713</v>
      </c>
      <c r="F15" s="14" t="s">
        <v>23</v>
      </c>
      <c r="G15" s="16">
        <v>25</v>
      </c>
    </row>
    <row r="16" spans="1:7" x14ac:dyDescent="0.25">
      <c r="A16" s="13" t="s">
        <v>833</v>
      </c>
      <c r="B16" s="13">
        <v>700</v>
      </c>
      <c r="C16" s="14" t="str">
        <f>+VLOOKUP(B16,[1]LISTE!$A$1:$D$431,4,FALSE)</f>
        <v>ZORGATI ABDELFATTEH</v>
      </c>
      <c r="D16" s="14" t="s">
        <v>22</v>
      </c>
      <c r="E16" s="15">
        <v>45713</v>
      </c>
      <c r="F16" s="14" t="s">
        <v>20</v>
      </c>
      <c r="G16" s="16">
        <v>55.719000000000001</v>
      </c>
    </row>
    <row r="17" spans="1:7" x14ac:dyDescent="0.25">
      <c r="A17" s="13" t="s">
        <v>788</v>
      </c>
      <c r="B17" s="13">
        <v>721</v>
      </c>
      <c r="C17" s="14" t="str">
        <f>+VLOOKUP(B17,[1]LISTE!$A$1:$D$431,4,FALSE)</f>
        <v>BEN ABDELJELIL WAHID</v>
      </c>
      <c r="D17" s="15" t="s">
        <v>22</v>
      </c>
      <c r="E17" s="15">
        <v>45710</v>
      </c>
      <c r="F17" s="14" t="s">
        <v>23</v>
      </c>
      <c r="G17" s="16">
        <v>25</v>
      </c>
    </row>
    <row r="18" spans="1:7" x14ac:dyDescent="0.25">
      <c r="A18" s="13" t="s">
        <v>788</v>
      </c>
      <c r="B18" s="13">
        <v>721</v>
      </c>
      <c r="C18" s="14" t="str">
        <f>+VLOOKUP(B18,[1]LISTE!$A$1:$D$431,4,FALSE)</f>
        <v>BEN ABDELJELIL WAHID</v>
      </c>
      <c r="D18" s="15" t="s">
        <v>22</v>
      </c>
      <c r="E18" s="15">
        <v>45710</v>
      </c>
      <c r="F18" s="14" t="s">
        <v>20</v>
      </c>
      <c r="G18" s="16">
        <v>43.674999999999997</v>
      </c>
    </row>
    <row r="19" spans="1:7" x14ac:dyDescent="0.25">
      <c r="A19" s="13" t="s">
        <v>863</v>
      </c>
      <c r="B19" s="13">
        <v>721</v>
      </c>
      <c r="C19" s="14" t="str">
        <f>+VLOOKUP(B19,[1]LISTE!$A$1:$D$431,4,FALSE)</f>
        <v>BEN ABDELJELIL WAHID</v>
      </c>
      <c r="D19" s="15" t="s">
        <v>31</v>
      </c>
      <c r="E19" s="15">
        <v>45699</v>
      </c>
      <c r="F19" s="14" t="s">
        <v>18</v>
      </c>
      <c r="G19" s="16">
        <v>70</v>
      </c>
    </row>
    <row r="20" spans="1:7" x14ac:dyDescent="0.25">
      <c r="A20" s="13" t="s">
        <v>863</v>
      </c>
      <c r="B20" s="13">
        <v>721</v>
      </c>
      <c r="C20" s="14" t="str">
        <f>+VLOOKUP(B20,[1]LISTE!$A$1:$D$431,4,FALSE)</f>
        <v>BEN ABDELJELIL WAHID</v>
      </c>
      <c r="D20" s="14" t="s">
        <v>31</v>
      </c>
      <c r="E20" s="15">
        <v>45699</v>
      </c>
      <c r="F20" s="14" t="s">
        <v>20</v>
      </c>
      <c r="G20" s="16">
        <v>30.35</v>
      </c>
    </row>
    <row r="21" spans="1:7" x14ac:dyDescent="0.25">
      <c r="A21" s="13" t="s">
        <v>797</v>
      </c>
      <c r="B21" s="13">
        <v>775</v>
      </c>
      <c r="C21" s="14" t="str">
        <f>+VLOOKUP(B21,[1]LISTE!$A$1:$D$431,4,FALSE)</f>
        <v>ZORGATI MONDHER</v>
      </c>
      <c r="D21" s="14" t="s">
        <v>22</v>
      </c>
      <c r="E21" s="15">
        <v>45668</v>
      </c>
      <c r="F21" s="14" t="s">
        <v>18</v>
      </c>
      <c r="G21" s="16">
        <v>70</v>
      </c>
    </row>
    <row r="22" spans="1:7" x14ac:dyDescent="0.25">
      <c r="A22" s="13" t="s">
        <v>797</v>
      </c>
      <c r="B22" s="13">
        <v>775</v>
      </c>
      <c r="C22" s="14" t="str">
        <f>+VLOOKUP(B22,[1]LISTE!$A$1:$D$431,4,FALSE)</f>
        <v>ZORGATI MONDHER</v>
      </c>
      <c r="D22" s="14" t="s">
        <v>22</v>
      </c>
      <c r="E22" s="15">
        <v>45709</v>
      </c>
      <c r="F22" s="14" t="s">
        <v>65</v>
      </c>
      <c r="G22" s="16">
        <v>153</v>
      </c>
    </row>
    <row r="23" spans="1:7" x14ac:dyDescent="0.25">
      <c r="A23" s="13" t="s">
        <v>797</v>
      </c>
      <c r="B23" s="13">
        <v>775</v>
      </c>
      <c r="C23" s="14" t="str">
        <f>+VLOOKUP(B23,[1]LISTE!$A$1:$D$431,4,FALSE)</f>
        <v>ZORGATI MONDHER</v>
      </c>
      <c r="D23" s="15" t="s">
        <v>22</v>
      </c>
      <c r="E23" s="15">
        <v>45668</v>
      </c>
      <c r="F23" s="14" t="s">
        <v>20</v>
      </c>
      <c r="G23" s="16">
        <v>21.555</v>
      </c>
    </row>
    <row r="24" spans="1:7" x14ac:dyDescent="0.25">
      <c r="A24" s="13" t="s">
        <v>799</v>
      </c>
      <c r="B24" s="13">
        <v>775</v>
      </c>
      <c r="C24" s="14" t="str">
        <f>+VLOOKUP(B24,[1]LISTE!$A$1:$D$431,4,FALSE)</f>
        <v>ZORGATI MONDHER</v>
      </c>
      <c r="D24" s="15" t="s">
        <v>322</v>
      </c>
      <c r="E24" s="15">
        <v>45687</v>
      </c>
      <c r="F24" s="14" t="s">
        <v>23</v>
      </c>
      <c r="G24" s="16">
        <v>50</v>
      </c>
    </row>
    <row r="25" spans="1:7" x14ac:dyDescent="0.25">
      <c r="A25" s="13" t="s">
        <v>799</v>
      </c>
      <c r="B25" s="13">
        <v>775</v>
      </c>
      <c r="C25" s="14" t="str">
        <f>+VLOOKUP(B25,[1]LISTE!$A$1:$D$431,4,FALSE)</f>
        <v>ZORGATI MONDHER</v>
      </c>
      <c r="D25" s="15" t="s">
        <v>322</v>
      </c>
      <c r="E25" s="15">
        <v>45687</v>
      </c>
      <c r="F25" s="14" t="s">
        <v>20</v>
      </c>
      <c r="G25" s="16">
        <v>2.605</v>
      </c>
    </row>
    <row r="26" spans="1:7" x14ac:dyDescent="0.25">
      <c r="A26" s="13" t="s">
        <v>799</v>
      </c>
      <c r="B26" s="13">
        <v>775</v>
      </c>
      <c r="C26" s="14" t="str">
        <f>+VLOOKUP(B26,[1]LISTE!$A$1:$D$431,4,FALSE)</f>
        <v>ZORGATI MONDHER</v>
      </c>
      <c r="D26" s="15" t="s">
        <v>322</v>
      </c>
      <c r="E26" s="15">
        <v>45694</v>
      </c>
      <c r="F26" s="14" t="s">
        <v>24</v>
      </c>
      <c r="G26" s="16">
        <v>320</v>
      </c>
    </row>
    <row r="27" spans="1:7" x14ac:dyDescent="0.25">
      <c r="A27" s="13" t="s">
        <v>800</v>
      </c>
      <c r="B27" s="13">
        <v>775</v>
      </c>
      <c r="C27" s="14" t="str">
        <f>+VLOOKUP(B27,[1]LISTE!$A$1:$D$431,4,FALSE)</f>
        <v>ZORGATI MONDHER</v>
      </c>
      <c r="D27" s="15" t="s">
        <v>322</v>
      </c>
      <c r="E27" s="15">
        <v>45694</v>
      </c>
      <c r="F27" s="14" t="s">
        <v>20</v>
      </c>
      <c r="G27" s="16">
        <v>3.11</v>
      </c>
    </row>
    <row r="28" spans="1:7" x14ac:dyDescent="0.25">
      <c r="A28" s="13" t="s">
        <v>800</v>
      </c>
      <c r="B28" s="13">
        <v>775</v>
      </c>
      <c r="C28" s="14" t="str">
        <f>+VLOOKUP(B28,[1]LISTE!$A$1:$D$431,4,FALSE)</f>
        <v>ZORGATI MONDHER</v>
      </c>
      <c r="D28" s="14" t="s">
        <v>322</v>
      </c>
      <c r="E28" s="15">
        <v>45707</v>
      </c>
      <c r="F28" s="14" t="s">
        <v>24</v>
      </c>
      <c r="G28" s="16">
        <v>480</v>
      </c>
    </row>
    <row r="29" spans="1:7" x14ac:dyDescent="0.25">
      <c r="A29" s="13" t="s">
        <v>879</v>
      </c>
      <c r="B29" s="13">
        <v>832</v>
      </c>
      <c r="C29" s="14" t="str">
        <f>+VLOOKUP(B29,[1]LISTE!$A$1:$D$431,4,FALSE)</f>
        <v>ABBASSI LOTFI</v>
      </c>
      <c r="D29" s="15" t="s">
        <v>604</v>
      </c>
      <c r="E29" s="15">
        <v>45703</v>
      </c>
      <c r="F29" s="14" t="s">
        <v>65</v>
      </c>
      <c r="G29" s="16">
        <v>39.689</v>
      </c>
    </row>
    <row r="30" spans="1:7" x14ac:dyDescent="0.25">
      <c r="A30" s="13" t="s">
        <v>879</v>
      </c>
      <c r="B30" s="13">
        <v>832</v>
      </c>
      <c r="C30" s="14" t="str">
        <f>+VLOOKUP(B30,[1]LISTE!$A$1:$D$431,4,FALSE)</f>
        <v>ABBASSI LOTFI</v>
      </c>
      <c r="D30" s="15" t="s">
        <v>604</v>
      </c>
      <c r="E30" s="15">
        <v>45708</v>
      </c>
      <c r="F30" s="14" t="s">
        <v>363</v>
      </c>
      <c r="G30" s="16">
        <v>380</v>
      </c>
    </row>
    <row r="31" spans="1:7" x14ac:dyDescent="0.25">
      <c r="A31" s="13" t="s">
        <v>879</v>
      </c>
      <c r="B31" s="13">
        <v>832</v>
      </c>
      <c r="C31" s="14" t="str">
        <f>+VLOOKUP(B31,[1]LISTE!$A$1:$D$431,4,FALSE)</f>
        <v>ABBASSI LOTFI</v>
      </c>
      <c r="D31" s="15" t="s">
        <v>604</v>
      </c>
      <c r="E31" s="15">
        <v>45705</v>
      </c>
      <c r="F31" s="14" t="s">
        <v>19</v>
      </c>
      <c r="G31" s="16">
        <v>200</v>
      </c>
    </row>
    <row r="32" spans="1:7" x14ac:dyDescent="0.25">
      <c r="A32" s="13" t="s">
        <v>879</v>
      </c>
      <c r="B32" s="13">
        <v>832</v>
      </c>
      <c r="C32" s="14" t="str">
        <f>+VLOOKUP(B32,[1]LISTE!$A$1:$D$431,4,FALSE)</f>
        <v>ABBASSI LOTFI</v>
      </c>
      <c r="D32" s="15" t="s">
        <v>604</v>
      </c>
      <c r="E32" s="15">
        <v>45708</v>
      </c>
      <c r="F32" s="14" t="s">
        <v>20</v>
      </c>
      <c r="G32" s="16">
        <v>203.18100000000001</v>
      </c>
    </row>
    <row r="33" spans="1:7" x14ac:dyDescent="0.25">
      <c r="A33" s="13" t="s">
        <v>879</v>
      </c>
      <c r="B33" s="13">
        <v>832</v>
      </c>
      <c r="C33" s="14" t="str">
        <f>+VLOOKUP(B33,[1]LISTE!$A$1:$D$431,4,FALSE)</f>
        <v>ABBASSI LOTFI</v>
      </c>
      <c r="D33" s="14" t="s">
        <v>604</v>
      </c>
      <c r="E33" s="15">
        <v>45704</v>
      </c>
      <c r="F33" s="14" t="s">
        <v>20</v>
      </c>
      <c r="G33" s="16">
        <v>116.25700000000001</v>
      </c>
    </row>
    <row r="34" spans="1:7" x14ac:dyDescent="0.25">
      <c r="A34" s="13" t="s">
        <v>879</v>
      </c>
      <c r="B34" s="13">
        <v>832</v>
      </c>
      <c r="C34" s="14" t="str">
        <f>+VLOOKUP(B34,[1]LISTE!$A$1:$D$431,4,FALSE)</f>
        <v>ABBASSI LOTFI</v>
      </c>
      <c r="D34" s="14" t="s">
        <v>604</v>
      </c>
      <c r="E34" s="15">
        <v>45704</v>
      </c>
      <c r="F34" s="14" t="s">
        <v>364</v>
      </c>
      <c r="G34" s="16">
        <v>1798.3879999999999</v>
      </c>
    </row>
    <row r="35" spans="1:7" x14ac:dyDescent="0.25">
      <c r="A35" s="13" t="s">
        <v>897</v>
      </c>
      <c r="B35" s="13">
        <v>879</v>
      </c>
      <c r="C35" s="14" t="str">
        <f>+VLOOKUP(B35,[1]LISTE!$A$1:$D$431,4,FALSE)</f>
        <v>MOUSSA ABDERRAZEK</v>
      </c>
      <c r="D35" s="15" t="s">
        <v>898</v>
      </c>
      <c r="E35" s="15">
        <v>45716</v>
      </c>
      <c r="F35" s="14" t="s">
        <v>23</v>
      </c>
      <c r="G35" s="16">
        <v>45</v>
      </c>
    </row>
    <row r="36" spans="1:7" x14ac:dyDescent="0.25">
      <c r="A36" s="13" t="s">
        <v>897</v>
      </c>
      <c r="B36" s="13">
        <v>879</v>
      </c>
      <c r="C36" s="14" t="str">
        <f>+VLOOKUP(B36,[1]LISTE!$A$1:$D$431,4,FALSE)</f>
        <v>MOUSSA ABDERRAZEK</v>
      </c>
      <c r="D36" s="14" t="s">
        <v>898</v>
      </c>
      <c r="E36" s="15">
        <v>45716</v>
      </c>
      <c r="F36" s="14" t="s">
        <v>20</v>
      </c>
      <c r="G36" s="16">
        <v>26.69</v>
      </c>
    </row>
    <row r="37" spans="1:7" x14ac:dyDescent="0.25">
      <c r="A37" s="13" t="s">
        <v>822</v>
      </c>
      <c r="B37" s="13">
        <v>913</v>
      </c>
      <c r="C37" s="14" t="str">
        <f>+VLOOKUP(B37,[1]LISTE!$A$1:$D$431,4,FALSE)</f>
        <v>MAOUA MED HEDI</v>
      </c>
      <c r="D37" s="14" t="s">
        <v>823</v>
      </c>
      <c r="E37" s="15">
        <v>45709</v>
      </c>
      <c r="F37" s="14" t="s">
        <v>18</v>
      </c>
      <c r="G37" s="16">
        <v>70</v>
      </c>
    </row>
    <row r="38" spans="1:7" x14ac:dyDescent="0.25">
      <c r="A38" s="13" t="s">
        <v>822</v>
      </c>
      <c r="B38" s="13">
        <v>913</v>
      </c>
      <c r="C38" s="14" t="str">
        <f>+VLOOKUP(B38,[1]LISTE!$A$1:$D$431,4,FALSE)</f>
        <v>MAOUA MED HEDI</v>
      </c>
      <c r="D38" s="14" t="s">
        <v>823</v>
      </c>
      <c r="E38" s="15">
        <v>45712</v>
      </c>
      <c r="F38" s="14" t="s">
        <v>69</v>
      </c>
      <c r="G38" s="16">
        <v>360</v>
      </c>
    </row>
    <row r="39" spans="1:7" x14ac:dyDescent="0.25">
      <c r="A39" s="13" t="s">
        <v>810</v>
      </c>
      <c r="B39" s="13">
        <v>978</v>
      </c>
      <c r="C39" s="14" t="str">
        <f>+VLOOKUP(B39,[1]LISTE!$A$1:$D$431,4,FALSE)</f>
        <v>GRAIET ADEL</v>
      </c>
      <c r="D39" s="14" t="s">
        <v>543</v>
      </c>
      <c r="E39" s="15">
        <v>45705</v>
      </c>
      <c r="F39" s="14" t="s">
        <v>18</v>
      </c>
      <c r="G39" s="16">
        <v>70</v>
      </c>
    </row>
    <row r="40" spans="1:7" x14ac:dyDescent="0.25">
      <c r="A40" s="13" t="s">
        <v>810</v>
      </c>
      <c r="B40" s="13">
        <v>978</v>
      </c>
      <c r="C40" s="14" t="str">
        <f>+VLOOKUP(B40,[1]LISTE!$A$1:$D$431,4,FALSE)</f>
        <v>GRAIET ADEL</v>
      </c>
      <c r="D40" s="14" t="s">
        <v>543</v>
      </c>
      <c r="E40" s="15">
        <v>45714</v>
      </c>
      <c r="F40" s="14" t="s">
        <v>20</v>
      </c>
      <c r="G40" s="16">
        <v>9.3350000000000009</v>
      </c>
    </row>
    <row r="41" spans="1:7" x14ac:dyDescent="0.25">
      <c r="A41" s="13" t="s">
        <v>844</v>
      </c>
      <c r="B41" s="13">
        <v>1524</v>
      </c>
      <c r="C41" s="14" t="str">
        <f>+VLOOKUP(B41,[1]LISTE!$A$1:$D$431,4,FALSE)</f>
        <v>BABAY ROUIS LOTFI</v>
      </c>
      <c r="D41" s="14" t="s">
        <v>212</v>
      </c>
      <c r="E41" s="15">
        <v>45720</v>
      </c>
      <c r="F41" s="14" t="s">
        <v>23</v>
      </c>
      <c r="G41" s="16">
        <v>45</v>
      </c>
    </row>
    <row r="42" spans="1:7" x14ac:dyDescent="0.25">
      <c r="A42" s="13" t="s">
        <v>844</v>
      </c>
      <c r="B42" s="13">
        <v>1524</v>
      </c>
      <c r="C42" s="14" t="str">
        <f>+VLOOKUP(B42,[1]LISTE!$A$1:$D$431,4,FALSE)</f>
        <v>BABAY ROUIS LOTFI</v>
      </c>
      <c r="D42" s="15" t="s">
        <v>212</v>
      </c>
      <c r="E42" s="15">
        <v>45720</v>
      </c>
      <c r="F42" s="14" t="s">
        <v>20</v>
      </c>
      <c r="G42" s="16">
        <v>83.382999999999996</v>
      </c>
    </row>
    <row r="43" spans="1:7" x14ac:dyDescent="0.25">
      <c r="A43" s="13" t="s">
        <v>870</v>
      </c>
      <c r="B43" s="13">
        <v>1556</v>
      </c>
      <c r="C43" s="14" t="str">
        <f>+VLOOKUP(B43,[1]LISTE!$A$1:$D$431,4,FALSE)</f>
        <v>LOGHMARI KHELIL</v>
      </c>
      <c r="D43" s="14" t="s">
        <v>871</v>
      </c>
      <c r="E43" s="15">
        <v>45685</v>
      </c>
      <c r="F43" s="14" t="s">
        <v>23</v>
      </c>
      <c r="G43" s="16">
        <v>50</v>
      </c>
    </row>
    <row r="44" spans="1:7" x14ac:dyDescent="0.25">
      <c r="A44" s="13" t="s">
        <v>870</v>
      </c>
      <c r="B44" s="13">
        <v>1556</v>
      </c>
      <c r="C44" s="14" t="str">
        <f>+VLOOKUP(B44,[1]LISTE!$A$1:$D$431,4,FALSE)</f>
        <v>LOGHMARI KHELIL</v>
      </c>
      <c r="D44" s="15" t="s">
        <v>871</v>
      </c>
      <c r="E44" s="15">
        <v>45685</v>
      </c>
      <c r="F44" s="14" t="s">
        <v>20</v>
      </c>
      <c r="G44" s="16">
        <v>2.605</v>
      </c>
    </row>
    <row r="45" spans="1:7" x14ac:dyDescent="0.25">
      <c r="A45" s="13" t="s">
        <v>870</v>
      </c>
      <c r="B45" s="13">
        <v>1556</v>
      </c>
      <c r="C45" s="14" t="str">
        <f>+VLOOKUP(B45,[1]LISTE!$A$1:$D$431,4,FALSE)</f>
        <v>LOGHMARI KHELIL</v>
      </c>
      <c r="D45" s="14" t="s">
        <v>871</v>
      </c>
      <c r="E45" s="15">
        <v>45689</v>
      </c>
      <c r="F45" s="14" t="s">
        <v>24</v>
      </c>
      <c r="G45" s="16">
        <v>90</v>
      </c>
    </row>
    <row r="46" spans="1:7" x14ac:dyDescent="0.25">
      <c r="A46" s="13" t="s">
        <v>836</v>
      </c>
      <c r="B46" s="13">
        <v>1558</v>
      </c>
      <c r="C46" s="14" t="str">
        <f>+VLOOKUP(B46,[1]LISTE!$A$1:$D$431,4,FALSE)</f>
        <v>DRIDI KARIM</v>
      </c>
      <c r="D46" s="15" t="s">
        <v>296</v>
      </c>
      <c r="E46" s="15">
        <v>45710</v>
      </c>
      <c r="F46" s="14" t="s">
        <v>20</v>
      </c>
      <c r="G46" s="16">
        <v>26.635000000000002</v>
      </c>
    </row>
    <row r="47" spans="1:7" x14ac:dyDescent="0.25">
      <c r="A47" s="13" t="s">
        <v>827</v>
      </c>
      <c r="B47" s="13">
        <v>1569</v>
      </c>
      <c r="C47" s="14" t="str">
        <f>+VLOOKUP(B47,[1]LISTE!$A$1:$D$431,4,FALSE)</f>
        <v>BETTAIEB MOULDI</v>
      </c>
      <c r="D47" s="14" t="s">
        <v>513</v>
      </c>
      <c r="E47" s="15">
        <v>45713</v>
      </c>
      <c r="F47" s="14" t="s">
        <v>23</v>
      </c>
      <c r="G47" s="16">
        <v>40</v>
      </c>
    </row>
    <row r="48" spans="1:7" x14ac:dyDescent="0.25">
      <c r="A48" s="13" t="s">
        <v>827</v>
      </c>
      <c r="B48" s="13">
        <v>1569</v>
      </c>
      <c r="C48" s="14" t="str">
        <f>+VLOOKUP(B48,[1]LISTE!$A$1:$D$431,4,FALSE)</f>
        <v>BETTAIEB MOULDI</v>
      </c>
      <c r="D48" s="14" t="s">
        <v>513</v>
      </c>
      <c r="E48" s="15">
        <v>45713</v>
      </c>
      <c r="F48" s="14" t="s">
        <v>20</v>
      </c>
      <c r="G48" s="16">
        <v>21.378</v>
      </c>
    </row>
    <row r="49" spans="1:7" x14ac:dyDescent="0.25">
      <c r="A49" s="13" t="s">
        <v>866</v>
      </c>
      <c r="B49" s="13">
        <v>1572</v>
      </c>
      <c r="C49" s="14" t="str">
        <f>+VLOOKUP(B49,[1]LISTE!$A$1:$D$431,4,FALSE)</f>
        <v>MIMOUNA MEHDI</v>
      </c>
      <c r="D49" s="14" t="s">
        <v>22</v>
      </c>
      <c r="E49" s="15">
        <v>45714</v>
      </c>
      <c r="F49" s="14" t="s">
        <v>23</v>
      </c>
      <c r="G49" s="16">
        <v>40</v>
      </c>
    </row>
    <row r="50" spans="1:7" x14ac:dyDescent="0.25">
      <c r="A50" s="13" t="s">
        <v>866</v>
      </c>
      <c r="B50" s="13">
        <v>1572</v>
      </c>
      <c r="C50" s="14" t="str">
        <f>+VLOOKUP(B50,[1]LISTE!$A$1:$D$431,4,FALSE)</f>
        <v>MIMOUNA MEHDI</v>
      </c>
      <c r="D50" s="14" t="s">
        <v>22</v>
      </c>
      <c r="E50" s="15">
        <v>45714</v>
      </c>
      <c r="F50" s="14" t="s">
        <v>20</v>
      </c>
      <c r="G50" s="16">
        <v>12.675000000000001</v>
      </c>
    </row>
    <row r="51" spans="1:7" x14ac:dyDescent="0.25">
      <c r="A51" s="13" t="s">
        <v>866</v>
      </c>
      <c r="B51" s="13">
        <v>1572</v>
      </c>
      <c r="C51" s="14" t="str">
        <f>+VLOOKUP(B51,[1]LISTE!$A$1:$D$431,4,FALSE)</f>
        <v>MIMOUNA MEHDI</v>
      </c>
      <c r="D51" s="14" t="s">
        <v>22</v>
      </c>
      <c r="E51" s="15">
        <v>45716</v>
      </c>
      <c r="F51" s="14" t="s">
        <v>24</v>
      </c>
      <c r="G51" s="16">
        <v>200</v>
      </c>
    </row>
    <row r="52" spans="1:7" x14ac:dyDescent="0.25">
      <c r="A52" s="13" t="s">
        <v>866</v>
      </c>
      <c r="B52" s="13">
        <v>1572</v>
      </c>
      <c r="C52" s="14" t="str">
        <f>+VLOOKUP(B52,[1]LISTE!$A$1:$D$431,4,FALSE)</f>
        <v>MIMOUNA MEHDI</v>
      </c>
      <c r="D52" s="14" t="s">
        <v>22</v>
      </c>
      <c r="E52" s="15">
        <v>45719</v>
      </c>
      <c r="F52" s="14" t="s">
        <v>25</v>
      </c>
      <c r="G52" s="16">
        <v>850</v>
      </c>
    </row>
    <row r="53" spans="1:7" x14ac:dyDescent="0.25">
      <c r="A53" s="13" t="s">
        <v>853</v>
      </c>
      <c r="B53" s="13">
        <v>1575</v>
      </c>
      <c r="C53" s="14" t="str">
        <f>+VLOOKUP(B53,[1]LISTE!$A$1:$D$431,4,FALSE)</f>
        <v>BEN ABDELJELIL ZOUHAIER</v>
      </c>
      <c r="D53" s="15" t="s">
        <v>22</v>
      </c>
      <c r="E53" s="15">
        <v>45712</v>
      </c>
      <c r="F53" s="14" t="s">
        <v>24</v>
      </c>
      <c r="G53" s="16">
        <v>180</v>
      </c>
    </row>
    <row r="54" spans="1:7" x14ac:dyDescent="0.25">
      <c r="A54" s="13" t="s">
        <v>878</v>
      </c>
      <c r="B54" s="13">
        <v>1595</v>
      </c>
      <c r="C54" s="14" t="str">
        <f>+VLOOKUP(B54,[1]LISTE!$A$1:$D$431,4,FALSE)</f>
        <v>BEN SALEM FETHI</v>
      </c>
      <c r="D54" s="15" t="s">
        <v>240</v>
      </c>
      <c r="E54" s="15">
        <v>45696</v>
      </c>
      <c r="F54" s="14" t="s">
        <v>23</v>
      </c>
      <c r="G54" s="16">
        <v>20</v>
      </c>
    </row>
    <row r="55" spans="1:7" x14ac:dyDescent="0.25">
      <c r="A55" s="13" t="s">
        <v>878</v>
      </c>
      <c r="B55" s="13">
        <v>1595</v>
      </c>
      <c r="C55" s="14" t="str">
        <f>+VLOOKUP(B55,[1]LISTE!$A$1:$D$431,4,FALSE)</f>
        <v>BEN SALEM FETHI</v>
      </c>
      <c r="D55" s="15" t="s">
        <v>240</v>
      </c>
      <c r="E55" s="15">
        <v>45699</v>
      </c>
      <c r="F55" s="14" t="s">
        <v>19</v>
      </c>
      <c r="G55" s="16">
        <v>40.462000000000003</v>
      </c>
    </row>
    <row r="56" spans="1:7" x14ac:dyDescent="0.25">
      <c r="A56" s="13" t="s">
        <v>856</v>
      </c>
      <c r="B56" s="13">
        <v>1598</v>
      </c>
      <c r="C56" s="14" t="str">
        <f>+VLOOKUP(B56,[1]LISTE!$A$1:$D$431,4,FALSE)</f>
        <v>SOUILEM FAKER</v>
      </c>
      <c r="D56" s="14" t="s">
        <v>329</v>
      </c>
      <c r="E56" s="15">
        <v>45709</v>
      </c>
      <c r="F56" s="14" t="s">
        <v>18</v>
      </c>
      <c r="G56" s="16">
        <v>50</v>
      </c>
    </row>
    <row r="57" spans="1:7" x14ac:dyDescent="0.25">
      <c r="A57" s="13" t="s">
        <v>819</v>
      </c>
      <c r="B57" s="13">
        <v>1603</v>
      </c>
      <c r="C57" s="14" t="str">
        <f>+VLOOKUP(B57,[1]LISTE!$A$1:$D$431,4,FALSE)</f>
        <v>MANSOUR SALHA</v>
      </c>
      <c r="D57" s="15" t="s">
        <v>22</v>
      </c>
      <c r="E57" s="15">
        <v>45714</v>
      </c>
      <c r="F57" s="14" t="s">
        <v>20</v>
      </c>
      <c r="G57" s="16">
        <v>112.69</v>
      </c>
    </row>
    <row r="58" spans="1:7" x14ac:dyDescent="0.25">
      <c r="A58" s="13" t="s">
        <v>918</v>
      </c>
      <c r="B58" s="13">
        <v>1603</v>
      </c>
      <c r="C58" s="14" t="str">
        <f>+VLOOKUP(B58,[1]LISTE!$A$1:$D$431,4,FALSE)</f>
        <v>MANSOUR SALHA</v>
      </c>
      <c r="D58" s="14" t="s">
        <v>22</v>
      </c>
      <c r="E58" s="15">
        <v>45723</v>
      </c>
      <c r="F58" s="14" t="s">
        <v>20</v>
      </c>
      <c r="G58" s="16">
        <v>86.495000000000005</v>
      </c>
    </row>
    <row r="59" spans="1:7" x14ac:dyDescent="0.25">
      <c r="A59" s="13" t="s">
        <v>885</v>
      </c>
      <c r="B59" s="13">
        <v>1617</v>
      </c>
      <c r="C59" s="14" t="str">
        <f>+VLOOKUP(B59,[1]LISTE!$A$1:$D$431,4,FALSE)</f>
        <v>BEN BEKRI MONCEF</v>
      </c>
      <c r="D59" s="15" t="s">
        <v>22</v>
      </c>
      <c r="E59" s="15">
        <v>45719</v>
      </c>
      <c r="F59" s="14" t="s">
        <v>18</v>
      </c>
      <c r="G59" s="16">
        <v>70</v>
      </c>
    </row>
    <row r="60" spans="1:7" x14ac:dyDescent="0.25">
      <c r="A60" s="13" t="s">
        <v>885</v>
      </c>
      <c r="B60" s="13">
        <v>1617</v>
      </c>
      <c r="C60" s="14" t="str">
        <f>+VLOOKUP(B60,[1]LISTE!$A$1:$D$431,4,FALSE)</f>
        <v>BEN BEKRI MONCEF</v>
      </c>
      <c r="D60" s="15" t="s">
        <v>22</v>
      </c>
      <c r="E60" s="15">
        <v>45719</v>
      </c>
      <c r="F60" s="14" t="s">
        <v>20</v>
      </c>
      <c r="G60" s="16">
        <v>70.69</v>
      </c>
    </row>
    <row r="61" spans="1:7" x14ac:dyDescent="0.25">
      <c r="A61" s="13" t="s">
        <v>845</v>
      </c>
      <c r="B61" s="13">
        <v>1625</v>
      </c>
      <c r="C61" s="14" t="str">
        <f>+VLOOKUP(B61,[1]LISTE!$A$1:$D$431,4,FALSE)</f>
        <v>HAMILA SAMIR</v>
      </c>
      <c r="D61" s="14" t="s">
        <v>22</v>
      </c>
      <c r="E61" s="15">
        <v>45717</v>
      </c>
      <c r="F61" s="14" t="s">
        <v>23</v>
      </c>
      <c r="G61" s="16">
        <v>15</v>
      </c>
    </row>
    <row r="62" spans="1:7" x14ac:dyDescent="0.25">
      <c r="A62" s="13" t="s">
        <v>845</v>
      </c>
      <c r="B62" s="13">
        <v>1625</v>
      </c>
      <c r="C62" s="14" t="str">
        <f>+VLOOKUP(B62,[1]LISTE!$A$1:$D$431,4,FALSE)</f>
        <v>HAMILA SAMIR</v>
      </c>
      <c r="D62" s="14" t="s">
        <v>22</v>
      </c>
      <c r="E62" s="15">
        <v>45719</v>
      </c>
      <c r="F62" s="14" t="s">
        <v>20</v>
      </c>
      <c r="G62" s="16">
        <v>84.376000000000005</v>
      </c>
    </row>
    <row r="63" spans="1:7" x14ac:dyDescent="0.25">
      <c r="A63" s="13" t="s">
        <v>846</v>
      </c>
      <c r="B63" s="13">
        <v>1625</v>
      </c>
      <c r="C63" s="14" t="str">
        <f>+VLOOKUP(B63,[1]LISTE!$A$1:$D$431,4,FALSE)</f>
        <v>HAMILA SAMIR</v>
      </c>
      <c r="D63" s="14" t="s">
        <v>721</v>
      </c>
      <c r="E63" s="15">
        <v>45717</v>
      </c>
      <c r="F63" s="14" t="s">
        <v>23</v>
      </c>
      <c r="G63" s="16">
        <v>20</v>
      </c>
    </row>
    <row r="64" spans="1:7" x14ac:dyDescent="0.25">
      <c r="A64" s="13" t="s">
        <v>846</v>
      </c>
      <c r="B64" s="13">
        <v>1625</v>
      </c>
      <c r="C64" s="14" t="str">
        <f>+VLOOKUP(B64,[1]LISTE!$A$1:$D$431,4,FALSE)</f>
        <v>HAMILA SAMIR</v>
      </c>
      <c r="D64" s="14" t="s">
        <v>721</v>
      </c>
      <c r="E64" s="15">
        <v>45717</v>
      </c>
      <c r="F64" s="14" t="s">
        <v>20</v>
      </c>
      <c r="G64" s="16">
        <v>45.023000000000003</v>
      </c>
    </row>
    <row r="65" spans="1:7" x14ac:dyDescent="0.25">
      <c r="A65" s="13" t="s">
        <v>842</v>
      </c>
      <c r="B65" s="13">
        <v>1651</v>
      </c>
      <c r="C65" s="14" t="str">
        <f>+VLOOKUP(B65,[1]LISTE!$A$1:$D$431,4,FALSE)</f>
        <v>BEL HADJ MOHAMED</v>
      </c>
      <c r="D65" s="15" t="s">
        <v>843</v>
      </c>
      <c r="E65" s="15">
        <v>45715</v>
      </c>
      <c r="F65" s="14" t="s">
        <v>18</v>
      </c>
      <c r="G65" s="16">
        <v>60</v>
      </c>
    </row>
    <row r="66" spans="1:7" x14ac:dyDescent="0.25">
      <c r="A66" s="13" t="s">
        <v>842</v>
      </c>
      <c r="B66" s="13">
        <v>1651</v>
      </c>
      <c r="C66" s="14" t="str">
        <f>+VLOOKUP(B66,[1]LISTE!$A$1:$D$431,4,FALSE)</f>
        <v>BEL HADJ MOHAMED</v>
      </c>
      <c r="D66" s="14" t="s">
        <v>843</v>
      </c>
      <c r="E66" s="15">
        <v>45715</v>
      </c>
      <c r="F66" s="14" t="s">
        <v>19</v>
      </c>
      <c r="G66" s="16">
        <v>59.6</v>
      </c>
    </row>
    <row r="67" spans="1:7" x14ac:dyDescent="0.25">
      <c r="A67" s="13" t="s">
        <v>842</v>
      </c>
      <c r="B67" s="13">
        <v>1651</v>
      </c>
      <c r="C67" s="14" t="str">
        <f>+VLOOKUP(B67,[1]LISTE!$A$1:$D$431,4,FALSE)</f>
        <v>BEL HADJ MOHAMED</v>
      </c>
      <c r="D67" s="14" t="s">
        <v>843</v>
      </c>
      <c r="E67" s="15">
        <v>45717</v>
      </c>
      <c r="F67" s="14" t="s">
        <v>20</v>
      </c>
      <c r="G67" s="16">
        <v>8.1199999999999992</v>
      </c>
    </row>
    <row r="68" spans="1:7" x14ac:dyDescent="0.25">
      <c r="A68" s="13" t="s">
        <v>842</v>
      </c>
      <c r="B68" s="13">
        <v>1651</v>
      </c>
      <c r="C68" s="14" t="str">
        <f>+VLOOKUP(B68,[1]LISTE!$A$1:$D$431,4,FALSE)</f>
        <v>BEL HADJ MOHAMED</v>
      </c>
      <c r="D68" s="14" t="s">
        <v>843</v>
      </c>
      <c r="E68" s="15">
        <v>45716</v>
      </c>
      <c r="F68" s="14" t="s">
        <v>21</v>
      </c>
      <c r="G68" s="16">
        <v>330</v>
      </c>
    </row>
    <row r="69" spans="1:7" x14ac:dyDescent="0.25">
      <c r="A69" s="13" t="s">
        <v>894</v>
      </c>
      <c r="B69" s="13">
        <v>1657</v>
      </c>
      <c r="C69" s="14" t="str">
        <f>+VLOOKUP(B69,[1]LISTE!$A$1:$D$431,4,FALSE)</f>
        <v>BELLALOUNA NIDHAL</v>
      </c>
      <c r="D69" s="14" t="s">
        <v>22</v>
      </c>
      <c r="E69" s="15">
        <v>45709</v>
      </c>
      <c r="F69" s="14" t="s">
        <v>18</v>
      </c>
      <c r="G69" s="16">
        <v>60</v>
      </c>
    </row>
    <row r="70" spans="1:7" x14ac:dyDescent="0.25">
      <c r="A70" s="13" t="s">
        <v>894</v>
      </c>
      <c r="B70" s="13">
        <v>1657</v>
      </c>
      <c r="C70" s="14" t="str">
        <f>+VLOOKUP(B70,[1]LISTE!$A$1:$D$431,4,FALSE)</f>
        <v>BELLALOUNA NIDHAL</v>
      </c>
      <c r="D70" s="14" t="s">
        <v>22</v>
      </c>
      <c r="E70" s="15">
        <v>45709</v>
      </c>
      <c r="F70" s="14" t="s">
        <v>20</v>
      </c>
      <c r="G70" s="16">
        <v>37.22</v>
      </c>
    </row>
    <row r="71" spans="1:7" x14ac:dyDescent="0.25">
      <c r="A71" s="13" t="s">
        <v>904</v>
      </c>
      <c r="B71" s="13">
        <v>1657</v>
      </c>
      <c r="C71" s="14" t="str">
        <f>+VLOOKUP(B71,[1]LISTE!$A$1:$D$431,4,FALSE)</f>
        <v>BELLALOUNA NIDHAL</v>
      </c>
      <c r="D71" s="14" t="s">
        <v>22</v>
      </c>
      <c r="E71" s="15">
        <v>45708</v>
      </c>
      <c r="F71" s="14" t="s">
        <v>18</v>
      </c>
      <c r="G71" s="16">
        <v>80</v>
      </c>
    </row>
    <row r="72" spans="1:7" x14ac:dyDescent="0.25">
      <c r="A72" s="13" t="s">
        <v>904</v>
      </c>
      <c r="B72" s="13">
        <v>1657</v>
      </c>
      <c r="C72" s="14" t="str">
        <f>+VLOOKUP(B72,[1]LISTE!$A$1:$D$431,4,FALSE)</f>
        <v>BELLALOUNA NIDHAL</v>
      </c>
      <c r="D72" s="14" t="s">
        <v>22</v>
      </c>
      <c r="E72" s="15">
        <v>45709</v>
      </c>
      <c r="F72" s="14" t="s">
        <v>20</v>
      </c>
      <c r="G72" s="16">
        <v>117.009</v>
      </c>
    </row>
    <row r="73" spans="1:7" x14ac:dyDescent="0.25">
      <c r="A73" s="13" t="s">
        <v>904</v>
      </c>
      <c r="B73" s="13">
        <v>1657</v>
      </c>
      <c r="C73" s="14" t="str">
        <f>+VLOOKUP(B73,[1]LISTE!$A$1:$D$431,4,FALSE)</f>
        <v>BELLALOUNA NIDHAL</v>
      </c>
      <c r="D73" s="15" t="s">
        <v>22</v>
      </c>
      <c r="E73" s="15">
        <v>45710</v>
      </c>
      <c r="F73" s="14" t="s">
        <v>19</v>
      </c>
      <c r="G73" s="16">
        <v>54.6</v>
      </c>
    </row>
    <row r="74" spans="1:7" x14ac:dyDescent="0.25">
      <c r="A74" s="13" t="s">
        <v>911</v>
      </c>
      <c r="B74" s="13">
        <v>1657</v>
      </c>
      <c r="C74" s="14" t="str">
        <f>+VLOOKUP(B74,[1]LISTE!$A$1:$D$431,4,FALSE)</f>
        <v>BELLALOUNA NIDHAL</v>
      </c>
      <c r="D74" s="14" t="s">
        <v>22</v>
      </c>
      <c r="E74" s="15">
        <v>45703</v>
      </c>
      <c r="F74" s="14" t="s">
        <v>18</v>
      </c>
      <c r="G74" s="16">
        <v>70</v>
      </c>
    </row>
    <row r="75" spans="1:7" x14ac:dyDescent="0.25">
      <c r="A75" s="13" t="s">
        <v>911</v>
      </c>
      <c r="B75" s="13">
        <v>1657</v>
      </c>
      <c r="C75" s="14" t="str">
        <f>+VLOOKUP(B75,[1]LISTE!$A$1:$D$431,4,FALSE)</f>
        <v>BELLALOUNA NIDHAL</v>
      </c>
      <c r="D75" s="14" t="s">
        <v>22</v>
      </c>
      <c r="E75" s="15">
        <v>45722</v>
      </c>
      <c r="F75" s="14" t="s">
        <v>18</v>
      </c>
      <c r="G75" s="16">
        <v>70</v>
      </c>
    </row>
    <row r="76" spans="1:7" x14ac:dyDescent="0.25">
      <c r="A76" s="13" t="s">
        <v>911</v>
      </c>
      <c r="B76" s="13">
        <v>1657</v>
      </c>
      <c r="C76" s="14" t="str">
        <f>+VLOOKUP(B76,[1]LISTE!$A$1:$D$431,4,FALSE)</f>
        <v>BELLALOUNA NIDHAL</v>
      </c>
      <c r="D76" s="14" t="s">
        <v>22</v>
      </c>
      <c r="E76" s="15">
        <v>45703</v>
      </c>
      <c r="F76" s="14" t="s">
        <v>20</v>
      </c>
      <c r="G76" s="16">
        <v>21.45</v>
      </c>
    </row>
    <row r="77" spans="1:7" x14ac:dyDescent="0.25">
      <c r="A77" s="13" t="s">
        <v>911</v>
      </c>
      <c r="B77" s="13">
        <v>1657</v>
      </c>
      <c r="C77" s="14" t="str">
        <f>+VLOOKUP(B77,[1]LISTE!$A$1:$D$431,4,FALSE)</f>
        <v>BELLALOUNA NIDHAL</v>
      </c>
      <c r="D77" s="14" t="s">
        <v>22</v>
      </c>
      <c r="E77" s="15">
        <v>45722</v>
      </c>
      <c r="F77" s="14" t="s">
        <v>20</v>
      </c>
      <c r="G77" s="16">
        <v>13.404999999999999</v>
      </c>
    </row>
    <row r="78" spans="1:7" x14ac:dyDescent="0.25">
      <c r="A78" s="13" t="s">
        <v>806</v>
      </c>
      <c r="B78" s="13">
        <v>1666</v>
      </c>
      <c r="C78" s="14" t="str">
        <f>+VLOOKUP(B78,[1]LISTE!$A$1:$D$431,4,FALSE)</f>
        <v>BOUZIR SAHBI</v>
      </c>
      <c r="D78" s="14" t="s">
        <v>200</v>
      </c>
      <c r="E78" s="15">
        <v>45712</v>
      </c>
      <c r="F78" s="14" t="s">
        <v>18</v>
      </c>
      <c r="G78" s="16">
        <v>70</v>
      </c>
    </row>
    <row r="79" spans="1:7" x14ac:dyDescent="0.25">
      <c r="A79" s="13" t="s">
        <v>806</v>
      </c>
      <c r="B79" s="13">
        <v>1666</v>
      </c>
      <c r="C79" s="14" t="str">
        <f>+VLOOKUP(B79,[1]LISTE!$A$1:$D$431,4,FALSE)</f>
        <v>BOUZIR SAHBI</v>
      </c>
      <c r="D79" s="14" t="s">
        <v>200</v>
      </c>
      <c r="E79" s="15">
        <v>45712</v>
      </c>
      <c r="F79" s="14" t="s">
        <v>20</v>
      </c>
      <c r="G79" s="16">
        <v>6.28</v>
      </c>
    </row>
    <row r="80" spans="1:7" x14ac:dyDescent="0.25">
      <c r="A80" s="13" t="s">
        <v>806</v>
      </c>
      <c r="B80" s="13">
        <v>1666</v>
      </c>
      <c r="C80" s="14" t="str">
        <f>+VLOOKUP(B80,[1]LISTE!$A$1:$D$431,4,FALSE)</f>
        <v>BOUZIR SAHBI</v>
      </c>
      <c r="D80" s="15" t="s">
        <v>200</v>
      </c>
      <c r="E80" s="15">
        <v>45712</v>
      </c>
      <c r="F80" s="14" t="s">
        <v>21</v>
      </c>
      <c r="G80" s="16">
        <v>60</v>
      </c>
    </row>
    <row r="81" spans="1:7" x14ac:dyDescent="0.25">
      <c r="A81" s="13" t="s">
        <v>851</v>
      </c>
      <c r="B81" s="13">
        <v>1673</v>
      </c>
      <c r="C81" s="14" t="str">
        <f>+VLOOKUP(B81,[1]LISTE!$A$1:$D$431,4,FALSE)</f>
        <v>ABBASSI MONDHER</v>
      </c>
      <c r="D81" s="14" t="s">
        <v>22</v>
      </c>
      <c r="E81" s="15">
        <v>45715</v>
      </c>
      <c r="F81" s="14" t="s">
        <v>20</v>
      </c>
      <c r="G81" s="16">
        <v>27.23</v>
      </c>
    </row>
    <row r="82" spans="1:7" x14ac:dyDescent="0.25">
      <c r="A82" s="13" t="s">
        <v>877</v>
      </c>
      <c r="B82" s="13">
        <v>1687</v>
      </c>
      <c r="C82" s="14" t="str">
        <f>+VLOOKUP(B82,[1]LISTE!$A$1:$D$431,4,FALSE)</f>
        <v>LACHHAB SAHBI</v>
      </c>
      <c r="D82" s="15" t="s">
        <v>349</v>
      </c>
      <c r="E82" s="15">
        <v>45713</v>
      </c>
      <c r="F82" s="14" t="s">
        <v>18</v>
      </c>
      <c r="G82" s="16">
        <v>60</v>
      </c>
    </row>
    <row r="83" spans="1:7" x14ac:dyDescent="0.25">
      <c r="A83" s="13" t="s">
        <v>877</v>
      </c>
      <c r="B83" s="13">
        <v>1687</v>
      </c>
      <c r="C83" s="14" t="str">
        <f>+VLOOKUP(B83,[1]LISTE!$A$1:$D$431,4,FALSE)</f>
        <v>LACHHAB SAHBI</v>
      </c>
      <c r="D83" s="15" t="s">
        <v>349</v>
      </c>
      <c r="E83" s="15">
        <v>45713</v>
      </c>
      <c r="F83" s="14" t="s">
        <v>19</v>
      </c>
      <c r="G83" s="16">
        <v>45.046999999999997</v>
      </c>
    </row>
    <row r="84" spans="1:7" x14ac:dyDescent="0.25">
      <c r="A84" s="13" t="s">
        <v>877</v>
      </c>
      <c r="B84" s="13">
        <v>1687</v>
      </c>
      <c r="C84" s="14" t="str">
        <f>+VLOOKUP(B84,[1]LISTE!$A$1:$D$431,4,FALSE)</f>
        <v>LACHHAB SAHBI</v>
      </c>
      <c r="D84" s="15" t="s">
        <v>349</v>
      </c>
      <c r="E84" s="15">
        <v>45713</v>
      </c>
      <c r="F84" s="14" t="s">
        <v>20</v>
      </c>
      <c r="G84" s="16">
        <v>149.22</v>
      </c>
    </row>
    <row r="85" spans="1:7" x14ac:dyDescent="0.25">
      <c r="A85" s="13" t="s">
        <v>804</v>
      </c>
      <c r="B85" s="13">
        <v>1689</v>
      </c>
      <c r="C85" s="14" t="str">
        <f>+VLOOKUP(B85,[1]LISTE!$A$1:$D$431,4,FALSE)</f>
        <v>GRAA SKANDER</v>
      </c>
      <c r="D85" s="15" t="s">
        <v>805</v>
      </c>
      <c r="E85" s="15">
        <v>45700</v>
      </c>
      <c r="F85" s="14" t="s">
        <v>23</v>
      </c>
      <c r="G85" s="16">
        <v>40</v>
      </c>
    </row>
    <row r="86" spans="1:7" x14ac:dyDescent="0.25">
      <c r="A86" s="13" t="s">
        <v>804</v>
      </c>
      <c r="B86" s="13">
        <v>1689</v>
      </c>
      <c r="C86" s="14" t="str">
        <f>+VLOOKUP(B86,[1]LISTE!$A$1:$D$431,4,FALSE)</f>
        <v>GRAA SKANDER</v>
      </c>
      <c r="D86" s="14" t="s">
        <v>805</v>
      </c>
      <c r="E86" s="15">
        <v>45701</v>
      </c>
      <c r="F86" s="14" t="s">
        <v>19</v>
      </c>
      <c r="G86" s="16">
        <v>214.214</v>
      </c>
    </row>
    <row r="87" spans="1:7" x14ac:dyDescent="0.25">
      <c r="A87" s="13" t="s">
        <v>804</v>
      </c>
      <c r="B87" s="13">
        <v>1689</v>
      </c>
      <c r="C87" s="14" t="str">
        <f>+VLOOKUP(B87,[1]LISTE!$A$1:$D$431,4,FALSE)</f>
        <v>GRAA SKANDER</v>
      </c>
      <c r="D87" s="14" t="s">
        <v>805</v>
      </c>
      <c r="E87" s="15">
        <v>45703</v>
      </c>
      <c r="F87" s="14" t="s">
        <v>20</v>
      </c>
      <c r="G87" s="16">
        <v>25.625</v>
      </c>
    </row>
    <row r="88" spans="1:7" x14ac:dyDescent="0.25">
      <c r="A88" s="13" t="s">
        <v>855</v>
      </c>
      <c r="B88" s="13">
        <v>1691</v>
      </c>
      <c r="C88" s="14" t="str">
        <f>+VLOOKUP(B88,[1]LISTE!$A$1:$D$431,4,FALSE)</f>
        <v>GADHI MOHAMED</v>
      </c>
      <c r="D88" s="14" t="s">
        <v>296</v>
      </c>
      <c r="E88" s="15">
        <v>45713</v>
      </c>
      <c r="F88" s="14" t="s">
        <v>18</v>
      </c>
      <c r="G88" s="16">
        <v>70</v>
      </c>
    </row>
    <row r="89" spans="1:7" x14ac:dyDescent="0.25">
      <c r="A89" s="13" t="s">
        <v>855</v>
      </c>
      <c r="B89" s="13">
        <v>1691</v>
      </c>
      <c r="C89" s="14" t="str">
        <f>+VLOOKUP(B89,[1]LISTE!$A$1:$D$431,4,FALSE)</f>
        <v>GADHI MOHAMED</v>
      </c>
      <c r="D89" s="14" t="s">
        <v>296</v>
      </c>
      <c r="E89" s="15">
        <v>45714</v>
      </c>
      <c r="F89" s="14" t="s">
        <v>69</v>
      </c>
      <c r="G89" s="16">
        <v>121</v>
      </c>
    </row>
    <row r="90" spans="1:7" x14ac:dyDescent="0.25">
      <c r="A90" s="13" t="s">
        <v>780</v>
      </c>
      <c r="B90" s="13">
        <v>1702</v>
      </c>
      <c r="C90" s="14" t="str">
        <f>+VLOOKUP(B90,[1]LISTE!$A$1:$D$431,4,FALSE)</f>
        <v>JAIET WALID</v>
      </c>
      <c r="D90" s="15" t="s">
        <v>298</v>
      </c>
      <c r="E90" s="15">
        <v>45701</v>
      </c>
      <c r="F90" s="14" t="s">
        <v>23</v>
      </c>
      <c r="G90" s="16">
        <v>45</v>
      </c>
    </row>
    <row r="91" spans="1:7" x14ac:dyDescent="0.25">
      <c r="A91" s="13" t="s">
        <v>780</v>
      </c>
      <c r="B91" s="13">
        <v>1702</v>
      </c>
      <c r="C91" s="14" t="str">
        <f>+VLOOKUP(B91,[1]LISTE!$A$1:$D$431,4,FALSE)</f>
        <v>JAIET WALID</v>
      </c>
      <c r="D91" s="15" t="s">
        <v>298</v>
      </c>
      <c r="E91" s="15">
        <v>45701</v>
      </c>
      <c r="F91" s="14" t="s">
        <v>20</v>
      </c>
      <c r="G91" s="16">
        <v>66.099999999999994</v>
      </c>
    </row>
    <row r="92" spans="1:7" x14ac:dyDescent="0.25">
      <c r="A92" s="13" t="s">
        <v>781</v>
      </c>
      <c r="B92" s="13">
        <v>1702</v>
      </c>
      <c r="C92" s="14" t="str">
        <f>+VLOOKUP(B92,[1]LISTE!$A$1:$D$431,4,FALSE)</f>
        <v>JAIET WALID</v>
      </c>
      <c r="D92" s="15" t="s">
        <v>47</v>
      </c>
      <c r="E92" s="15">
        <v>45712</v>
      </c>
      <c r="F92" s="14" t="s">
        <v>23</v>
      </c>
      <c r="G92" s="16">
        <v>45</v>
      </c>
    </row>
    <row r="93" spans="1:7" x14ac:dyDescent="0.25">
      <c r="A93" s="13" t="s">
        <v>781</v>
      </c>
      <c r="B93" s="13">
        <v>1702</v>
      </c>
      <c r="C93" s="14" t="str">
        <f>+VLOOKUP(B93,[1]LISTE!$A$1:$D$431,4,FALSE)</f>
        <v>JAIET WALID</v>
      </c>
      <c r="D93" s="15" t="s">
        <v>47</v>
      </c>
      <c r="E93" s="15">
        <v>45712</v>
      </c>
      <c r="F93" s="14" t="s">
        <v>20</v>
      </c>
      <c r="G93" s="16">
        <v>73.448999999999998</v>
      </c>
    </row>
    <row r="94" spans="1:7" x14ac:dyDescent="0.25">
      <c r="A94" s="13" t="s">
        <v>782</v>
      </c>
      <c r="B94" s="13">
        <v>1702</v>
      </c>
      <c r="C94" s="14" t="str">
        <f>+VLOOKUP(B94,[1]LISTE!$A$1:$D$431,4,FALSE)</f>
        <v>JAIET WALID</v>
      </c>
      <c r="D94" s="15" t="s">
        <v>22</v>
      </c>
      <c r="E94" s="15">
        <v>45708</v>
      </c>
      <c r="F94" s="14" t="s">
        <v>23</v>
      </c>
      <c r="G94" s="16">
        <v>45</v>
      </c>
    </row>
    <row r="95" spans="1:7" x14ac:dyDescent="0.25">
      <c r="A95" s="13" t="s">
        <v>782</v>
      </c>
      <c r="B95" s="13">
        <v>1702</v>
      </c>
      <c r="C95" s="14" t="str">
        <f>+VLOOKUP(B95,[1]LISTE!$A$1:$D$431,4,FALSE)</f>
        <v>JAIET WALID</v>
      </c>
      <c r="D95" s="14" t="s">
        <v>22</v>
      </c>
      <c r="E95" s="15">
        <v>45708</v>
      </c>
      <c r="F95" s="14" t="s">
        <v>20</v>
      </c>
      <c r="G95" s="16">
        <v>75.790000000000006</v>
      </c>
    </row>
    <row r="96" spans="1:7" x14ac:dyDescent="0.25">
      <c r="A96" s="13" t="s">
        <v>783</v>
      </c>
      <c r="B96" s="13">
        <v>1702</v>
      </c>
      <c r="C96" s="14" t="str">
        <f>+VLOOKUP(B96,[1]LISTE!$A$1:$D$431,4,FALSE)</f>
        <v>JAIET WALID</v>
      </c>
      <c r="D96" s="14" t="s">
        <v>151</v>
      </c>
      <c r="E96" s="15">
        <v>45706</v>
      </c>
      <c r="F96" s="14" t="s">
        <v>23</v>
      </c>
      <c r="G96" s="16">
        <v>45</v>
      </c>
    </row>
    <row r="97" spans="1:7" x14ac:dyDescent="0.25">
      <c r="A97" s="13" t="s">
        <v>783</v>
      </c>
      <c r="B97" s="13">
        <v>1702</v>
      </c>
      <c r="C97" s="14" t="str">
        <f>+VLOOKUP(B97,[1]LISTE!$A$1:$D$431,4,FALSE)</f>
        <v>JAIET WALID</v>
      </c>
      <c r="D97" s="15" t="s">
        <v>151</v>
      </c>
      <c r="E97" s="15">
        <v>45706</v>
      </c>
      <c r="F97" s="14" t="s">
        <v>20</v>
      </c>
      <c r="G97" s="16">
        <v>64.444999999999993</v>
      </c>
    </row>
    <row r="98" spans="1:7" x14ac:dyDescent="0.25">
      <c r="A98" s="13" t="s">
        <v>852</v>
      </c>
      <c r="B98" s="13">
        <v>1706</v>
      </c>
      <c r="C98" s="14" t="str">
        <f>+VLOOKUP(B98,[1]LISTE!$A$1:$D$431,4,FALSE)</f>
        <v>GRIRA LOKHDHIRI FREDJ</v>
      </c>
      <c r="D98" s="14" t="s">
        <v>82</v>
      </c>
      <c r="E98" s="15">
        <v>45692</v>
      </c>
      <c r="F98" s="14" t="s">
        <v>18</v>
      </c>
      <c r="G98" s="16">
        <v>70</v>
      </c>
    </row>
    <row r="99" spans="1:7" x14ac:dyDescent="0.25">
      <c r="A99" s="13" t="s">
        <v>852</v>
      </c>
      <c r="B99" s="13">
        <v>1706</v>
      </c>
      <c r="C99" s="14" t="str">
        <f>+VLOOKUP(B99,[1]LISTE!$A$1:$D$431,4,FALSE)</f>
        <v>GRIRA LOKHDHIRI FREDJ</v>
      </c>
      <c r="D99" s="14" t="s">
        <v>82</v>
      </c>
      <c r="E99" s="15">
        <v>45692</v>
      </c>
      <c r="F99" s="14" t="s">
        <v>20</v>
      </c>
      <c r="G99" s="16">
        <v>306.31200000000001</v>
      </c>
    </row>
    <row r="100" spans="1:7" x14ac:dyDescent="0.25">
      <c r="A100" s="13" t="s">
        <v>828</v>
      </c>
      <c r="B100" s="13">
        <v>1712</v>
      </c>
      <c r="C100" s="14" t="str">
        <f>+VLOOKUP(B100,[1]LISTE!$A$1:$D$431,4,FALSE)</f>
        <v>MKHININI ZAATOUT MOHAMED</v>
      </c>
      <c r="D100" s="14" t="s">
        <v>576</v>
      </c>
      <c r="E100" s="15">
        <v>45708</v>
      </c>
      <c r="F100" s="14" t="s">
        <v>23</v>
      </c>
      <c r="G100" s="16">
        <v>20</v>
      </c>
    </row>
    <row r="101" spans="1:7" x14ac:dyDescent="0.25">
      <c r="A101" s="13" t="s">
        <v>828</v>
      </c>
      <c r="B101" s="13">
        <v>1712</v>
      </c>
      <c r="C101" s="14" t="str">
        <f>+VLOOKUP(B101,[1]LISTE!$A$1:$D$431,4,FALSE)</f>
        <v>MKHININI ZAATOUT MOHAMED</v>
      </c>
      <c r="D101" s="14" t="s">
        <v>576</v>
      </c>
      <c r="E101" s="15">
        <v>45708</v>
      </c>
      <c r="F101" s="14" t="s">
        <v>20</v>
      </c>
      <c r="G101" s="16">
        <v>20.350000000000001</v>
      </c>
    </row>
    <row r="102" spans="1:7" x14ac:dyDescent="0.25">
      <c r="A102" s="13" t="s">
        <v>794</v>
      </c>
      <c r="B102" s="13">
        <v>1716</v>
      </c>
      <c r="C102" s="14" t="s">
        <v>219</v>
      </c>
      <c r="D102" s="14" t="s">
        <v>75</v>
      </c>
      <c r="E102" s="15">
        <v>45711</v>
      </c>
      <c r="F102" s="14" t="s">
        <v>20</v>
      </c>
      <c r="G102" s="16">
        <v>33.454000000000001</v>
      </c>
    </row>
    <row r="103" spans="1:7" x14ac:dyDescent="0.25">
      <c r="A103" s="13" t="s">
        <v>910</v>
      </c>
      <c r="B103" s="13">
        <v>1724</v>
      </c>
      <c r="C103" s="14" t="str">
        <f>+VLOOKUP(B103,[1]LISTE!$A$1:$D$431,4,FALSE)</f>
        <v>KAIBI ANIS</v>
      </c>
      <c r="D103" s="14" t="s">
        <v>481</v>
      </c>
      <c r="E103" s="15">
        <v>45722</v>
      </c>
      <c r="F103" s="14" t="s">
        <v>18</v>
      </c>
      <c r="G103" s="16">
        <v>70</v>
      </c>
    </row>
    <row r="104" spans="1:7" x14ac:dyDescent="0.25">
      <c r="A104" s="13" t="s">
        <v>910</v>
      </c>
      <c r="B104" s="13">
        <v>1724</v>
      </c>
      <c r="C104" s="14" t="str">
        <f>+VLOOKUP(B104,[1]LISTE!$A$1:$D$431,4,FALSE)</f>
        <v>KAIBI ANIS</v>
      </c>
      <c r="D104" s="14" t="s">
        <v>481</v>
      </c>
      <c r="E104" s="15">
        <v>45722</v>
      </c>
      <c r="F104" s="14" t="s">
        <v>20</v>
      </c>
      <c r="G104" s="16">
        <v>8.4760000000000009</v>
      </c>
    </row>
    <row r="105" spans="1:7" x14ac:dyDescent="0.25">
      <c r="A105" s="13" t="s">
        <v>895</v>
      </c>
      <c r="B105" s="13">
        <v>1741</v>
      </c>
      <c r="C105" s="14" t="str">
        <f>+VLOOKUP(B105,[1]LISTE!$A$1:$D$431,4,FALSE)</f>
        <v>HACHICHA ZIED</v>
      </c>
      <c r="D105" s="14" t="s">
        <v>896</v>
      </c>
      <c r="E105" s="15">
        <v>45717</v>
      </c>
      <c r="F105" s="14" t="s">
        <v>18</v>
      </c>
      <c r="G105" s="16">
        <v>60</v>
      </c>
    </row>
    <row r="106" spans="1:7" x14ac:dyDescent="0.25">
      <c r="A106" s="13" t="s">
        <v>895</v>
      </c>
      <c r="B106" s="13">
        <v>1741</v>
      </c>
      <c r="C106" s="14" t="str">
        <f>+VLOOKUP(B106,[1]LISTE!$A$1:$D$431,4,FALSE)</f>
        <v>HACHICHA ZIED</v>
      </c>
      <c r="D106" s="14" t="s">
        <v>896</v>
      </c>
      <c r="E106" s="15">
        <v>45717</v>
      </c>
      <c r="F106" s="14" t="s">
        <v>20</v>
      </c>
      <c r="G106" s="16">
        <v>19.57</v>
      </c>
    </row>
    <row r="107" spans="1:7" x14ac:dyDescent="0.25">
      <c r="A107" s="13" t="s">
        <v>895</v>
      </c>
      <c r="B107" s="13">
        <v>1741</v>
      </c>
      <c r="C107" s="14" t="str">
        <f>+VLOOKUP(B107,[1]LISTE!$A$1:$D$431,4,FALSE)</f>
        <v>HACHICHA ZIED</v>
      </c>
      <c r="D107" s="15" t="s">
        <v>896</v>
      </c>
      <c r="E107" s="15">
        <v>45717</v>
      </c>
      <c r="F107" s="14" t="s">
        <v>19</v>
      </c>
      <c r="G107" s="16">
        <v>43.23</v>
      </c>
    </row>
    <row r="108" spans="1:7" x14ac:dyDescent="0.25">
      <c r="A108" s="13" t="s">
        <v>864</v>
      </c>
      <c r="B108" s="13">
        <v>1746</v>
      </c>
      <c r="C108" s="14" t="str">
        <f>+VLOOKUP(B108,[1]LISTE!$A$1:$D$431,4,FALSE)</f>
        <v>BEL ARBIA KAMEL</v>
      </c>
      <c r="D108" s="14" t="s">
        <v>453</v>
      </c>
      <c r="E108" s="15">
        <v>45714</v>
      </c>
      <c r="F108" s="14" t="s">
        <v>20</v>
      </c>
      <c r="G108" s="16">
        <v>125.64</v>
      </c>
    </row>
    <row r="109" spans="1:7" x14ac:dyDescent="0.25">
      <c r="A109" s="13" t="s">
        <v>864</v>
      </c>
      <c r="B109" s="13">
        <v>1746</v>
      </c>
      <c r="C109" s="14" t="str">
        <f>+VLOOKUP(B109,[1]LISTE!$A$1:$D$431,4,FALSE)</f>
        <v>BEL ARBIA KAMEL</v>
      </c>
      <c r="D109" s="14" t="s">
        <v>453</v>
      </c>
      <c r="E109" s="15">
        <v>45714</v>
      </c>
      <c r="F109" s="14" t="s">
        <v>363</v>
      </c>
      <c r="G109" s="16">
        <v>800</v>
      </c>
    </row>
    <row r="110" spans="1:7" x14ac:dyDescent="0.25">
      <c r="A110" s="13" t="s">
        <v>864</v>
      </c>
      <c r="B110" s="13">
        <v>1746</v>
      </c>
      <c r="C110" s="14" t="str">
        <f>+VLOOKUP(B110,[1]LISTE!$A$1:$D$431,4,FALSE)</f>
        <v>BEL ARBIA KAMEL</v>
      </c>
      <c r="D110" s="15" t="s">
        <v>453</v>
      </c>
      <c r="E110" s="15">
        <v>45714</v>
      </c>
      <c r="F110" s="14" t="s">
        <v>363</v>
      </c>
      <c r="G110" s="16">
        <v>240</v>
      </c>
    </row>
    <row r="111" spans="1:7" x14ac:dyDescent="0.25">
      <c r="A111" s="13" t="s">
        <v>864</v>
      </c>
      <c r="B111" s="13">
        <v>1746</v>
      </c>
      <c r="C111" s="14" t="str">
        <f>+VLOOKUP(B111,[1]LISTE!$A$1:$D$431,4,FALSE)</f>
        <v>BEL ARBIA KAMEL</v>
      </c>
      <c r="D111" s="15" t="s">
        <v>453</v>
      </c>
      <c r="E111" s="15">
        <v>45714</v>
      </c>
      <c r="F111" s="14" t="s">
        <v>364</v>
      </c>
      <c r="G111" s="16">
        <v>727.72199999999998</v>
      </c>
    </row>
    <row r="112" spans="1:7" x14ac:dyDescent="0.25">
      <c r="A112" s="13" t="s">
        <v>874</v>
      </c>
      <c r="B112" s="13">
        <v>1752</v>
      </c>
      <c r="C112" s="14" t="str">
        <f>+VLOOKUP(B112,[1]LISTE!$A$1:$D$431,4,FALSE)</f>
        <v>HEDHILI MUSTAPHA</v>
      </c>
      <c r="D112" s="14" t="s">
        <v>22</v>
      </c>
      <c r="E112" s="15">
        <v>45703</v>
      </c>
      <c r="F112" s="14" t="s">
        <v>23</v>
      </c>
      <c r="G112" s="16">
        <v>40</v>
      </c>
    </row>
    <row r="113" spans="1:7" x14ac:dyDescent="0.25">
      <c r="A113" s="13" t="s">
        <v>874</v>
      </c>
      <c r="B113" s="13">
        <v>1752</v>
      </c>
      <c r="C113" s="14" t="str">
        <f>+VLOOKUP(B113,[1]LISTE!$A$1:$D$431,4,FALSE)</f>
        <v>HEDHILI MUSTAPHA</v>
      </c>
      <c r="D113" s="15" t="s">
        <v>22</v>
      </c>
      <c r="E113" s="15">
        <v>45703</v>
      </c>
      <c r="F113" s="14" t="s">
        <v>20</v>
      </c>
      <c r="G113" s="16">
        <v>4.2450000000000001</v>
      </c>
    </row>
    <row r="114" spans="1:7" x14ac:dyDescent="0.25">
      <c r="A114" s="13" t="s">
        <v>874</v>
      </c>
      <c r="B114" s="13">
        <v>1752</v>
      </c>
      <c r="C114" s="14" t="str">
        <f>+VLOOKUP(B114,[1]LISTE!$A$1:$D$431,4,FALSE)</f>
        <v>HEDHILI MUSTAPHA</v>
      </c>
      <c r="D114" s="15" t="s">
        <v>22</v>
      </c>
      <c r="E114" s="15">
        <v>45714</v>
      </c>
      <c r="F114" s="14" t="s">
        <v>24</v>
      </c>
      <c r="G114" s="16">
        <v>163</v>
      </c>
    </row>
    <row r="115" spans="1:7" x14ac:dyDescent="0.25">
      <c r="A115" s="13" t="s">
        <v>787</v>
      </c>
      <c r="B115" s="13">
        <v>1764</v>
      </c>
      <c r="C115" s="14" t="str">
        <f>+VLOOKUP(B115,[1]LISTE!$A$1:$D$431,4,FALSE)</f>
        <v>RBEH MAHMOUD</v>
      </c>
      <c r="D115" s="15" t="s">
        <v>565</v>
      </c>
      <c r="E115" s="15">
        <v>45709</v>
      </c>
      <c r="F115" s="14" t="s">
        <v>20</v>
      </c>
      <c r="G115" s="16">
        <v>58.06</v>
      </c>
    </row>
    <row r="116" spans="1:7" x14ac:dyDescent="0.25">
      <c r="A116" s="13" t="s">
        <v>883</v>
      </c>
      <c r="B116" s="13">
        <v>1764</v>
      </c>
      <c r="C116" s="14" t="str">
        <f>+VLOOKUP(B116,[1]LISTE!$A$1:$D$431,4,FALSE)</f>
        <v>RBEH MAHMOUD</v>
      </c>
      <c r="D116" s="15" t="s">
        <v>22</v>
      </c>
      <c r="E116" s="15">
        <v>45710</v>
      </c>
      <c r="F116" s="14" t="s">
        <v>23</v>
      </c>
      <c r="G116" s="16">
        <v>1.5</v>
      </c>
    </row>
    <row r="117" spans="1:7" x14ac:dyDescent="0.25">
      <c r="A117" s="13" t="s">
        <v>883</v>
      </c>
      <c r="B117" s="13">
        <v>1764</v>
      </c>
      <c r="C117" s="14" t="str">
        <f>+VLOOKUP(B117,[1]LISTE!$A$1:$D$431,4,FALSE)</f>
        <v>RBEH MAHMOUD</v>
      </c>
      <c r="D117" s="15" t="s">
        <v>22</v>
      </c>
      <c r="E117" s="15">
        <v>45718</v>
      </c>
      <c r="F117" s="14" t="s">
        <v>20</v>
      </c>
      <c r="G117" s="16">
        <v>60.79</v>
      </c>
    </row>
    <row r="118" spans="1:7" x14ac:dyDescent="0.25">
      <c r="A118" s="13" t="s">
        <v>813</v>
      </c>
      <c r="B118" s="13">
        <v>1768</v>
      </c>
      <c r="C118" s="14" t="str">
        <f>+VLOOKUP(B118,[1]LISTE!$A$1:$D$431,4,FALSE)</f>
        <v>LADJIMI MAHER</v>
      </c>
      <c r="D118" s="14" t="s">
        <v>22</v>
      </c>
      <c r="E118" s="15">
        <v>45707</v>
      </c>
      <c r="F118" s="14" t="s">
        <v>18</v>
      </c>
      <c r="G118" s="16">
        <v>70</v>
      </c>
    </row>
    <row r="119" spans="1:7" x14ac:dyDescent="0.25">
      <c r="A119" s="13" t="s">
        <v>813</v>
      </c>
      <c r="B119" s="13">
        <v>1768</v>
      </c>
      <c r="C119" s="14" t="str">
        <f>+VLOOKUP(B119,[1]LISTE!$A$1:$D$431,4,FALSE)</f>
        <v>LADJIMI MAHER</v>
      </c>
      <c r="D119" s="14" t="s">
        <v>22</v>
      </c>
      <c r="E119" s="15">
        <v>45710</v>
      </c>
      <c r="F119" s="14" t="s">
        <v>19</v>
      </c>
      <c r="G119" s="16">
        <v>77.525000000000006</v>
      </c>
    </row>
    <row r="120" spans="1:7" x14ac:dyDescent="0.25">
      <c r="A120" s="13" t="s">
        <v>813</v>
      </c>
      <c r="B120" s="13">
        <v>1768</v>
      </c>
      <c r="C120" s="14" t="str">
        <f>+VLOOKUP(B120,[1]LISTE!$A$1:$D$431,4,FALSE)</f>
        <v>LADJIMI MAHER</v>
      </c>
      <c r="D120" s="15" t="s">
        <v>22</v>
      </c>
      <c r="E120" s="15">
        <v>45710</v>
      </c>
      <c r="F120" s="14" t="s">
        <v>21</v>
      </c>
      <c r="G120" s="16">
        <v>43.5</v>
      </c>
    </row>
    <row r="121" spans="1:7" x14ac:dyDescent="0.25">
      <c r="A121" s="13" t="s">
        <v>831</v>
      </c>
      <c r="B121" s="13">
        <v>1768</v>
      </c>
      <c r="C121" s="14" t="str">
        <f>+VLOOKUP(B121,[1]LISTE!$A$1:$D$431,4,FALSE)</f>
        <v>LADJIMI MAHER</v>
      </c>
      <c r="D121" s="14" t="s">
        <v>22</v>
      </c>
      <c r="E121" s="15">
        <v>45712</v>
      </c>
      <c r="F121" s="14" t="s">
        <v>18</v>
      </c>
      <c r="G121" s="16">
        <v>70</v>
      </c>
    </row>
    <row r="122" spans="1:7" x14ac:dyDescent="0.25">
      <c r="A122" s="13" t="s">
        <v>831</v>
      </c>
      <c r="B122" s="13">
        <v>1768</v>
      </c>
      <c r="C122" s="14" t="str">
        <f>+VLOOKUP(B122,[1]LISTE!$A$1:$D$431,4,FALSE)</f>
        <v>LADJIMI MAHER</v>
      </c>
      <c r="D122" s="14" t="s">
        <v>22</v>
      </c>
      <c r="E122" s="15">
        <v>45713</v>
      </c>
      <c r="F122" s="14" t="s">
        <v>20</v>
      </c>
      <c r="G122" s="16">
        <v>11.4</v>
      </c>
    </row>
    <row r="123" spans="1:7" x14ac:dyDescent="0.25">
      <c r="A123" s="13" t="s">
        <v>832</v>
      </c>
      <c r="B123" s="13">
        <v>1768</v>
      </c>
      <c r="C123" s="14" t="str">
        <f>+VLOOKUP(B123,[1]LISTE!$A$1:$D$431,4,FALSE)</f>
        <v>LADJIMI MAHER</v>
      </c>
      <c r="D123" s="15" t="s">
        <v>455</v>
      </c>
      <c r="E123" s="15">
        <v>45708</v>
      </c>
      <c r="F123" s="14" t="s">
        <v>18</v>
      </c>
      <c r="G123" s="16">
        <v>80</v>
      </c>
    </row>
    <row r="124" spans="1:7" x14ac:dyDescent="0.25">
      <c r="A124" s="13" t="s">
        <v>832</v>
      </c>
      <c r="B124" s="13">
        <v>1768</v>
      </c>
      <c r="C124" s="14" t="str">
        <f>+VLOOKUP(B124,[1]LISTE!$A$1:$D$431,4,FALSE)</f>
        <v>LADJIMI MAHER</v>
      </c>
      <c r="D124" s="15" t="s">
        <v>455</v>
      </c>
      <c r="E124" s="15">
        <v>45708</v>
      </c>
      <c r="F124" s="14" t="s">
        <v>20</v>
      </c>
      <c r="G124" s="16">
        <v>38.594999999999999</v>
      </c>
    </row>
    <row r="125" spans="1:7" x14ac:dyDescent="0.25">
      <c r="A125" s="13" t="s">
        <v>795</v>
      </c>
      <c r="B125" s="13">
        <v>1781</v>
      </c>
      <c r="C125" s="14" t="str">
        <f>+VLOOKUP(B125,[1]LISTE!$A$1:$D$431,4,FALSE)</f>
        <v>KEMIMECH MOHAMED</v>
      </c>
      <c r="D125" s="14" t="s">
        <v>217</v>
      </c>
      <c r="E125" s="15">
        <v>45700</v>
      </c>
      <c r="F125" s="14" t="s">
        <v>23</v>
      </c>
      <c r="G125" s="16">
        <v>50</v>
      </c>
    </row>
    <row r="126" spans="1:7" x14ac:dyDescent="0.25">
      <c r="A126" s="13" t="s">
        <v>795</v>
      </c>
      <c r="B126" s="13">
        <v>1781</v>
      </c>
      <c r="C126" s="14" t="str">
        <f>+VLOOKUP(B126,[1]LISTE!$A$1:$D$431,4,FALSE)</f>
        <v>KEMIMECH MOHAMED</v>
      </c>
      <c r="D126" s="14" t="s">
        <v>217</v>
      </c>
      <c r="E126" s="15">
        <v>45700</v>
      </c>
      <c r="F126" s="14" t="s">
        <v>20</v>
      </c>
      <c r="G126" s="16">
        <v>13.82</v>
      </c>
    </row>
    <row r="127" spans="1:7" x14ac:dyDescent="0.25">
      <c r="A127" s="13" t="s">
        <v>796</v>
      </c>
      <c r="B127" s="13">
        <v>1781</v>
      </c>
      <c r="C127" s="14" t="str">
        <f>+VLOOKUP(B127,[1]LISTE!$A$1:$D$431,4,FALSE)</f>
        <v>KEMIMECH MOHAMED</v>
      </c>
      <c r="D127" s="14" t="s">
        <v>268</v>
      </c>
      <c r="E127" s="15">
        <v>45708</v>
      </c>
      <c r="F127" s="14" t="s">
        <v>23</v>
      </c>
      <c r="G127" s="16">
        <v>50</v>
      </c>
    </row>
    <row r="128" spans="1:7" x14ac:dyDescent="0.25">
      <c r="A128" s="13" t="s">
        <v>796</v>
      </c>
      <c r="B128" s="13">
        <v>1781</v>
      </c>
      <c r="C128" s="14" t="str">
        <f>+VLOOKUP(B128,[1]LISTE!$A$1:$D$431,4,FALSE)</f>
        <v>KEMIMECH MOHAMED</v>
      </c>
      <c r="D128" s="14" t="s">
        <v>268</v>
      </c>
      <c r="E128" s="15">
        <v>45708</v>
      </c>
      <c r="F128" s="14" t="s">
        <v>20</v>
      </c>
      <c r="G128" s="16">
        <v>3.11</v>
      </c>
    </row>
    <row r="129" spans="1:7" x14ac:dyDescent="0.25">
      <c r="A129" s="13" t="s">
        <v>796</v>
      </c>
      <c r="B129" s="13">
        <v>1781</v>
      </c>
      <c r="C129" s="14" t="str">
        <f>+VLOOKUP(B129,[1]LISTE!$A$1:$D$431,4,FALSE)</f>
        <v>KEMIMECH MOHAMED</v>
      </c>
      <c r="D129" s="14" t="s">
        <v>268</v>
      </c>
      <c r="E129" s="15">
        <v>45713</v>
      </c>
      <c r="F129" s="14" t="s">
        <v>24</v>
      </c>
      <c r="G129" s="16">
        <v>400</v>
      </c>
    </row>
    <row r="130" spans="1:7" x14ac:dyDescent="0.25">
      <c r="A130" s="13" t="s">
        <v>857</v>
      </c>
      <c r="B130" s="13">
        <v>1782</v>
      </c>
      <c r="C130" s="14" t="str">
        <f>+VLOOKUP(B130,[1]LISTE!$A$1:$D$431,4,FALSE)</f>
        <v>IBRAHIM JAMEL</v>
      </c>
      <c r="D130" s="15" t="s">
        <v>858</v>
      </c>
      <c r="E130" s="15">
        <v>45703</v>
      </c>
      <c r="F130" s="14" t="s">
        <v>18</v>
      </c>
      <c r="G130" s="16">
        <v>80</v>
      </c>
    </row>
    <row r="131" spans="1:7" x14ac:dyDescent="0.25">
      <c r="A131" s="13" t="s">
        <v>857</v>
      </c>
      <c r="B131" s="13">
        <v>1782</v>
      </c>
      <c r="C131" s="14" t="str">
        <f>+VLOOKUP(B131,[1]LISTE!$A$1:$D$431,4,FALSE)</f>
        <v>IBRAHIM JAMEL</v>
      </c>
      <c r="D131" s="14" t="s">
        <v>858</v>
      </c>
      <c r="E131" s="15">
        <v>45703</v>
      </c>
      <c r="F131" s="14" t="s">
        <v>20</v>
      </c>
      <c r="G131" s="16">
        <v>194.46</v>
      </c>
    </row>
    <row r="132" spans="1:7" x14ac:dyDescent="0.25">
      <c r="A132" s="13" t="s">
        <v>859</v>
      </c>
      <c r="B132" s="13">
        <v>1782</v>
      </c>
      <c r="C132" s="14" t="str">
        <f>+VLOOKUP(B132,[1]LISTE!$A$1:$D$431,4,FALSE)</f>
        <v>IBRAHIM JAMEL</v>
      </c>
      <c r="D132" s="14" t="s">
        <v>860</v>
      </c>
      <c r="E132" s="15">
        <v>45703</v>
      </c>
      <c r="F132" s="14" t="s">
        <v>18</v>
      </c>
      <c r="G132" s="16">
        <v>80</v>
      </c>
    </row>
    <row r="133" spans="1:7" x14ac:dyDescent="0.25">
      <c r="A133" s="13" t="s">
        <v>859</v>
      </c>
      <c r="B133" s="13">
        <v>1782</v>
      </c>
      <c r="C133" s="14" t="str">
        <f>+VLOOKUP(B133,[1]LISTE!$A$1:$D$431,4,FALSE)</f>
        <v>IBRAHIM JAMEL</v>
      </c>
      <c r="D133" s="14" t="s">
        <v>860</v>
      </c>
      <c r="E133" s="15">
        <v>45703</v>
      </c>
      <c r="F133" s="14" t="s">
        <v>20</v>
      </c>
      <c r="G133" s="16">
        <v>633.85900000000004</v>
      </c>
    </row>
    <row r="134" spans="1:7" x14ac:dyDescent="0.25">
      <c r="A134" s="13" t="s">
        <v>913</v>
      </c>
      <c r="B134" s="13">
        <v>1795</v>
      </c>
      <c r="C134" s="14" t="str">
        <f>+VLOOKUP(B134,[1]LISTE!$A$1:$D$431,4,FALSE)</f>
        <v>SOUA MOHAMED</v>
      </c>
      <c r="D134" s="14" t="s">
        <v>200</v>
      </c>
      <c r="E134" s="15">
        <v>45719</v>
      </c>
      <c r="F134" s="14" t="s">
        <v>23</v>
      </c>
      <c r="G134" s="16">
        <v>50</v>
      </c>
    </row>
    <row r="135" spans="1:7" x14ac:dyDescent="0.25">
      <c r="A135" s="13" t="s">
        <v>913</v>
      </c>
      <c r="B135" s="13">
        <v>1795</v>
      </c>
      <c r="C135" s="14" t="str">
        <f>+VLOOKUP(B135,[1]LISTE!$A$1:$D$431,4,FALSE)</f>
        <v>SOUA MOHAMED</v>
      </c>
      <c r="D135" s="14" t="s">
        <v>200</v>
      </c>
      <c r="E135" s="15">
        <v>45723</v>
      </c>
      <c r="F135" s="14" t="s">
        <v>20</v>
      </c>
      <c r="G135" s="16">
        <v>2.7349999999999999</v>
      </c>
    </row>
    <row r="136" spans="1:7" x14ac:dyDescent="0.25">
      <c r="A136" s="13" t="s">
        <v>913</v>
      </c>
      <c r="B136" s="13">
        <v>1795</v>
      </c>
      <c r="C136" s="14" t="str">
        <f>+VLOOKUP(B136,[1]LISTE!$A$1:$D$431,4,FALSE)</f>
        <v>SOUA MOHAMED</v>
      </c>
      <c r="D136" s="15" t="s">
        <v>200</v>
      </c>
      <c r="E136" s="15">
        <v>45723</v>
      </c>
      <c r="F136" s="14" t="s">
        <v>24</v>
      </c>
      <c r="G136" s="16">
        <v>120</v>
      </c>
    </row>
    <row r="137" spans="1:7" x14ac:dyDescent="0.25">
      <c r="A137" s="13" t="s">
        <v>803</v>
      </c>
      <c r="B137" s="13">
        <v>1796</v>
      </c>
      <c r="C137" s="14" t="str">
        <f>+VLOOKUP(B137,[1]LISTE!$A$1:$D$431,4,FALSE)</f>
        <v>BEL HADJ HASSINE IMED</v>
      </c>
      <c r="D137" s="15" t="s">
        <v>22</v>
      </c>
      <c r="E137" s="15">
        <v>45701</v>
      </c>
      <c r="F137" s="14" t="s">
        <v>18</v>
      </c>
      <c r="G137" s="16">
        <v>70</v>
      </c>
    </row>
    <row r="138" spans="1:7" x14ac:dyDescent="0.25">
      <c r="A138" s="13" t="s">
        <v>803</v>
      </c>
      <c r="B138" s="13">
        <v>1796</v>
      </c>
      <c r="C138" s="14" t="str">
        <f>+VLOOKUP(B138,[1]LISTE!$A$1:$D$431,4,FALSE)</f>
        <v>BEL HADJ HASSINE IMED</v>
      </c>
      <c r="D138" s="15" t="s">
        <v>22</v>
      </c>
      <c r="E138" s="15">
        <v>45712</v>
      </c>
      <c r="F138" s="14" t="s">
        <v>20</v>
      </c>
      <c r="G138" s="16">
        <v>104.08</v>
      </c>
    </row>
    <row r="139" spans="1:7" x14ac:dyDescent="0.25">
      <c r="A139" s="13" t="s">
        <v>854</v>
      </c>
      <c r="B139" s="13">
        <v>1797</v>
      </c>
      <c r="C139" s="14" t="str">
        <f>+VLOOKUP(B139,[1]LISTE!$A$1:$D$431,4,FALSE)</f>
        <v>ABBADI MOHAMED</v>
      </c>
      <c r="D139" s="14" t="s">
        <v>253</v>
      </c>
      <c r="E139" s="15">
        <v>45717</v>
      </c>
      <c r="F139" s="14" t="s">
        <v>18</v>
      </c>
      <c r="G139" s="16">
        <v>70</v>
      </c>
    </row>
    <row r="140" spans="1:7" x14ac:dyDescent="0.25">
      <c r="A140" s="13" t="s">
        <v>854</v>
      </c>
      <c r="B140" s="13">
        <v>1797</v>
      </c>
      <c r="C140" s="14" t="str">
        <f>+VLOOKUP(B140,[1]LISTE!$A$1:$D$431,4,FALSE)</f>
        <v>ABBADI MOHAMED</v>
      </c>
      <c r="D140" s="14" t="s">
        <v>253</v>
      </c>
      <c r="E140" s="15">
        <v>45717</v>
      </c>
      <c r="F140" s="14" t="s">
        <v>20</v>
      </c>
      <c r="G140" s="16">
        <v>48.811999999999998</v>
      </c>
    </row>
    <row r="141" spans="1:7" x14ac:dyDescent="0.25">
      <c r="A141" s="13" t="s">
        <v>773</v>
      </c>
      <c r="B141" s="13">
        <v>1803</v>
      </c>
      <c r="C141" s="14" t="str">
        <f>+VLOOKUP(B141,[1]LISTE!$A$1:$D$431,4,FALSE)</f>
        <v>GAM HAMDI</v>
      </c>
      <c r="D141" s="14" t="s">
        <v>186</v>
      </c>
      <c r="E141" s="15">
        <v>45700</v>
      </c>
      <c r="F141" s="14" t="s">
        <v>23</v>
      </c>
      <c r="G141" s="16">
        <v>3</v>
      </c>
    </row>
    <row r="142" spans="1:7" x14ac:dyDescent="0.25">
      <c r="A142" s="13" t="s">
        <v>773</v>
      </c>
      <c r="B142" s="13">
        <v>1803</v>
      </c>
      <c r="C142" s="14" t="str">
        <f>+VLOOKUP(B142,[1]LISTE!$A$1:$D$431,4,FALSE)</f>
        <v>GAM HAMDI</v>
      </c>
      <c r="D142" s="14" t="s">
        <v>186</v>
      </c>
      <c r="E142" s="15">
        <v>45700</v>
      </c>
      <c r="F142" s="14" t="s">
        <v>21</v>
      </c>
      <c r="G142" s="16">
        <v>4.5</v>
      </c>
    </row>
    <row r="143" spans="1:7" x14ac:dyDescent="0.25">
      <c r="A143" s="13" t="s">
        <v>786</v>
      </c>
      <c r="B143" s="13">
        <v>1809</v>
      </c>
      <c r="C143" s="14" t="str">
        <f>+VLOOKUP(B143,[1]LISTE!$A$1:$D$431,4,FALSE)</f>
        <v>JUILI AFIF</v>
      </c>
      <c r="D143" s="15" t="s">
        <v>144</v>
      </c>
      <c r="E143" s="15">
        <v>45695</v>
      </c>
      <c r="F143" s="14" t="s">
        <v>23</v>
      </c>
      <c r="G143" s="16">
        <v>25</v>
      </c>
    </row>
    <row r="144" spans="1:7" x14ac:dyDescent="0.25">
      <c r="A144" s="13" t="s">
        <v>786</v>
      </c>
      <c r="B144" s="13">
        <v>1809</v>
      </c>
      <c r="C144" s="14" t="str">
        <f>+VLOOKUP(B144,[1]LISTE!$A$1:$D$431,4,FALSE)</f>
        <v>JUILI AFIF</v>
      </c>
      <c r="D144" s="15" t="s">
        <v>144</v>
      </c>
      <c r="E144" s="15">
        <v>45695</v>
      </c>
      <c r="F144" s="14" t="s">
        <v>20</v>
      </c>
      <c r="G144" s="16">
        <v>52.96</v>
      </c>
    </row>
    <row r="145" spans="1:7" x14ac:dyDescent="0.25">
      <c r="A145" s="13" t="s">
        <v>786</v>
      </c>
      <c r="B145" s="13">
        <v>1809</v>
      </c>
      <c r="C145" s="14" t="str">
        <f>+VLOOKUP(B145,[1]LISTE!$A$1:$D$431,4,FALSE)</f>
        <v>JUILI AFIF</v>
      </c>
      <c r="D145" s="14" t="s">
        <v>144</v>
      </c>
      <c r="E145" s="15">
        <v>45707</v>
      </c>
      <c r="F145" s="14" t="s">
        <v>19</v>
      </c>
      <c r="G145" s="16">
        <v>10.225</v>
      </c>
    </row>
    <row r="146" spans="1:7" x14ac:dyDescent="0.25">
      <c r="A146" s="13" t="s">
        <v>835</v>
      </c>
      <c r="B146" s="13">
        <v>1813</v>
      </c>
      <c r="C146" s="14" t="str">
        <f>+VLOOKUP(B146,[1]LISTE!$A$1:$D$431,4,FALSE)</f>
        <v>YOUSSEF HICHEM</v>
      </c>
      <c r="D146" s="14" t="s">
        <v>604</v>
      </c>
      <c r="E146" s="15">
        <v>45715</v>
      </c>
      <c r="F146" s="14" t="s">
        <v>18</v>
      </c>
      <c r="G146" s="16">
        <v>70</v>
      </c>
    </row>
    <row r="147" spans="1:7" x14ac:dyDescent="0.25">
      <c r="A147" s="13" t="s">
        <v>835</v>
      </c>
      <c r="B147" s="13">
        <v>1813</v>
      </c>
      <c r="C147" s="14" t="str">
        <f>+VLOOKUP(B147,[1]LISTE!$A$1:$D$431,4,FALSE)</f>
        <v>YOUSSEF HICHEM</v>
      </c>
      <c r="D147" s="14" t="s">
        <v>604</v>
      </c>
      <c r="E147" s="15">
        <v>45716</v>
      </c>
      <c r="F147" s="14" t="s">
        <v>69</v>
      </c>
      <c r="G147" s="16">
        <v>220</v>
      </c>
    </row>
    <row r="148" spans="1:7" x14ac:dyDescent="0.25">
      <c r="A148" s="13" t="s">
        <v>777</v>
      </c>
      <c r="B148" s="13">
        <v>1815</v>
      </c>
      <c r="C148" s="14" t="str">
        <f>+VLOOKUP(B148,[1]LISTE!$A$1:$D$431,4,FALSE)</f>
        <v>KHEDIMI IMED</v>
      </c>
      <c r="D148" s="15" t="s">
        <v>140</v>
      </c>
      <c r="E148" s="15">
        <v>45712</v>
      </c>
      <c r="F148" s="14" t="s">
        <v>23</v>
      </c>
      <c r="G148" s="16">
        <v>50</v>
      </c>
    </row>
    <row r="149" spans="1:7" x14ac:dyDescent="0.25">
      <c r="A149" s="13" t="s">
        <v>777</v>
      </c>
      <c r="B149" s="13">
        <v>1815</v>
      </c>
      <c r="C149" s="14" t="str">
        <f>+VLOOKUP(B149,[1]LISTE!$A$1:$D$431,4,FALSE)</f>
        <v>KHEDIMI IMED</v>
      </c>
      <c r="D149" s="15" t="s">
        <v>140</v>
      </c>
      <c r="E149" s="15">
        <v>45712</v>
      </c>
      <c r="F149" s="14" t="s">
        <v>20</v>
      </c>
      <c r="G149" s="16">
        <v>56.328000000000003</v>
      </c>
    </row>
    <row r="150" spans="1:7" x14ac:dyDescent="0.25">
      <c r="A150" s="13" t="s">
        <v>811</v>
      </c>
      <c r="B150" s="13">
        <v>1819</v>
      </c>
      <c r="C150" s="14" t="str">
        <f>+VLOOKUP(B150,[1]LISTE!$A$1:$D$431,4,FALSE)</f>
        <v>SASSI MOHAMED WALID</v>
      </c>
      <c r="D150" s="14" t="s">
        <v>371</v>
      </c>
      <c r="E150" s="15">
        <v>45709</v>
      </c>
      <c r="F150" s="14" t="s">
        <v>23</v>
      </c>
      <c r="G150" s="16">
        <v>45</v>
      </c>
    </row>
    <row r="151" spans="1:7" x14ac:dyDescent="0.25">
      <c r="A151" s="13" t="s">
        <v>811</v>
      </c>
      <c r="B151" s="13">
        <v>1819</v>
      </c>
      <c r="C151" s="14" t="str">
        <f>+VLOOKUP(B151,[1]LISTE!$A$1:$D$431,4,FALSE)</f>
        <v>SASSI MOHAMED WALID</v>
      </c>
      <c r="D151" s="14" t="s">
        <v>371</v>
      </c>
      <c r="E151" s="15">
        <v>45710</v>
      </c>
      <c r="F151" s="14" t="s">
        <v>19</v>
      </c>
      <c r="G151" s="16">
        <v>57.459000000000003</v>
      </c>
    </row>
    <row r="152" spans="1:7" x14ac:dyDescent="0.25">
      <c r="A152" s="13" t="s">
        <v>811</v>
      </c>
      <c r="B152" s="13">
        <v>1819</v>
      </c>
      <c r="C152" s="14" t="str">
        <f>+VLOOKUP(B152,[1]LISTE!$A$1:$D$431,4,FALSE)</f>
        <v>SASSI MOHAMED WALID</v>
      </c>
      <c r="D152" s="14" t="s">
        <v>371</v>
      </c>
      <c r="E152" s="15">
        <v>45709</v>
      </c>
      <c r="F152" s="14" t="s">
        <v>20</v>
      </c>
      <c r="G152" s="16">
        <v>40.634999999999998</v>
      </c>
    </row>
    <row r="153" spans="1:7" x14ac:dyDescent="0.25">
      <c r="A153" s="13" t="s">
        <v>905</v>
      </c>
      <c r="B153" s="13">
        <v>1819</v>
      </c>
      <c r="C153" s="14" t="str">
        <f>+VLOOKUP(B153,[1]LISTE!$A$1:$D$431,4,FALSE)</f>
        <v>SASSI MOHAMED WALID</v>
      </c>
      <c r="D153" s="15" t="s">
        <v>22</v>
      </c>
      <c r="E153" s="15">
        <v>45720</v>
      </c>
      <c r="F153" s="14" t="s">
        <v>23</v>
      </c>
      <c r="G153" s="16">
        <v>45</v>
      </c>
    </row>
    <row r="154" spans="1:7" x14ac:dyDescent="0.25">
      <c r="A154" s="13" t="s">
        <v>905</v>
      </c>
      <c r="B154" s="13">
        <v>1819</v>
      </c>
      <c r="C154" s="14" t="str">
        <f>+VLOOKUP(B154,[1]LISTE!$A$1:$D$431,4,FALSE)</f>
        <v>SASSI MOHAMED WALID</v>
      </c>
      <c r="D154" s="15" t="s">
        <v>22</v>
      </c>
      <c r="E154" s="15">
        <v>45720</v>
      </c>
      <c r="F154" s="14" t="s">
        <v>20</v>
      </c>
      <c r="G154" s="16">
        <v>24.47</v>
      </c>
    </row>
    <row r="155" spans="1:7" x14ac:dyDescent="0.25">
      <c r="A155" s="13" t="s">
        <v>888</v>
      </c>
      <c r="B155" s="13">
        <v>1820</v>
      </c>
      <c r="C155" s="14" t="str">
        <f>+VLOOKUP(B155,[1]LISTE!$A$1:$D$431,4,FALSE)</f>
        <v>MKHININI MOHAMED RIMEH</v>
      </c>
      <c r="D155" s="14" t="s">
        <v>71</v>
      </c>
      <c r="E155" s="15">
        <v>45714</v>
      </c>
      <c r="F155" s="14" t="s">
        <v>18</v>
      </c>
      <c r="G155" s="16">
        <v>70</v>
      </c>
    </row>
    <row r="156" spans="1:7" x14ac:dyDescent="0.25">
      <c r="A156" s="13" t="s">
        <v>888</v>
      </c>
      <c r="B156" s="13">
        <v>1820</v>
      </c>
      <c r="C156" s="14" t="str">
        <f>+VLOOKUP(B156,[1]LISTE!$A$1:$D$431,4,FALSE)</f>
        <v>MKHININI MOHAMED RIMEH</v>
      </c>
      <c r="D156" s="14" t="s">
        <v>71</v>
      </c>
      <c r="E156" s="15">
        <v>45714</v>
      </c>
      <c r="F156" s="14" t="s">
        <v>20</v>
      </c>
      <c r="G156" s="16">
        <v>27.1</v>
      </c>
    </row>
    <row r="157" spans="1:7" x14ac:dyDescent="0.25">
      <c r="A157" s="13" t="s">
        <v>839</v>
      </c>
      <c r="B157" s="13">
        <v>1830</v>
      </c>
      <c r="C157" s="14" t="str">
        <f>+VLOOKUP(B157,[1]LISTE!$A$1:$D$431,4,FALSE)</f>
        <v>LOURIMI ABDALLAH</v>
      </c>
      <c r="D157" s="14" t="s">
        <v>840</v>
      </c>
      <c r="E157" s="15">
        <v>45720</v>
      </c>
      <c r="F157" s="14" t="s">
        <v>23</v>
      </c>
      <c r="G157" s="16">
        <v>45</v>
      </c>
    </row>
    <row r="158" spans="1:7" x14ac:dyDescent="0.25">
      <c r="A158" s="13" t="s">
        <v>839</v>
      </c>
      <c r="B158" s="13">
        <v>1830</v>
      </c>
      <c r="C158" s="14" t="str">
        <f>+VLOOKUP(B158,[1]LISTE!$A$1:$D$431,4,FALSE)</f>
        <v>LOURIMI ABDALLAH</v>
      </c>
      <c r="D158" s="14" t="s">
        <v>840</v>
      </c>
      <c r="E158" s="15">
        <v>45720</v>
      </c>
      <c r="F158" s="14" t="s">
        <v>20</v>
      </c>
      <c r="G158" s="16">
        <v>28.09</v>
      </c>
    </row>
    <row r="159" spans="1:7" x14ac:dyDescent="0.25">
      <c r="A159" s="13" t="s">
        <v>826</v>
      </c>
      <c r="B159" s="13">
        <v>1833</v>
      </c>
      <c r="C159" s="14" t="str">
        <f>+VLOOKUP(B159,[1]LISTE!$A$1:$D$431,4,FALSE)</f>
        <v>BOUZAABIA MOHAMED</v>
      </c>
      <c r="D159" s="14" t="s">
        <v>212</v>
      </c>
      <c r="E159" s="15">
        <v>45713</v>
      </c>
      <c r="F159" s="14" t="s">
        <v>23</v>
      </c>
      <c r="G159" s="16">
        <v>40</v>
      </c>
    </row>
    <row r="160" spans="1:7" x14ac:dyDescent="0.25">
      <c r="A160" s="13" t="s">
        <v>826</v>
      </c>
      <c r="B160" s="13">
        <v>1833</v>
      </c>
      <c r="C160" s="14" t="str">
        <f>+VLOOKUP(B160,[1]LISTE!$A$1:$D$431,4,FALSE)</f>
        <v>BOUZAABIA MOHAMED</v>
      </c>
      <c r="D160" s="15" t="s">
        <v>212</v>
      </c>
      <c r="E160" s="15">
        <v>45713</v>
      </c>
      <c r="F160" s="14" t="s">
        <v>20</v>
      </c>
      <c r="G160" s="16">
        <v>65.284999999999997</v>
      </c>
    </row>
    <row r="161" spans="1:7" x14ac:dyDescent="0.25">
      <c r="A161" s="13" t="s">
        <v>908</v>
      </c>
      <c r="B161" s="13">
        <v>1833</v>
      </c>
      <c r="C161" s="14" t="str">
        <f>+VLOOKUP(B161,[1]LISTE!$A$1:$D$431,4,FALSE)</f>
        <v>BOUZAABIA MOHAMED</v>
      </c>
      <c r="D161" s="14" t="s">
        <v>221</v>
      </c>
      <c r="E161" s="15">
        <v>45719</v>
      </c>
      <c r="F161" s="14" t="s">
        <v>23</v>
      </c>
      <c r="G161" s="16">
        <v>40</v>
      </c>
    </row>
    <row r="162" spans="1:7" x14ac:dyDescent="0.25">
      <c r="A162" s="13" t="s">
        <v>908</v>
      </c>
      <c r="B162" s="13">
        <v>1833</v>
      </c>
      <c r="C162" s="14" t="str">
        <f>+VLOOKUP(B162,[1]LISTE!$A$1:$D$431,4,FALSE)</f>
        <v>BOUZAABIA MOHAMED</v>
      </c>
      <c r="D162" s="14" t="s">
        <v>221</v>
      </c>
      <c r="E162" s="15">
        <v>45719</v>
      </c>
      <c r="F162" s="14" t="s">
        <v>20</v>
      </c>
      <c r="G162" s="16">
        <v>55.965000000000003</v>
      </c>
    </row>
    <row r="163" spans="1:7" x14ac:dyDescent="0.25">
      <c r="A163" s="13" t="s">
        <v>909</v>
      </c>
      <c r="B163" s="13">
        <v>1833</v>
      </c>
      <c r="C163" s="14" t="str">
        <f>+VLOOKUP(B163,[1]LISTE!$A$1:$D$431,4,FALSE)</f>
        <v>BOUZAABIA MOHAMED</v>
      </c>
      <c r="D163" s="15" t="s">
        <v>79</v>
      </c>
      <c r="E163" s="15">
        <v>45722</v>
      </c>
      <c r="F163" s="14" t="s">
        <v>23</v>
      </c>
      <c r="G163" s="16">
        <v>45</v>
      </c>
    </row>
    <row r="164" spans="1:7" x14ac:dyDescent="0.25">
      <c r="A164" s="13" t="s">
        <v>909</v>
      </c>
      <c r="B164" s="13">
        <v>1833</v>
      </c>
      <c r="C164" s="14" t="str">
        <f>+VLOOKUP(B164,[1]LISTE!$A$1:$D$431,4,FALSE)</f>
        <v>BOUZAABIA MOHAMED</v>
      </c>
      <c r="D164" s="15" t="s">
        <v>79</v>
      </c>
      <c r="E164" s="15">
        <v>45722</v>
      </c>
      <c r="F164" s="14" t="s">
        <v>20</v>
      </c>
      <c r="G164" s="16">
        <v>69.364999999999995</v>
      </c>
    </row>
    <row r="165" spans="1:7" x14ac:dyDescent="0.25">
      <c r="A165" s="13" t="s">
        <v>865</v>
      </c>
      <c r="B165" s="13">
        <v>1839</v>
      </c>
      <c r="C165" s="14" t="str">
        <f>+VLOOKUP(B165,[1]LISTE!$A$1:$D$431,4,FALSE)</f>
        <v>TERZEGUE FERID</v>
      </c>
      <c r="D165" s="14" t="s">
        <v>22</v>
      </c>
      <c r="E165" s="15">
        <v>45715</v>
      </c>
      <c r="F165" s="14" t="s">
        <v>18</v>
      </c>
      <c r="G165" s="16">
        <v>60</v>
      </c>
    </row>
    <row r="166" spans="1:7" x14ac:dyDescent="0.25">
      <c r="A166" s="13" t="s">
        <v>865</v>
      </c>
      <c r="B166" s="13">
        <v>1839</v>
      </c>
      <c r="C166" s="14" t="str">
        <f>+VLOOKUP(B166,[1]LISTE!$A$1:$D$431,4,FALSE)</f>
        <v>TERZEGUE FERID</v>
      </c>
      <c r="D166" s="14" t="s">
        <v>22</v>
      </c>
      <c r="E166" s="15">
        <v>45715</v>
      </c>
      <c r="F166" s="14" t="s">
        <v>20</v>
      </c>
      <c r="G166" s="16">
        <v>46.85</v>
      </c>
    </row>
    <row r="167" spans="1:7" x14ac:dyDescent="0.25">
      <c r="A167" s="13" t="s">
        <v>865</v>
      </c>
      <c r="B167" s="13">
        <v>1839</v>
      </c>
      <c r="C167" s="14" t="str">
        <f>+VLOOKUP(B167,[1]LISTE!$A$1:$D$431,4,FALSE)</f>
        <v>TERZEGUE FERID</v>
      </c>
      <c r="D167" s="14" t="s">
        <v>22</v>
      </c>
      <c r="E167" s="15">
        <v>45715</v>
      </c>
      <c r="F167" s="14" t="s">
        <v>21</v>
      </c>
      <c r="G167" s="16">
        <v>90</v>
      </c>
    </row>
    <row r="168" spans="1:7" x14ac:dyDescent="0.25">
      <c r="A168" s="13" t="s">
        <v>818</v>
      </c>
      <c r="B168" s="13">
        <v>1842</v>
      </c>
      <c r="C168" s="14" t="str">
        <f>+VLOOKUP(B168,[1]LISTE!$A$1:$D$431,4,FALSE)</f>
        <v>SAKKA ROUIS SAMI</v>
      </c>
      <c r="D168" s="15" t="s">
        <v>22</v>
      </c>
      <c r="E168" s="15">
        <v>45708</v>
      </c>
      <c r="F168" s="14" t="s">
        <v>18</v>
      </c>
      <c r="G168" s="16">
        <v>60</v>
      </c>
    </row>
    <row r="169" spans="1:7" x14ac:dyDescent="0.25">
      <c r="A169" s="13" t="s">
        <v>818</v>
      </c>
      <c r="B169" s="13">
        <v>1842</v>
      </c>
      <c r="C169" s="14" t="str">
        <f>+VLOOKUP(B169,[1]LISTE!$A$1:$D$431,4,FALSE)</f>
        <v>SAKKA ROUIS SAMI</v>
      </c>
      <c r="D169" s="14" t="s">
        <v>22</v>
      </c>
      <c r="E169" s="15">
        <v>45708</v>
      </c>
      <c r="F169" s="14" t="s">
        <v>19</v>
      </c>
      <c r="G169" s="16">
        <v>64.63</v>
      </c>
    </row>
    <row r="170" spans="1:7" x14ac:dyDescent="0.25">
      <c r="A170" s="13" t="s">
        <v>818</v>
      </c>
      <c r="B170" s="13">
        <v>1842</v>
      </c>
      <c r="C170" s="14" t="str">
        <f>+VLOOKUP(B170,[1]LISTE!$A$1:$D$431,4,FALSE)</f>
        <v>SAKKA ROUIS SAMI</v>
      </c>
      <c r="D170" s="15" t="s">
        <v>22</v>
      </c>
      <c r="E170" s="15">
        <v>45714</v>
      </c>
      <c r="F170" s="14" t="s">
        <v>20</v>
      </c>
      <c r="G170" s="16">
        <v>76.388999999999996</v>
      </c>
    </row>
    <row r="171" spans="1:7" x14ac:dyDescent="0.25">
      <c r="A171" s="13" t="s">
        <v>884</v>
      </c>
      <c r="B171" s="13">
        <v>1846</v>
      </c>
      <c r="C171" s="14" t="str">
        <f>+VLOOKUP(B171,[1]LISTE!$A$1:$D$431,4,FALSE)</f>
        <v>ROMDHANI SAMI</v>
      </c>
      <c r="D171" s="15" t="s">
        <v>843</v>
      </c>
      <c r="E171" s="15">
        <v>45719</v>
      </c>
      <c r="F171" s="14" t="s">
        <v>18</v>
      </c>
      <c r="G171" s="16">
        <v>70</v>
      </c>
    </row>
    <row r="172" spans="1:7" x14ac:dyDescent="0.25">
      <c r="A172" s="13" t="s">
        <v>884</v>
      </c>
      <c r="B172" s="13">
        <v>1846</v>
      </c>
      <c r="C172" s="14" t="str">
        <f>+VLOOKUP(B172,[1]LISTE!$A$1:$D$431,4,FALSE)</f>
        <v>ROMDHANI SAMI</v>
      </c>
      <c r="D172" s="15" t="s">
        <v>843</v>
      </c>
      <c r="E172" s="15">
        <v>45719</v>
      </c>
      <c r="F172" s="14" t="s">
        <v>20</v>
      </c>
      <c r="G172" s="16">
        <v>60.978999999999999</v>
      </c>
    </row>
    <row r="173" spans="1:7" x14ac:dyDescent="0.25">
      <c r="A173" s="13" t="s">
        <v>906</v>
      </c>
      <c r="B173" s="13">
        <v>1849</v>
      </c>
      <c r="C173" s="14" t="str">
        <f>+VLOOKUP(B173,[1]LISTE!$A$1:$D$431,4,FALSE)</f>
        <v>GANHOUBA MEHDI</v>
      </c>
      <c r="D173" s="15" t="s">
        <v>907</v>
      </c>
      <c r="E173" s="15">
        <v>45720</v>
      </c>
      <c r="F173" s="14" t="s">
        <v>18</v>
      </c>
      <c r="G173" s="16">
        <v>60</v>
      </c>
    </row>
    <row r="174" spans="1:7" x14ac:dyDescent="0.25">
      <c r="A174" s="13" t="s">
        <v>906</v>
      </c>
      <c r="B174" s="13">
        <v>1849</v>
      </c>
      <c r="C174" s="14" t="str">
        <f>+VLOOKUP(B174,[1]LISTE!$A$1:$D$431,4,FALSE)</f>
        <v>GANHOUBA MEHDI</v>
      </c>
      <c r="D174" s="15" t="s">
        <v>907</v>
      </c>
      <c r="E174" s="15">
        <v>45720</v>
      </c>
      <c r="F174" s="14" t="s">
        <v>20</v>
      </c>
      <c r="G174" s="16">
        <v>38.409999999999997</v>
      </c>
    </row>
    <row r="175" spans="1:7" x14ac:dyDescent="0.25">
      <c r="A175" s="13" t="s">
        <v>784</v>
      </c>
      <c r="B175" s="13">
        <v>1856</v>
      </c>
      <c r="C175" s="14" t="str">
        <f>+VLOOKUP(B175,[1]LISTE!$A$1:$D$431,4,FALSE)</f>
        <v>ABDELLATIF MOHAMED ALI</v>
      </c>
      <c r="D175" s="14" t="s">
        <v>75</v>
      </c>
      <c r="E175" s="15">
        <v>45708</v>
      </c>
      <c r="F175" s="14" t="s">
        <v>23</v>
      </c>
      <c r="G175" s="16">
        <v>45</v>
      </c>
    </row>
    <row r="176" spans="1:7" x14ac:dyDescent="0.25">
      <c r="A176" s="13" t="s">
        <v>784</v>
      </c>
      <c r="B176" s="13">
        <v>1856</v>
      </c>
      <c r="C176" s="14" t="str">
        <f>+VLOOKUP(B176,[1]LISTE!$A$1:$D$431,4,FALSE)</f>
        <v>ABDELLATIF MOHAMED ALI</v>
      </c>
      <c r="D176" s="14" t="s">
        <v>75</v>
      </c>
      <c r="E176" s="15">
        <v>45708</v>
      </c>
      <c r="F176" s="14" t="s">
        <v>20</v>
      </c>
      <c r="G176" s="16">
        <v>72.924999999999997</v>
      </c>
    </row>
    <row r="177" spans="1:7" x14ac:dyDescent="0.25">
      <c r="A177" s="13" t="s">
        <v>785</v>
      </c>
      <c r="B177" s="13">
        <v>1856</v>
      </c>
      <c r="C177" s="14" t="str">
        <f>+VLOOKUP(B177,[1]LISTE!$A$1:$D$431,4,FALSE)</f>
        <v>ABDELLATIF MOHAMED ALI</v>
      </c>
      <c r="D177" s="15" t="s">
        <v>329</v>
      </c>
      <c r="E177" s="15">
        <v>45703</v>
      </c>
      <c r="F177" s="14" t="s">
        <v>23</v>
      </c>
      <c r="G177" s="16">
        <v>45</v>
      </c>
    </row>
    <row r="178" spans="1:7" x14ac:dyDescent="0.25">
      <c r="A178" s="13" t="s">
        <v>785</v>
      </c>
      <c r="B178" s="13">
        <v>1856</v>
      </c>
      <c r="C178" s="14" t="str">
        <f>+VLOOKUP(B178,[1]LISTE!$A$1:$D$431,4,FALSE)</f>
        <v>ABDELLATIF MOHAMED ALI</v>
      </c>
      <c r="D178" s="15" t="s">
        <v>329</v>
      </c>
      <c r="E178" s="15">
        <v>45703</v>
      </c>
      <c r="F178" s="14" t="s">
        <v>20</v>
      </c>
      <c r="G178" s="16">
        <v>71.037000000000006</v>
      </c>
    </row>
    <row r="179" spans="1:7" x14ac:dyDescent="0.25">
      <c r="A179" s="13" t="s">
        <v>830</v>
      </c>
      <c r="B179" s="13">
        <v>1856</v>
      </c>
      <c r="C179" s="14" t="str">
        <f>+VLOOKUP(B179,[1]LISTE!$A$1:$D$431,4,FALSE)</f>
        <v>ABDELLATIF MOHAMED ALI</v>
      </c>
      <c r="D179" s="15" t="s">
        <v>296</v>
      </c>
      <c r="E179" s="15">
        <v>45712</v>
      </c>
      <c r="F179" s="14" t="s">
        <v>18</v>
      </c>
      <c r="G179" s="16">
        <v>70</v>
      </c>
    </row>
    <row r="180" spans="1:7" x14ac:dyDescent="0.25">
      <c r="A180" s="13" t="s">
        <v>830</v>
      </c>
      <c r="B180" s="13">
        <v>1856</v>
      </c>
      <c r="C180" s="14" t="str">
        <f>+VLOOKUP(B180,[1]LISTE!$A$1:$D$431,4,FALSE)</f>
        <v>ABDELLATIF MOHAMED ALI</v>
      </c>
      <c r="D180" s="15" t="s">
        <v>296</v>
      </c>
      <c r="E180" s="15">
        <v>45712</v>
      </c>
      <c r="F180" s="14" t="s">
        <v>20</v>
      </c>
      <c r="G180" s="16">
        <v>306.31200000000001</v>
      </c>
    </row>
    <row r="181" spans="1:7" x14ac:dyDescent="0.25">
      <c r="A181" s="13" t="s">
        <v>801</v>
      </c>
      <c r="B181" s="13">
        <v>1861</v>
      </c>
      <c r="C181" s="14" t="str">
        <f>+VLOOKUP(B181,[1]LISTE!$A$1:$D$431,4,FALSE)</f>
        <v>BOUHLEL ANIS BEN MUSTAPHA</v>
      </c>
      <c r="D181" s="14" t="s">
        <v>22</v>
      </c>
      <c r="E181" s="15">
        <v>45715</v>
      </c>
      <c r="F181" s="14" t="s">
        <v>23</v>
      </c>
      <c r="G181" s="16">
        <v>40</v>
      </c>
    </row>
    <row r="182" spans="1:7" x14ac:dyDescent="0.25">
      <c r="A182" s="13" t="s">
        <v>801</v>
      </c>
      <c r="B182" s="13">
        <v>1861</v>
      </c>
      <c r="C182" s="14" t="str">
        <f>+VLOOKUP(B182,[1]LISTE!$A$1:$D$431,4,FALSE)</f>
        <v>BOUHLEL ANIS BEN MUSTAPHA</v>
      </c>
      <c r="D182" s="15" t="s">
        <v>22</v>
      </c>
      <c r="E182" s="15">
        <v>45715</v>
      </c>
      <c r="F182" s="14" t="s">
        <v>20</v>
      </c>
      <c r="G182" s="16">
        <v>43.573999999999998</v>
      </c>
    </row>
    <row r="183" spans="1:7" x14ac:dyDescent="0.25">
      <c r="A183" s="13" t="s">
        <v>802</v>
      </c>
      <c r="B183" s="13">
        <v>1861</v>
      </c>
      <c r="C183" s="14" t="str">
        <f>+VLOOKUP(B183,[1]LISTE!$A$1:$D$431,4,FALSE)</f>
        <v>BOUHLEL ANIS BEN MUSTAPHA</v>
      </c>
      <c r="D183" s="14" t="s">
        <v>212</v>
      </c>
      <c r="E183" s="15">
        <v>45712</v>
      </c>
      <c r="F183" s="14" t="s">
        <v>23</v>
      </c>
      <c r="G183" s="16">
        <v>40</v>
      </c>
    </row>
    <row r="184" spans="1:7" x14ac:dyDescent="0.25">
      <c r="A184" s="13" t="s">
        <v>802</v>
      </c>
      <c r="B184" s="13">
        <v>1861</v>
      </c>
      <c r="C184" s="14" t="str">
        <f>+VLOOKUP(B184,[1]LISTE!$A$1:$D$431,4,FALSE)</f>
        <v>BOUHLEL ANIS BEN MUSTAPHA</v>
      </c>
      <c r="D184" s="14" t="s">
        <v>212</v>
      </c>
      <c r="E184" s="15">
        <v>45715</v>
      </c>
      <c r="F184" s="14" t="s">
        <v>20</v>
      </c>
      <c r="G184" s="16">
        <v>48.506</v>
      </c>
    </row>
    <row r="185" spans="1:7" x14ac:dyDescent="0.25">
      <c r="A185" s="13" t="s">
        <v>838</v>
      </c>
      <c r="B185" s="13">
        <v>1878</v>
      </c>
      <c r="C185" s="14" t="str">
        <f>+VLOOKUP(B185,[1]LISTE!$A$1:$D$431,4,FALSE)</f>
        <v>BOUHLEL MED ALI</v>
      </c>
      <c r="D185" s="15" t="s">
        <v>22</v>
      </c>
      <c r="E185" s="15">
        <v>45720</v>
      </c>
      <c r="F185" s="14" t="s">
        <v>20</v>
      </c>
      <c r="G185" s="16">
        <v>189.40700000000001</v>
      </c>
    </row>
    <row r="186" spans="1:7" x14ac:dyDescent="0.25">
      <c r="A186" s="13" t="s">
        <v>838</v>
      </c>
      <c r="B186" s="13">
        <v>1878</v>
      </c>
      <c r="C186" s="14" t="str">
        <f>+VLOOKUP(B186,[1]LISTE!$A$1:$D$431,4,FALSE)</f>
        <v>BOUHLEL MED ALI</v>
      </c>
      <c r="D186" s="15" t="s">
        <v>22</v>
      </c>
      <c r="E186" s="15">
        <v>45720</v>
      </c>
      <c r="F186" s="14" t="s">
        <v>20</v>
      </c>
      <c r="G186" s="16">
        <v>68.034000000000006</v>
      </c>
    </row>
    <row r="187" spans="1:7" x14ac:dyDescent="0.25">
      <c r="A187" s="13" t="s">
        <v>789</v>
      </c>
      <c r="B187" s="13">
        <v>1901</v>
      </c>
      <c r="C187" s="14" t="str">
        <f>+VLOOKUP(B187,[1]LISTE!$A$1:$D$431,4,FALSE)</f>
        <v>BACH ZOUHAIER</v>
      </c>
      <c r="D187" s="15" t="s">
        <v>790</v>
      </c>
      <c r="E187" s="15">
        <v>45703</v>
      </c>
      <c r="F187" s="14" t="s">
        <v>18</v>
      </c>
      <c r="G187" s="16">
        <v>70</v>
      </c>
    </row>
    <row r="188" spans="1:7" x14ac:dyDescent="0.25">
      <c r="A188" s="13" t="s">
        <v>789</v>
      </c>
      <c r="B188" s="13">
        <v>1901</v>
      </c>
      <c r="C188" s="14" t="str">
        <f>+VLOOKUP(B188,[1]LISTE!$A$1:$D$431,4,FALSE)</f>
        <v>BACH ZOUHAIER</v>
      </c>
      <c r="D188" s="14" t="s">
        <v>790</v>
      </c>
      <c r="E188" s="15">
        <v>45703</v>
      </c>
      <c r="F188" s="14" t="s">
        <v>20</v>
      </c>
      <c r="G188" s="16">
        <v>54.164999999999999</v>
      </c>
    </row>
    <row r="189" spans="1:7" x14ac:dyDescent="0.25">
      <c r="A189" s="13" t="s">
        <v>791</v>
      </c>
      <c r="B189" s="13">
        <v>1901</v>
      </c>
      <c r="C189" s="14" t="str">
        <f>+VLOOKUP(B189,[1]LISTE!$A$1:$D$431,4,FALSE)</f>
        <v>BACH ZOUHAIER</v>
      </c>
      <c r="D189" s="14" t="s">
        <v>792</v>
      </c>
      <c r="E189" s="15">
        <v>45712</v>
      </c>
      <c r="F189" s="14" t="s">
        <v>23</v>
      </c>
      <c r="G189" s="16">
        <v>50</v>
      </c>
    </row>
    <row r="190" spans="1:7" x14ac:dyDescent="0.25">
      <c r="A190" s="13" t="s">
        <v>791</v>
      </c>
      <c r="B190" s="13">
        <v>1901</v>
      </c>
      <c r="C190" s="14" t="str">
        <f>+VLOOKUP(B190,[1]LISTE!$A$1:$D$431,4,FALSE)</f>
        <v>BACH ZOUHAIER</v>
      </c>
      <c r="D190" s="15" t="s">
        <v>792</v>
      </c>
      <c r="E190" s="15">
        <v>45712</v>
      </c>
      <c r="F190" s="14" t="s">
        <v>20</v>
      </c>
      <c r="G190" s="16">
        <v>28.51</v>
      </c>
    </row>
    <row r="191" spans="1:7" x14ac:dyDescent="0.25">
      <c r="A191" s="13" t="s">
        <v>798</v>
      </c>
      <c r="B191" s="13">
        <v>1905</v>
      </c>
      <c r="C191" s="14" t="str">
        <f>+VLOOKUP(B191,[1]LISTE!$A$1:$D$431,4,FALSE)</f>
        <v>LADHARI MOHAMED</v>
      </c>
      <c r="D191" s="15" t="s">
        <v>22</v>
      </c>
      <c r="E191" s="15">
        <v>45713</v>
      </c>
      <c r="F191" s="14" t="s">
        <v>23</v>
      </c>
      <c r="G191" s="16">
        <v>45</v>
      </c>
    </row>
    <row r="192" spans="1:7" x14ac:dyDescent="0.25">
      <c r="A192" s="13" t="s">
        <v>798</v>
      </c>
      <c r="B192" s="13">
        <v>1905</v>
      </c>
      <c r="C192" s="14" t="str">
        <f>+VLOOKUP(B192,[1]LISTE!$A$1:$D$431,4,FALSE)</f>
        <v>LADHARI MOHAMED</v>
      </c>
      <c r="D192" s="15" t="s">
        <v>22</v>
      </c>
      <c r="E192" s="15">
        <v>45713</v>
      </c>
      <c r="F192" s="14" t="s">
        <v>20</v>
      </c>
      <c r="G192" s="16">
        <v>32.341999999999999</v>
      </c>
    </row>
    <row r="193" spans="1:7" x14ac:dyDescent="0.25">
      <c r="A193" s="13" t="s">
        <v>872</v>
      </c>
      <c r="B193" s="13">
        <v>1905</v>
      </c>
      <c r="C193" s="14" t="str">
        <f>+VLOOKUP(B193,[1]LISTE!$A$1:$D$431,4,FALSE)</f>
        <v>LADHARI MOHAMED</v>
      </c>
      <c r="D193" s="15" t="s">
        <v>22</v>
      </c>
      <c r="E193" s="15">
        <v>45716</v>
      </c>
      <c r="F193" s="14" t="s">
        <v>23</v>
      </c>
      <c r="G193" s="16">
        <v>45</v>
      </c>
    </row>
    <row r="194" spans="1:7" x14ac:dyDescent="0.25">
      <c r="A194" s="13" t="s">
        <v>872</v>
      </c>
      <c r="B194" s="13">
        <v>1905</v>
      </c>
      <c r="C194" s="14" t="str">
        <f>+VLOOKUP(B194,[1]LISTE!$A$1:$D$431,4,FALSE)</f>
        <v>LADHARI MOHAMED</v>
      </c>
      <c r="D194" s="15" t="s">
        <v>22</v>
      </c>
      <c r="E194" s="15">
        <v>45716</v>
      </c>
      <c r="F194" s="14" t="s">
        <v>20</v>
      </c>
      <c r="G194" s="16">
        <v>46</v>
      </c>
    </row>
    <row r="195" spans="1:7" x14ac:dyDescent="0.25">
      <c r="A195" s="13" t="s">
        <v>793</v>
      </c>
      <c r="B195" s="13">
        <v>1923</v>
      </c>
      <c r="C195" s="14" t="str">
        <f>+VLOOKUP(B195,[1]LISTE!$A$1:$D$431,4,FALSE)</f>
        <v>BOUAZZA WALID</v>
      </c>
      <c r="D195" s="14" t="s">
        <v>22</v>
      </c>
      <c r="E195" s="15">
        <v>45701</v>
      </c>
      <c r="F195" s="14" t="s">
        <v>23</v>
      </c>
      <c r="G195" s="16">
        <v>25</v>
      </c>
    </row>
    <row r="196" spans="1:7" x14ac:dyDescent="0.25">
      <c r="A196" s="13" t="s">
        <v>793</v>
      </c>
      <c r="B196" s="13">
        <v>1923</v>
      </c>
      <c r="C196" s="14" t="str">
        <f>+VLOOKUP(B196,[1]LISTE!$A$1:$D$431,4,FALSE)</f>
        <v>BOUAZZA WALID</v>
      </c>
      <c r="D196" s="14" t="s">
        <v>22</v>
      </c>
      <c r="E196" s="15">
        <v>45701</v>
      </c>
      <c r="F196" s="14" t="s">
        <v>20</v>
      </c>
      <c r="G196" s="16">
        <v>49.348999999999997</v>
      </c>
    </row>
    <row r="197" spans="1:7" x14ac:dyDescent="0.25">
      <c r="A197" s="13" t="s">
        <v>793</v>
      </c>
      <c r="B197" s="13">
        <v>1923</v>
      </c>
      <c r="C197" s="14" t="str">
        <f>+VLOOKUP(B197,[1]LISTE!$A$1:$D$431,4,FALSE)</f>
        <v>BOUAZZA WALID</v>
      </c>
      <c r="D197" s="14" t="s">
        <v>22</v>
      </c>
      <c r="E197" s="15">
        <v>45709</v>
      </c>
      <c r="F197" s="14" t="s">
        <v>20</v>
      </c>
      <c r="G197" s="16">
        <v>17.364999999999998</v>
      </c>
    </row>
    <row r="198" spans="1:7" x14ac:dyDescent="0.25">
      <c r="A198" s="13" t="s">
        <v>812</v>
      </c>
      <c r="B198" s="13">
        <v>1924</v>
      </c>
      <c r="C198" s="14" t="str">
        <f>+VLOOKUP(B198,[1]LISTE!$A$1:$D$431,4,FALSE)</f>
        <v>BRAHIM Wahiba</v>
      </c>
      <c r="D198" s="15" t="s">
        <v>22</v>
      </c>
      <c r="E198" s="15">
        <v>45713</v>
      </c>
      <c r="F198" s="14" t="s">
        <v>18</v>
      </c>
      <c r="G198" s="16">
        <v>70</v>
      </c>
    </row>
    <row r="199" spans="1:7" x14ac:dyDescent="0.25">
      <c r="A199" s="13" t="s">
        <v>812</v>
      </c>
      <c r="B199" s="13">
        <v>1924</v>
      </c>
      <c r="C199" s="14" t="str">
        <f>+VLOOKUP(B199,[1]LISTE!$A$1:$D$431,4,FALSE)</f>
        <v>BRAHIM Wahiba</v>
      </c>
      <c r="D199" s="15" t="s">
        <v>22</v>
      </c>
      <c r="E199" s="15">
        <v>45712</v>
      </c>
      <c r="F199" s="14" t="s">
        <v>19</v>
      </c>
      <c r="G199" s="16">
        <v>96.03</v>
      </c>
    </row>
    <row r="200" spans="1:7" x14ac:dyDescent="0.25">
      <c r="A200" s="13" t="s">
        <v>812</v>
      </c>
      <c r="B200" s="13">
        <v>1924</v>
      </c>
      <c r="C200" s="14" t="str">
        <f>+VLOOKUP(B200,[1]LISTE!$A$1:$D$431,4,FALSE)</f>
        <v>BRAHIM Wahiba</v>
      </c>
      <c r="D200" s="14" t="s">
        <v>22</v>
      </c>
      <c r="E200" s="15">
        <v>45713</v>
      </c>
      <c r="F200" s="14" t="s">
        <v>20</v>
      </c>
      <c r="G200" s="16">
        <v>27.745000000000001</v>
      </c>
    </row>
    <row r="201" spans="1:7" x14ac:dyDescent="0.25">
      <c r="A201" s="13" t="s">
        <v>812</v>
      </c>
      <c r="B201" s="13">
        <v>1924</v>
      </c>
      <c r="C201" s="14" t="str">
        <f>+VLOOKUP(B201,[1]LISTE!$A$1:$D$431,4,FALSE)</f>
        <v>BRAHIM Wahiba</v>
      </c>
      <c r="D201" s="14" t="s">
        <v>22</v>
      </c>
      <c r="E201" s="15">
        <v>45712</v>
      </c>
      <c r="F201" s="14" t="s">
        <v>21</v>
      </c>
      <c r="G201" s="16">
        <v>80</v>
      </c>
    </row>
    <row r="202" spans="1:7" x14ac:dyDescent="0.25">
      <c r="A202" s="13" t="s">
        <v>849</v>
      </c>
      <c r="B202" s="13">
        <v>1924</v>
      </c>
      <c r="C202" s="14" t="str">
        <f>+VLOOKUP(B202,[1]LISTE!$A$1:$D$431,4,FALSE)</f>
        <v>BRAHIM Wahiba</v>
      </c>
      <c r="D202" s="15" t="s">
        <v>580</v>
      </c>
      <c r="E202" s="15">
        <v>45695</v>
      </c>
      <c r="F202" s="14" t="s">
        <v>18</v>
      </c>
      <c r="G202" s="16">
        <v>70</v>
      </c>
    </row>
    <row r="203" spans="1:7" x14ac:dyDescent="0.25">
      <c r="A203" s="13" t="s">
        <v>849</v>
      </c>
      <c r="B203" s="13">
        <v>1924</v>
      </c>
      <c r="C203" s="14" t="str">
        <f>+VLOOKUP(B203,[1]LISTE!$A$1:$D$431,4,FALSE)</f>
        <v>BRAHIM Wahiba</v>
      </c>
      <c r="D203" s="15" t="s">
        <v>580</v>
      </c>
      <c r="E203" s="15">
        <v>45696</v>
      </c>
      <c r="F203" s="14" t="s">
        <v>20</v>
      </c>
      <c r="G203" s="16">
        <v>175.726</v>
      </c>
    </row>
    <row r="204" spans="1:7" x14ac:dyDescent="0.25">
      <c r="A204" s="13" t="s">
        <v>849</v>
      </c>
      <c r="B204" s="13">
        <v>1924</v>
      </c>
      <c r="C204" s="14" t="str">
        <f>+VLOOKUP(B204,[1]LISTE!$A$1:$D$431,4,FALSE)</f>
        <v>BRAHIM Wahiba</v>
      </c>
      <c r="D204" s="15" t="s">
        <v>580</v>
      </c>
      <c r="E204" s="15">
        <v>45695</v>
      </c>
      <c r="F204" s="14" t="s">
        <v>21</v>
      </c>
      <c r="G204" s="16">
        <v>50</v>
      </c>
    </row>
    <row r="205" spans="1:7" x14ac:dyDescent="0.25">
      <c r="A205" s="13" t="s">
        <v>829</v>
      </c>
      <c r="B205" s="13">
        <v>1927</v>
      </c>
      <c r="C205" s="14" t="str">
        <f>+VLOOKUP(B205,[1]LISTE!$A$1:$D$431,4,FALSE)</f>
        <v>BEN HAMMOUDA AYMEN</v>
      </c>
      <c r="D205" s="15" t="s">
        <v>208</v>
      </c>
      <c r="E205" s="15">
        <v>45713</v>
      </c>
      <c r="F205" s="14" t="s">
        <v>18</v>
      </c>
      <c r="G205" s="16">
        <v>70</v>
      </c>
    </row>
    <row r="206" spans="1:7" x14ac:dyDescent="0.25">
      <c r="A206" s="13" t="s">
        <v>829</v>
      </c>
      <c r="B206" s="13">
        <v>1927</v>
      </c>
      <c r="C206" s="14" t="str">
        <f>+VLOOKUP(B206,[1]LISTE!$A$1:$D$431,4,FALSE)</f>
        <v>BEN HAMMOUDA AYMEN</v>
      </c>
      <c r="D206" s="15" t="s">
        <v>208</v>
      </c>
      <c r="E206" s="15">
        <v>45713</v>
      </c>
      <c r="F206" s="14" t="s">
        <v>20</v>
      </c>
      <c r="G206" s="16">
        <v>48.856999999999999</v>
      </c>
    </row>
    <row r="207" spans="1:7" x14ac:dyDescent="0.25">
      <c r="A207" s="13" t="s">
        <v>891</v>
      </c>
      <c r="B207" s="13">
        <v>1928</v>
      </c>
      <c r="C207" s="14" t="str">
        <f>+VLOOKUP(B207,[1]LISTE!$A$1:$D$431,4,FALSE)</f>
        <v>ZAGGAR JAMEL</v>
      </c>
      <c r="D207" s="15" t="s">
        <v>892</v>
      </c>
      <c r="E207" s="15">
        <v>45719</v>
      </c>
      <c r="F207" s="14" t="s">
        <v>23</v>
      </c>
      <c r="G207" s="16">
        <v>3</v>
      </c>
    </row>
    <row r="208" spans="1:7" x14ac:dyDescent="0.25">
      <c r="A208" s="13" t="s">
        <v>891</v>
      </c>
      <c r="B208" s="13">
        <v>1928</v>
      </c>
      <c r="C208" s="14" t="str">
        <f>+VLOOKUP(B208,[1]LISTE!$A$1:$D$431,4,FALSE)</f>
        <v>ZAGGAR JAMEL</v>
      </c>
      <c r="D208" s="14" t="s">
        <v>892</v>
      </c>
      <c r="E208" s="15">
        <v>45720</v>
      </c>
      <c r="F208" s="14" t="s">
        <v>20</v>
      </c>
      <c r="G208" s="16">
        <v>40.729999999999997</v>
      </c>
    </row>
    <row r="209" spans="1:7" x14ac:dyDescent="0.25">
      <c r="A209" s="13" t="s">
        <v>774</v>
      </c>
      <c r="B209" s="13">
        <v>1938</v>
      </c>
      <c r="C209" s="14" t="str">
        <f>+VLOOKUP(B209,[1]LISTE!$A$1:$D$431,4,FALSE)</f>
        <v>NAFFATI SOFIENE</v>
      </c>
      <c r="D209" s="14" t="s">
        <v>775</v>
      </c>
      <c r="E209" s="15">
        <v>45710</v>
      </c>
      <c r="F209" s="14" t="s">
        <v>20</v>
      </c>
      <c r="G209" s="16">
        <v>16.193999999999999</v>
      </c>
    </row>
    <row r="210" spans="1:7" x14ac:dyDescent="0.25">
      <c r="A210" s="13" t="s">
        <v>850</v>
      </c>
      <c r="B210" s="13">
        <v>1969</v>
      </c>
      <c r="C210" s="14" t="str">
        <f>+VLOOKUP(B210,[1]LISTE!$A$1:$D$431,4,FALSE)</f>
        <v>BOUKADDIDA MEHREZ</v>
      </c>
      <c r="D210" s="15" t="s">
        <v>22</v>
      </c>
      <c r="E210" s="15">
        <v>45715</v>
      </c>
      <c r="F210" s="14" t="s">
        <v>20</v>
      </c>
      <c r="G210" s="16">
        <v>227.08</v>
      </c>
    </row>
    <row r="211" spans="1:7" x14ac:dyDescent="0.25">
      <c r="A211" s="13" t="s">
        <v>901</v>
      </c>
      <c r="B211" s="13">
        <v>2052</v>
      </c>
      <c r="C211" s="14" t="str">
        <f>+VLOOKUP(B211,[1]LISTE!$A$1:$D$431,4,FALSE)</f>
        <v>BEN RAJEH MOHAMED</v>
      </c>
      <c r="D211" s="15" t="s">
        <v>22</v>
      </c>
      <c r="E211" s="15">
        <v>45721</v>
      </c>
      <c r="F211" s="14" t="s">
        <v>23</v>
      </c>
      <c r="G211" s="16">
        <v>45</v>
      </c>
    </row>
    <row r="212" spans="1:7" x14ac:dyDescent="0.25">
      <c r="A212" s="13" t="s">
        <v>901</v>
      </c>
      <c r="B212" s="13">
        <v>2052</v>
      </c>
      <c r="C212" s="14" t="str">
        <f>+VLOOKUP(B212,[1]LISTE!$A$1:$D$431,4,FALSE)</f>
        <v>BEN RAJEH MOHAMED</v>
      </c>
      <c r="D212" s="14" t="s">
        <v>22</v>
      </c>
      <c r="E212" s="15">
        <v>45721</v>
      </c>
      <c r="F212" s="14" t="s">
        <v>20</v>
      </c>
      <c r="G212" s="16">
        <v>52.332000000000001</v>
      </c>
    </row>
    <row r="213" spans="1:7" x14ac:dyDescent="0.25">
      <c r="A213" s="13" t="s">
        <v>778</v>
      </c>
      <c r="B213" s="13">
        <v>2071</v>
      </c>
      <c r="C213" s="14" t="str">
        <f>+VLOOKUP(B213,[1]LISTE!$A$1:$D$431,4,FALSE)</f>
        <v>TRIAA FARES</v>
      </c>
      <c r="D213" s="14" t="s">
        <v>779</v>
      </c>
      <c r="E213" s="15">
        <v>45710</v>
      </c>
      <c r="F213" s="14" t="s">
        <v>23</v>
      </c>
      <c r="G213" s="16">
        <v>40</v>
      </c>
    </row>
    <row r="214" spans="1:7" x14ac:dyDescent="0.25">
      <c r="A214" s="13" t="s">
        <v>778</v>
      </c>
      <c r="B214" s="13">
        <v>2071</v>
      </c>
      <c r="C214" s="14" t="str">
        <f>+VLOOKUP(B214,[1]LISTE!$A$1:$D$431,4,FALSE)</f>
        <v>TRIAA FARES</v>
      </c>
      <c r="D214" s="15" t="s">
        <v>779</v>
      </c>
      <c r="E214" s="15">
        <v>45710</v>
      </c>
      <c r="F214" s="14" t="s">
        <v>20</v>
      </c>
      <c r="G214" s="16">
        <v>30.164999999999999</v>
      </c>
    </row>
    <row r="215" spans="1:7" x14ac:dyDescent="0.25">
      <c r="A215" s="13" t="s">
        <v>834</v>
      </c>
      <c r="B215" s="13">
        <v>2102</v>
      </c>
      <c r="C215" s="14" t="str">
        <f>+VLOOKUP(B215,[1]LISTE!$A$1:$D$431,4,FALSE)</f>
        <v>BENAMER MARWA</v>
      </c>
      <c r="D215" s="14" t="s">
        <v>22</v>
      </c>
      <c r="E215" s="15">
        <v>45712</v>
      </c>
      <c r="F215" s="14" t="s">
        <v>18</v>
      </c>
      <c r="G215" s="16">
        <v>70</v>
      </c>
    </row>
    <row r="216" spans="1:7" x14ac:dyDescent="0.25">
      <c r="A216" s="13" t="s">
        <v>834</v>
      </c>
      <c r="B216" s="13">
        <v>2102</v>
      </c>
      <c r="C216" s="14" t="str">
        <f>+VLOOKUP(B216,[1]LISTE!$A$1:$D$431,4,FALSE)</f>
        <v>BENAMER MARWA</v>
      </c>
      <c r="D216" s="15" t="s">
        <v>22</v>
      </c>
      <c r="E216" s="15">
        <v>45712</v>
      </c>
      <c r="F216" s="14" t="s">
        <v>20</v>
      </c>
      <c r="G216" s="16">
        <v>78.397000000000006</v>
      </c>
    </row>
    <row r="217" spans="1:7" x14ac:dyDescent="0.25">
      <c r="A217" s="13" t="s">
        <v>834</v>
      </c>
      <c r="B217" s="13">
        <v>2102</v>
      </c>
      <c r="C217" s="14" t="str">
        <f>+VLOOKUP(B217,[1]LISTE!$A$1:$D$431,4,FALSE)</f>
        <v>BENAMER MARWA</v>
      </c>
      <c r="D217" s="14" t="s">
        <v>22</v>
      </c>
      <c r="E217" s="15">
        <v>45712</v>
      </c>
      <c r="F217" s="14" t="s">
        <v>20</v>
      </c>
      <c r="G217" s="16">
        <v>24.417999999999999</v>
      </c>
    </row>
    <row r="218" spans="1:7" x14ac:dyDescent="0.25">
      <c r="A218" s="13" t="s">
        <v>809</v>
      </c>
      <c r="B218" s="13">
        <v>2107</v>
      </c>
      <c r="C218" s="14" t="str">
        <f>+VLOOKUP(B218,[1]LISTE!$A$1:$D$431,4,FALSE)</f>
        <v>TRIMECH RAHMA</v>
      </c>
      <c r="D218" s="14" t="s">
        <v>493</v>
      </c>
      <c r="E218" s="15">
        <v>45714</v>
      </c>
      <c r="F218" s="14" t="s">
        <v>18</v>
      </c>
      <c r="G218" s="16">
        <v>60</v>
      </c>
    </row>
    <row r="219" spans="1:7" x14ac:dyDescent="0.25">
      <c r="A219" s="13" t="s">
        <v>809</v>
      </c>
      <c r="B219" s="13">
        <v>2107</v>
      </c>
      <c r="C219" s="14" t="str">
        <f>+VLOOKUP(B219,[1]LISTE!$A$1:$D$431,4,FALSE)</f>
        <v>TRIMECH RAHMA</v>
      </c>
      <c r="D219" s="14" t="s">
        <v>493</v>
      </c>
      <c r="E219" s="15">
        <v>45714</v>
      </c>
      <c r="F219" s="14" t="s">
        <v>20</v>
      </c>
      <c r="G219" s="16">
        <v>19.09</v>
      </c>
    </row>
    <row r="220" spans="1:7" x14ac:dyDescent="0.25">
      <c r="A220" s="13" t="s">
        <v>776</v>
      </c>
      <c r="B220" s="13">
        <v>2124</v>
      </c>
      <c r="C220" s="14" t="str">
        <f>+VLOOKUP(B220,[1]LISTE!$A$1:$D$431,4,FALSE)</f>
        <v>AHMED BEN HADJ MESSAOUD</v>
      </c>
      <c r="D220" s="14" t="s">
        <v>108</v>
      </c>
      <c r="E220" s="15">
        <v>45707</v>
      </c>
      <c r="F220" s="14" t="s">
        <v>18</v>
      </c>
      <c r="G220" s="16">
        <v>60</v>
      </c>
    </row>
    <row r="221" spans="1:7" x14ac:dyDescent="0.25">
      <c r="A221" s="13" t="s">
        <v>776</v>
      </c>
      <c r="B221" s="13">
        <v>2124</v>
      </c>
      <c r="C221" s="14" t="str">
        <f>+VLOOKUP(B221,[1]LISTE!$A$1:$D$431,4,FALSE)</f>
        <v>AHMED BEN HADJ MESSAOUD</v>
      </c>
      <c r="D221" s="15" t="s">
        <v>108</v>
      </c>
      <c r="E221" s="15">
        <v>45712</v>
      </c>
      <c r="F221" s="14" t="s">
        <v>20</v>
      </c>
      <c r="G221" s="16">
        <v>42.930999999999997</v>
      </c>
    </row>
    <row r="222" spans="1:7" x14ac:dyDescent="0.25">
      <c r="A222" s="13" t="s">
        <v>847</v>
      </c>
      <c r="B222" s="13">
        <v>2124</v>
      </c>
      <c r="C222" s="14" t="str">
        <f>+VLOOKUP(B222,[1]LISTE!$A$1:$D$431,4,FALSE)</f>
        <v>AHMED BEN HADJ MESSAOUD</v>
      </c>
      <c r="D222" s="14" t="s">
        <v>22</v>
      </c>
      <c r="E222" s="15">
        <v>45717</v>
      </c>
      <c r="F222" s="14" t="s">
        <v>18</v>
      </c>
      <c r="G222" s="16">
        <v>70</v>
      </c>
    </row>
    <row r="223" spans="1:7" x14ac:dyDescent="0.25">
      <c r="A223" s="13" t="s">
        <v>847</v>
      </c>
      <c r="B223" s="13">
        <v>2124</v>
      </c>
      <c r="C223" s="14" t="str">
        <f>+VLOOKUP(B223,[1]LISTE!$A$1:$D$431,4,FALSE)</f>
        <v>AHMED BEN HADJ MESSAOUD</v>
      </c>
      <c r="D223" s="14" t="s">
        <v>22</v>
      </c>
      <c r="E223" s="15">
        <v>45719</v>
      </c>
      <c r="F223" s="14" t="s">
        <v>20</v>
      </c>
      <c r="G223" s="16">
        <v>48.701000000000001</v>
      </c>
    </row>
    <row r="224" spans="1:7" x14ac:dyDescent="0.25">
      <c r="A224" s="13" t="s">
        <v>914</v>
      </c>
      <c r="B224" s="13">
        <v>2128</v>
      </c>
      <c r="C224" s="14" t="str">
        <f>+VLOOKUP(B224,[1]LISTE!$A$1:$D$431,4,FALSE)</f>
        <v>ILYES DHIFALLAH</v>
      </c>
      <c r="D224" s="15" t="s">
        <v>22</v>
      </c>
      <c r="E224" s="15">
        <v>45714</v>
      </c>
      <c r="F224" s="14" t="s">
        <v>18</v>
      </c>
      <c r="G224" s="16">
        <v>70</v>
      </c>
    </row>
    <row r="225" spans="1:7" x14ac:dyDescent="0.25">
      <c r="A225" s="13" t="s">
        <v>914</v>
      </c>
      <c r="B225" s="13">
        <v>2128</v>
      </c>
      <c r="C225" s="14" t="str">
        <f>+VLOOKUP(B225,[1]LISTE!$A$1:$D$431,4,FALSE)</f>
        <v>ILYES DHIFALLAH</v>
      </c>
      <c r="D225" s="14" t="s">
        <v>22</v>
      </c>
      <c r="E225" s="15">
        <v>45714</v>
      </c>
      <c r="F225" s="14" t="s">
        <v>20</v>
      </c>
      <c r="G225" s="16">
        <v>12.31</v>
      </c>
    </row>
    <row r="226" spans="1:7" x14ac:dyDescent="0.25">
      <c r="A226" s="13" t="s">
        <v>862</v>
      </c>
      <c r="B226" s="13">
        <v>2137</v>
      </c>
      <c r="C226" s="14" t="str">
        <f>+VLOOKUP(B226,[1]LISTE!$A$1:$D$431,4,FALSE)</f>
        <v>MOHAMED BOUZAMOUCHA</v>
      </c>
      <c r="D226" s="14" t="s">
        <v>22</v>
      </c>
      <c r="E226" s="15">
        <v>45708</v>
      </c>
      <c r="F226" s="14" t="s">
        <v>18</v>
      </c>
      <c r="G226" s="16">
        <v>70</v>
      </c>
    </row>
    <row r="227" spans="1:7" x14ac:dyDescent="0.25">
      <c r="A227" s="13" t="s">
        <v>862</v>
      </c>
      <c r="B227" s="13">
        <v>2137</v>
      </c>
      <c r="C227" s="14" t="str">
        <f>+VLOOKUP(B227,[1]LISTE!$A$1:$D$431,4,FALSE)</f>
        <v>MOHAMED BOUZAMOUCHA</v>
      </c>
      <c r="D227" s="15" t="s">
        <v>22</v>
      </c>
      <c r="E227" s="15">
        <v>45712</v>
      </c>
      <c r="F227" s="14" t="s">
        <v>20</v>
      </c>
      <c r="G227" s="16">
        <v>418.17</v>
      </c>
    </row>
    <row r="228" spans="1:7" x14ac:dyDescent="0.25">
      <c r="A228" s="13" t="s">
        <v>867</v>
      </c>
      <c r="B228" s="13">
        <v>2145</v>
      </c>
      <c r="C228" s="14" t="str">
        <f>+VLOOKUP(B228,[1]LISTE!$A$1:$D$431,4,FALSE)</f>
        <v>MRIBAH HAMZA</v>
      </c>
      <c r="D228" s="15" t="s">
        <v>44</v>
      </c>
      <c r="E228" s="15">
        <v>45716</v>
      </c>
      <c r="F228" s="14" t="s">
        <v>18</v>
      </c>
      <c r="G228" s="16">
        <v>70</v>
      </c>
    </row>
    <row r="229" spans="1:7" x14ac:dyDescent="0.25">
      <c r="A229" s="13" t="s">
        <v>867</v>
      </c>
      <c r="B229" s="13">
        <v>2145</v>
      </c>
      <c r="C229" s="14" t="str">
        <f>+VLOOKUP(B229,[1]LISTE!$A$1:$D$431,4,FALSE)</f>
        <v>MRIBAH HAMZA</v>
      </c>
      <c r="D229" s="14" t="s">
        <v>44</v>
      </c>
      <c r="E229" s="15">
        <v>45717</v>
      </c>
      <c r="F229" s="14" t="s">
        <v>19</v>
      </c>
      <c r="G229" s="16">
        <v>57.78</v>
      </c>
    </row>
    <row r="230" spans="1:7" x14ac:dyDescent="0.25">
      <c r="A230" s="13" t="s">
        <v>867</v>
      </c>
      <c r="B230" s="13">
        <v>2145</v>
      </c>
      <c r="C230" s="14" t="str">
        <f>+VLOOKUP(B230,[1]LISTE!$A$1:$D$431,4,FALSE)</f>
        <v>MRIBAH HAMZA</v>
      </c>
      <c r="D230" s="14" t="s">
        <v>44</v>
      </c>
      <c r="E230" s="15">
        <v>45716</v>
      </c>
      <c r="F230" s="14" t="s">
        <v>20</v>
      </c>
      <c r="G230" s="16">
        <v>28</v>
      </c>
    </row>
    <row r="231" spans="1:7" x14ac:dyDescent="0.25">
      <c r="A231" s="13" t="s">
        <v>873</v>
      </c>
      <c r="B231" s="13">
        <v>2149</v>
      </c>
      <c r="C231" s="14" t="str">
        <f>+VLOOKUP(B231,[1]LISTE!$A$1:$D$431,4,FALSE)</f>
        <v>BERRIRI HOUSSEM</v>
      </c>
      <c r="D231" s="15" t="s">
        <v>22</v>
      </c>
      <c r="E231" s="15">
        <v>45705</v>
      </c>
      <c r="F231" s="14" t="s">
        <v>18</v>
      </c>
      <c r="G231" s="16">
        <v>60</v>
      </c>
    </row>
    <row r="232" spans="1:7" x14ac:dyDescent="0.25">
      <c r="A232" s="13" t="s">
        <v>873</v>
      </c>
      <c r="B232" s="13">
        <v>2149</v>
      </c>
      <c r="C232" s="14" t="str">
        <f>+VLOOKUP(B232,[1]LISTE!$A$1:$D$431,4,FALSE)</f>
        <v>BERRIRI HOUSSEM</v>
      </c>
      <c r="D232" s="14" t="s">
        <v>22</v>
      </c>
      <c r="E232" s="15">
        <v>45705</v>
      </c>
      <c r="F232" s="14" t="s">
        <v>20</v>
      </c>
      <c r="G232" s="16">
        <v>21.364000000000001</v>
      </c>
    </row>
    <row r="233" spans="1:7" x14ac:dyDescent="0.25">
      <c r="A233" s="13" t="s">
        <v>868</v>
      </c>
      <c r="B233" s="13">
        <v>2170</v>
      </c>
      <c r="C233" s="14" t="str">
        <f>+VLOOKUP(B233,[1]LISTE!$A$1:$D$431,4,FALSE)</f>
        <v>BEN AHMED ANOUAR</v>
      </c>
      <c r="D233" s="15" t="s">
        <v>869</v>
      </c>
      <c r="E233" s="15">
        <v>45712</v>
      </c>
      <c r="F233" s="14" t="s">
        <v>18</v>
      </c>
      <c r="G233" s="16">
        <v>70</v>
      </c>
    </row>
    <row r="234" spans="1:7" x14ac:dyDescent="0.25">
      <c r="A234" s="13" t="s">
        <v>868</v>
      </c>
      <c r="B234" s="13">
        <v>2170</v>
      </c>
      <c r="C234" s="14" t="str">
        <f>+VLOOKUP(B234,[1]LISTE!$A$1:$D$431,4,FALSE)</f>
        <v>BEN AHMED ANOUAR</v>
      </c>
      <c r="D234" s="14" t="s">
        <v>869</v>
      </c>
      <c r="E234" s="15">
        <v>45712</v>
      </c>
      <c r="F234" s="14" t="s">
        <v>20</v>
      </c>
      <c r="G234" s="16">
        <v>13.37</v>
      </c>
    </row>
    <row r="235" spans="1:7" x14ac:dyDescent="0.25">
      <c r="A235" s="13" t="s">
        <v>824</v>
      </c>
      <c r="B235" s="13">
        <v>2184</v>
      </c>
      <c r="C235" s="14" t="s">
        <v>825</v>
      </c>
      <c r="D235" s="15" t="s">
        <v>387</v>
      </c>
      <c r="E235" s="15">
        <v>45713</v>
      </c>
      <c r="F235" s="14" t="s">
        <v>18</v>
      </c>
      <c r="G235" s="16">
        <v>70</v>
      </c>
    </row>
    <row r="236" spans="1:7" x14ac:dyDescent="0.25">
      <c r="A236" s="13" t="s">
        <v>824</v>
      </c>
      <c r="B236" s="13">
        <v>2184</v>
      </c>
      <c r="C236" s="14" t="s">
        <v>825</v>
      </c>
      <c r="D236" s="14" t="s">
        <v>387</v>
      </c>
      <c r="E236" s="15">
        <v>45714</v>
      </c>
      <c r="F236" s="14" t="s">
        <v>20</v>
      </c>
      <c r="G236" s="16">
        <v>52.238999999999997</v>
      </c>
    </row>
    <row r="237" spans="1:7" x14ac:dyDescent="0.25">
      <c r="A237" s="13" t="s">
        <v>912</v>
      </c>
      <c r="B237" s="13">
        <v>2184</v>
      </c>
      <c r="C237" s="14" t="s">
        <v>825</v>
      </c>
      <c r="D237" s="14" t="s">
        <v>387</v>
      </c>
      <c r="E237" s="15">
        <v>45717</v>
      </c>
      <c r="F237" s="14" t="s">
        <v>18</v>
      </c>
      <c r="G237" s="16">
        <v>70</v>
      </c>
    </row>
    <row r="238" spans="1:7" x14ac:dyDescent="0.25">
      <c r="A238" s="13" t="s">
        <v>912</v>
      </c>
      <c r="B238" s="13">
        <v>2184</v>
      </c>
      <c r="C238" s="14" t="s">
        <v>825</v>
      </c>
      <c r="D238" s="14" t="s">
        <v>387</v>
      </c>
      <c r="E238" s="15">
        <v>45717</v>
      </c>
      <c r="F238" s="14" t="s">
        <v>20</v>
      </c>
      <c r="G238" s="16">
        <v>16.795000000000002</v>
      </c>
    </row>
    <row r="239" spans="1:7" x14ac:dyDescent="0.25">
      <c r="A239" s="13" t="s">
        <v>861</v>
      </c>
      <c r="B239" s="13">
        <v>2195</v>
      </c>
      <c r="C239" s="14" t="s">
        <v>559</v>
      </c>
      <c r="D239" s="14" t="s">
        <v>513</v>
      </c>
      <c r="E239" s="15">
        <v>45717</v>
      </c>
      <c r="F239" s="14" t="s">
        <v>23</v>
      </c>
      <c r="G239" s="16">
        <v>1.5</v>
      </c>
    </row>
    <row r="240" spans="1:7" x14ac:dyDescent="0.25">
      <c r="A240" s="13" t="s">
        <v>861</v>
      </c>
      <c r="B240" s="13">
        <v>2195</v>
      </c>
      <c r="C240" s="14" t="s">
        <v>559</v>
      </c>
      <c r="D240" s="14" t="s">
        <v>513</v>
      </c>
      <c r="E240" s="15">
        <v>45717</v>
      </c>
      <c r="F240" s="14" t="s">
        <v>20</v>
      </c>
      <c r="G240" s="16">
        <v>30.914999999999999</v>
      </c>
    </row>
    <row r="241" spans="1:7" x14ac:dyDescent="0.25">
      <c r="A241" s="13" t="s">
        <v>814</v>
      </c>
      <c r="B241" s="13">
        <v>2203</v>
      </c>
      <c r="C241" s="14" t="s">
        <v>815</v>
      </c>
      <c r="D241" s="15" t="s">
        <v>22</v>
      </c>
      <c r="E241" s="15">
        <v>45713</v>
      </c>
      <c r="F241" s="14" t="s">
        <v>23</v>
      </c>
      <c r="G241" s="16">
        <v>45</v>
      </c>
    </row>
    <row r="242" spans="1:7" x14ac:dyDescent="0.25">
      <c r="A242" s="13" t="s">
        <v>814</v>
      </c>
      <c r="B242" s="13">
        <v>2203</v>
      </c>
      <c r="C242" s="14" t="s">
        <v>815</v>
      </c>
      <c r="D242" s="15" t="s">
        <v>22</v>
      </c>
      <c r="E242" s="15">
        <v>45713</v>
      </c>
      <c r="F242" s="14" t="s">
        <v>20</v>
      </c>
      <c r="G242" s="16">
        <v>33.034999999999997</v>
      </c>
    </row>
    <row r="243" spans="1:7" x14ac:dyDescent="0.25">
      <c r="A243" s="13" t="s">
        <v>880</v>
      </c>
      <c r="B243" s="13">
        <v>2229</v>
      </c>
      <c r="C243" s="14" t="s">
        <v>720</v>
      </c>
      <c r="D243" s="15" t="s">
        <v>721</v>
      </c>
      <c r="E243" s="15">
        <v>45717</v>
      </c>
      <c r="F243" s="14" t="s">
        <v>18</v>
      </c>
      <c r="G243" s="16">
        <v>70</v>
      </c>
    </row>
    <row r="244" spans="1:7" x14ac:dyDescent="0.25">
      <c r="A244" s="13" t="s">
        <v>880</v>
      </c>
      <c r="B244" s="13">
        <v>2229</v>
      </c>
      <c r="C244" s="14" t="s">
        <v>720</v>
      </c>
      <c r="D244" s="15" t="s">
        <v>721</v>
      </c>
      <c r="E244" s="15">
        <v>45717</v>
      </c>
      <c r="F244" s="14" t="s">
        <v>20</v>
      </c>
      <c r="G244" s="16">
        <v>53.639000000000003</v>
      </c>
    </row>
    <row r="245" spans="1:7" x14ac:dyDescent="0.25">
      <c r="A245" s="13" t="s">
        <v>807</v>
      </c>
      <c r="B245" s="13">
        <v>2243</v>
      </c>
      <c r="C245" s="14" t="s">
        <v>808</v>
      </c>
      <c r="D245" s="14" t="s">
        <v>249</v>
      </c>
      <c r="E245" s="15">
        <v>45689</v>
      </c>
      <c r="F245" s="14" t="s">
        <v>23</v>
      </c>
      <c r="G245" s="16">
        <v>30</v>
      </c>
    </row>
    <row r="246" spans="1:7" x14ac:dyDescent="0.25">
      <c r="A246" s="13" t="s">
        <v>807</v>
      </c>
      <c r="B246" s="13">
        <v>2243</v>
      </c>
      <c r="C246" s="14" t="s">
        <v>808</v>
      </c>
      <c r="D246" s="14" t="s">
        <v>249</v>
      </c>
      <c r="E246" s="15">
        <v>45689</v>
      </c>
      <c r="F246" s="14" t="s">
        <v>20</v>
      </c>
      <c r="G246" s="16">
        <v>38.65</v>
      </c>
    </row>
    <row r="247" spans="1:7" x14ac:dyDescent="0.25">
      <c r="A247" s="13" t="s">
        <v>848</v>
      </c>
      <c r="B247" s="13">
        <v>2246</v>
      </c>
      <c r="C247" s="14" t="s">
        <v>664</v>
      </c>
      <c r="D247" s="14" t="s">
        <v>665</v>
      </c>
      <c r="E247" s="15">
        <v>45708</v>
      </c>
      <c r="F247" s="14" t="s">
        <v>18</v>
      </c>
      <c r="G247" s="16">
        <v>70</v>
      </c>
    </row>
    <row r="248" spans="1:7" x14ac:dyDescent="0.25">
      <c r="A248" s="13" t="s">
        <v>848</v>
      </c>
      <c r="B248" s="13">
        <v>2246</v>
      </c>
      <c r="C248" s="14" t="s">
        <v>664</v>
      </c>
      <c r="D248" s="15" t="s">
        <v>665</v>
      </c>
      <c r="E248" s="15">
        <v>45708</v>
      </c>
      <c r="F248" s="14" t="s">
        <v>21</v>
      </c>
      <c r="G248" s="16">
        <v>60</v>
      </c>
    </row>
    <row r="249" spans="1:7" x14ac:dyDescent="0.25">
      <c r="A249" s="13" t="s">
        <v>915</v>
      </c>
      <c r="B249" s="13">
        <v>2275</v>
      </c>
      <c r="C249" s="14" t="s">
        <v>916</v>
      </c>
      <c r="D249" s="14" t="s">
        <v>917</v>
      </c>
      <c r="E249" s="15">
        <v>45691</v>
      </c>
      <c r="F249" s="14" t="s">
        <v>18</v>
      </c>
      <c r="G249" s="16">
        <v>70</v>
      </c>
    </row>
    <row r="250" spans="1:7" x14ac:dyDescent="0.25">
      <c r="A250" s="13" t="s">
        <v>820</v>
      </c>
      <c r="B250" s="13">
        <v>2300</v>
      </c>
      <c r="C250" s="14" t="s">
        <v>821</v>
      </c>
      <c r="D250" s="15" t="s">
        <v>22</v>
      </c>
      <c r="E250" s="15">
        <v>45714</v>
      </c>
      <c r="F250" s="14" t="s">
        <v>23</v>
      </c>
      <c r="G250" s="16">
        <v>45</v>
      </c>
    </row>
    <row r="251" spans="1:7" x14ac:dyDescent="0.25">
      <c r="A251" s="13" t="s">
        <v>820</v>
      </c>
      <c r="B251" s="13">
        <v>2300</v>
      </c>
      <c r="C251" s="14" t="s">
        <v>821</v>
      </c>
      <c r="D251" s="15" t="s">
        <v>22</v>
      </c>
      <c r="E251" s="15">
        <v>45714</v>
      </c>
      <c r="F251" s="14" t="s">
        <v>20</v>
      </c>
      <c r="G251" s="16">
        <v>73.251999999999995</v>
      </c>
    </row>
    <row r="252" spans="1:7" x14ac:dyDescent="0.25">
      <c r="A252" s="13" t="s">
        <v>889</v>
      </c>
      <c r="B252" s="13">
        <v>2308</v>
      </c>
      <c r="C252" s="14" t="s">
        <v>890</v>
      </c>
      <c r="D252" s="14" t="s">
        <v>22</v>
      </c>
      <c r="E252" s="15">
        <v>45720</v>
      </c>
      <c r="F252" s="14" t="s">
        <v>23</v>
      </c>
      <c r="G252" s="16">
        <v>45</v>
      </c>
    </row>
    <row r="253" spans="1:7" x14ac:dyDescent="0.25">
      <c r="A253" s="13" t="s">
        <v>889</v>
      </c>
      <c r="B253" s="13">
        <v>2308</v>
      </c>
      <c r="C253" s="14" t="s">
        <v>890</v>
      </c>
      <c r="D253" s="14" t="s">
        <v>22</v>
      </c>
      <c r="E253" s="15">
        <v>45720</v>
      </c>
      <c r="F253" s="14" t="s">
        <v>20</v>
      </c>
      <c r="G253" s="16">
        <v>52.524999999999999</v>
      </c>
    </row>
    <row r="254" spans="1:7" x14ac:dyDescent="0.25">
      <c r="A254" s="13" t="s">
        <v>921</v>
      </c>
      <c r="B254" s="13">
        <v>2326</v>
      </c>
      <c r="C254" s="14" t="s">
        <v>922</v>
      </c>
      <c r="D254" s="14" t="s">
        <v>923</v>
      </c>
      <c r="E254" s="15">
        <v>45724</v>
      </c>
      <c r="F254" s="14" t="s">
        <v>20</v>
      </c>
      <c r="G254" s="16">
        <v>37.18</v>
      </c>
    </row>
    <row r="255" spans="1:7" x14ac:dyDescent="0.25">
      <c r="A255" s="13" t="s">
        <v>919</v>
      </c>
      <c r="B255" s="13">
        <v>2374</v>
      </c>
      <c r="C255" s="14" t="s">
        <v>920</v>
      </c>
      <c r="D255" s="14" t="s">
        <v>22</v>
      </c>
      <c r="E255" s="15">
        <v>45721</v>
      </c>
      <c r="F255" s="14" t="s">
        <v>20</v>
      </c>
      <c r="G255" s="16">
        <v>106.96899999999999</v>
      </c>
    </row>
    <row r="256" spans="1:7" x14ac:dyDescent="0.25">
      <c r="A256" s="13" t="s">
        <v>881</v>
      </c>
      <c r="B256" s="13">
        <v>2408</v>
      </c>
      <c r="C256" s="14" t="s">
        <v>459</v>
      </c>
      <c r="D256" s="15" t="s">
        <v>882</v>
      </c>
      <c r="E256" s="15">
        <v>45720</v>
      </c>
      <c r="F256" s="14" t="s">
        <v>18</v>
      </c>
      <c r="G256" s="16">
        <v>60</v>
      </c>
    </row>
    <row r="257" spans="1:7" x14ac:dyDescent="0.25">
      <c r="A257" s="13" t="s">
        <v>881</v>
      </c>
      <c r="B257" s="13">
        <v>2408</v>
      </c>
      <c r="C257" s="14" t="s">
        <v>459</v>
      </c>
      <c r="D257" s="15" t="s">
        <v>882</v>
      </c>
      <c r="E257" s="15">
        <v>45720</v>
      </c>
      <c r="F257" s="14" t="s">
        <v>20</v>
      </c>
      <c r="G257" s="16">
        <v>47.343000000000004</v>
      </c>
    </row>
    <row r="258" spans="1:7" x14ac:dyDescent="0.25">
      <c r="A258" s="13" t="s">
        <v>816</v>
      </c>
      <c r="B258" s="13">
        <v>2442</v>
      </c>
      <c r="C258" s="14" t="s">
        <v>817</v>
      </c>
      <c r="D258" s="14" t="s">
        <v>22</v>
      </c>
      <c r="E258" s="15">
        <v>45714</v>
      </c>
      <c r="F258" s="14" t="s">
        <v>23</v>
      </c>
      <c r="G258" s="16">
        <v>3</v>
      </c>
    </row>
    <row r="259" spans="1:7" x14ac:dyDescent="0.25">
      <c r="A259" s="13" t="s">
        <v>816</v>
      </c>
      <c r="B259" s="13">
        <v>2442</v>
      </c>
      <c r="C259" s="14" t="s">
        <v>817</v>
      </c>
      <c r="D259" s="15" t="s">
        <v>22</v>
      </c>
      <c r="E259" s="15">
        <v>45714</v>
      </c>
      <c r="F259" s="14" t="s">
        <v>20</v>
      </c>
      <c r="G259" s="16">
        <v>41.43</v>
      </c>
    </row>
    <row r="260" spans="1:7" x14ac:dyDescent="0.25">
      <c r="A260" s="13" t="s">
        <v>886</v>
      </c>
      <c r="B260" s="13">
        <v>2569</v>
      </c>
      <c r="C260" s="14" t="s">
        <v>101</v>
      </c>
      <c r="D260" s="14" t="s">
        <v>887</v>
      </c>
      <c r="E260" s="15">
        <v>45720</v>
      </c>
      <c r="F260" s="14" t="s">
        <v>18</v>
      </c>
      <c r="G260" s="16">
        <v>60</v>
      </c>
    </row>
    <row r="261" spans="1:7" x14ac:dyDescent="0.25">
      <c r="A261" s="13" t="s">
        <v>886</v>
      </c>
      <c r="B261" s="13">
        <v>2569</v>
      </c>
      <c r="C261" s="14" t="s">
        <v>101</v>
      </c>
      <c r="D261" s="14" t="s">
        <v>887</v>
      </c>
      <c r="E261" s="15">
        <v>45720</v>
      </c>
      <c r="F261" s="14" t="s">
        <v>20</v>
      </c>
      <c r="G261" s="16">
        <v>5.41</v>
      </c>
    </row>
    <row r="262" spans="1:7" x14ac:dyDescent="0.25">
      <c r="A262" s="13" t="s">
        <v>837</v>
      </c>
      <c r="B262" s="13">
        <v>2572</v>
      </c>
      <c r="C262" s="14" t="s">
        <v>462</v>
      </c>
      <c r="D262" s="14" t="s">
        <v>503</v>
      </c>
      <c r="E262" s="15">
        <v>45715</v>
      </c>
      <c r="F262" s="14" t="s">
        <v>18</v>
      </c>
      <c r="G262" s="16">
        <v>70</v>
      </c>
    </row>
    <row r="263" spans="1:7" x14ac:dyDescent="0.25">
      <c r="A263" s="13" t="s">
        <v>837</v>
      </c>
      <c r="B263" s="13">
        <v>2572</v>
      </c>
      <c r="C263" s="14" t="s">
        <v>462</v>
      </c>
      <c r="D263" s="15" t="s">
        <v>503</v>
      </c>
      <c r="E263" s="15">
        <v>45715</v>
      </c>
      <c r="F263" s="14" t="s">
        <v>20</v>
      </c>
      <c r="G263" s="16">
        <v>201</v>
      </c>
    </row>
    <row r="264" spans="1:7" x14ac:dyDescent="0.25">
      <c r="A264" s="13" t="s">
        <v>902</v>
      </c>
      <c r="B264" s="13">
        <v>2582</v>
      </c>
      <c r="C264" s="14" t="s">
        <v>903</v>
      </c>
      <c r="D264" s="14" t="s">
        <v>22</v>
      </c>
      <c r="E264" s="15">
        <v>45713</v>
      </c>
      <c r="F264" s="14" t="s">
        <v>18</v>
      </c>
      <c r="G264" s="16">
        <v>70</v>
      </c>
    </row>
    <row r="265" spans="1:7" x14ac:dyDescent="0.25">
      <c r="A265" s="13" t="s">
        <v>902</v>
      </c>
      <c r="B265" s="13">
        <v>2582</v>
      </c>
      <c r="C265" s="14" t="s">
        <v>903</v>
      </c>
      <c r="D265" s="14" t="s">
        <v>22</v>
      </c>
      <c r="E265" s="15">
        <v>45713</v>
      </c>
      <c r="F265" s="14" t="s">
        <v>20</v>
      </c>
      <c r="G265" s="16">
        <v>33.75</v>
      </c>
    </row>
    <row r="266" spans="1:7" x14ac:dyDescent="0.25">
      <c r="A266" s="13" t="s">
        <v>902</v>
      </c>
      <c r="B266" s="13">
        <v>2582</v>
      </c>
      <c r="C266" s="14" t="s">
        <v>903</v>
      </c>
      <c r="D266" s="14" t="s">
        <v>22</v>
      </c>
      <c r="E266" s="15">
        <v>45721</v>
      </c>
      <c r="F266" s="14" t="s">
        <v>69</v>
      </c>
      <c r="G266" s="16">
        <v>340</v>
      </c>
    </row>
    <row r="267" spans="1:7" x14ac:dyDescent="0.25">
      <c r="A267" s="13" t="s">
        <v>841</v>
      </c>
      <c r="B267" s="13">
        <v>2631</v>
      </c>
      <c r="C267" s="14" t="s">
        <v>533</v>
      </c>
      <c r="D267" s="14" t="s">
        <v>22</v>
      </c>
      <c r="E267" s="15">
        <v>45710</v>
      </c>
      <c r="F267" s="14" t="s">
        <v>18</v>
      </c>
      <c r="G267" s="16">
        <v>60</v>
      </c>
    </row>
    <row r="268" spans="1:7" x14ac:dyDescent="0.25">
      <c r="A268" s="13" t="s">
        <v>841</v>
      </c>
      <c r="B268" s="13">
        <v>2631</v>
      </c>
      <c r="C268" s="14" t="s">
        <v>533</v>
      </c>
      <c r="D268" s="14" t="s">
        <v>22</v>
      </c>
      <c r="E268" s="15">
        <v>45710</v>
      </c>
      <c r="F268" s="14" t="s">
        <v>19</v>
      </c>
      <c r="G268" s="16">
        <v>77.040000000000006</v>
      </c>
    </row>
    <row r="269" spans="1:7" x14ac:dyDescent="0.25">
      <c r="A269" s="13" t="s">
        <v>841</v>
      </c>
      <c r="B269" s="13">
        <v>2631</v>
      </c>
      <c r="C269" s="14" t="s">
        <v>533</v>
      </c>
      <c r="D269" s="15" t="s">
        <v>22</v>
      </c>
      <c r="E269" s="15">
        <v>45710</v>
      </c>
      <c r="F269" s="14" t="s">
        <v>20</v>
      </c>
      <c r="G269" s="16">
        <v>54.594999999999999</v>
      </c>
    </row>
    <row r="270" spans="1:7" x14ac:dyDescent="0.25">
      <c r="A270" s="13" t="s">
        <v>875</v>
      </c>
      <c r="B270" s="13">
        <v>2633</v>
      </c>
      <c r="C270" s="14" t="s">
        <v>157</v>
      </c>
      <c r="D270" s="14" t="s">
        <v>876</v>
      </c>
      <c r="E270" s="15">
        <v>45709</v>
      </c>
      <c r="F270" s="14" t="s">
        <v>20</v>
      </c>
      <c r="G270" s="16">
        <v>30.724</v>
      </c>
    </row>
    <row r="271" spans="1:7" ht="18.75" x14ac:dyDescent="0.3">
      <c r="A271" s="14"/>
      <c r="B271" s="28"/>
      <c r="C271" s="29"/>
      <c r="D271" s="14"/>
      <c r="E271" s="28"/>
      <c r="F271" s="17" t="s">
        <v>11</v>
      </c>
      <c r="G271" s="17">
        <f>SUM(G10:G270)</f>
        <v>22804.417000000005</v>
      </c>
    </row>
    <row r="272" spans="1:7" ht="18.75" x14ac:dyDescent="0.3">
      <c r="A272" s="38"/>
      <c r="B272" s="39"/>
      <c r="C272" s="40"/>
      <c r="D272" s="41"/>
      <c r="E272" s="19"/>
      <c r="F272" s="18"/>
      <c r="G272" s="34"/>
    </row>
    <row r="273" spans="1:7" ht="18.75" x14ac:dyDescent="0.3">
      <c r="A273" s="35"/>
      <c r="B273" s="36"/>
      <c r="C273" s="37"/>
      <c r="D273" s="42"/>
      <c r="E273" s="43"/>
      <c r="F273" s="44"/>
      <c r="G273" s="44"/>
    </row>
    <row r="274" spans="1:7" ht="15.75" x14ac:dyDescent="0.25">
      <c r="A274" s="35"/>
      <c r="B274" s="36" t="s">
        <v>12</v>
      </c>
      <c r="C274" s="37"/>
      <c r="E274" s="36" t="s">
        <v>13</v>
      </c>
      <c r="F274" s="18"/>
      <c r="G274" s="18"/>
    </row>
    <row r="275" spans="1:7" ht="15.75" x14ac:dyDescent="0.25">
      <c r="A275" s="45"/>
      <c r="B275" s="46" t="s">
        <v>14</v>
      </c>
      <c r="C275" s="47"/>
      <c r="E275" s="36" t="s">
        <v>15</v>
      </c>
      <c r="F275" s="18"/>
      <c r="G275" s="18"/>
    </row>
    <row r="276" spans="1:7" ht="15.75" x14ac:dyDescent="0.25">
      <c r="A276" s="23"/>
      <c r="B276" s="24"/>
      <c r="C276" s="25"/>
      <c r="E276" s="27"/>
      <c r="F276" s="18"/>
      <c r="G276" s="18"/>
    </row>
    <row r="277" spans="1:7" ht="18.75" x14ac:dyDescent="0.3">
      <c r="B277" s="19"/>
      <c r="C277" s="20"/>
      <c r="D277" s="21"/>
      <c r="E277" s="22"/>
      <c r="F277" s="19"/>
      <c r="G277" s="22"/>
    </row>
    <row r="278" spans="1:7" ht="15.75" x14ac:dyDescent="0.25">
      <c r="A278" s="23"/>
      <c r="B278" s="24"/>
      <c r="C278" s="25"/>
      <c r="D278" s="26"/>
      <c r="E278" s="22"/>
      <c r="F278" s="27"/>
      <c r="G278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"/>
  <sheetViews>
    <sheetView workbookViewId="0">
      <pane ySplit="9" topLeftCell="A10" activePane="bottomLeft" state="frozen"/>
      <selection pane="bottomLeft" sqref="A1:A1048576"/>
    </sheetView>
  </sheetViews>
  <sheetFormatPr baseColWidth="10" defaultRowHeight="15" x14ac:dyDescent="0.25"/>
  <cols>
    <col min="1" max="1" width="12" customWidth="1"/>
    <col min="2" max="2" width="11.42578125" style="4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926</v>
      </c>
      <c r="C5" s="7"/>
      <c r="D5" s="4"/>
    </row>
    <row r="6" spans="1:7" ht="22.5" customHeight="1" x14ac:dyDescent="0.25">
      <c r="A6" s="6"/>
      <c r="B6" s="8" t="s">
        <v>1006</v>
      </c>
      <c r="C6" s="9"/>
      <c r="D6" s="4"/>
    </row>
    <row r="7" spans="1:7" ht="22.5" customHeight="1" x14ac:dyDescent="0.35">
      <c r="A7" s="4"/>
      <c r="B7" s="10"/>
      <c r="C7" s="11" t="s">
        <v>1007</v>
      </c>
      <c r="D7" s="4"/>
    </row>
    <row r="8" spans="1:7" ht="22.5" customHeight="1" x14ac:dyDescent="0.25">
      <c r="A8" s="12"/>
      <c r="B8" s="49"/>
    </row>
    <row r="9" spans="1:7" x14ac:dyDescent="0.25">
      <c r="A9" s="48" t="s">
        <v>4</v>
      </c>
      <c r="B9" s="50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997</v>
      </c>
      <c r="B10" s="50">
        <v>192</v>
      </c>
      <c r="C10" s="14" t="s">
        <v>998</v>
      </c>
      <c r="D10" s="15" t="s">
        <v>999</v>
      </c>
      <c r="E10" s="15">
        <v>45717</v>
      </c>
      <c r="F10" s="14" t="s">
        <v>23</v>
      </c>
      <c r="G10" s="16">
        <v>60</v>
      </c>
    </row>
    <row r="11" spans="1:7" x14ac:dyDescent="0.25">
      <c r="A11" s="13" t="s">
        <v>997</v>
      </c>
      <c r="B11" s="50">
        <v>192</v>
      </c>
      <c r="C11" s="14" t="s">
        <v>998</v>
      </c>
      <c r="D11" s="14" t="s">
        <v>999</v>
      </c>
      <c r="E11" s="15">
        <v>45723</v>
      </c>
      <c r="F11" s="14" t="s">
        <v>20</v>
      </c>
      <c r="G11" s="16">
        <v>24.2</v>
      </c>
    </row>
    <row r="12" spans="1:7" x14ac:dyDescent="0.25">
      <c r="A12" s="13" t="s">
        <v>997</v>
      </c>
      <c r="B12" s="50">
        <v>192</v>
      </c>
      <c r="C12" s="14" t="s">
        <v>998</v>
      </c>
      <c r="D12" s="14" t="s">
        <v>999</v>
      </c>
      <c r="E12" s="15">
        <v>45717</v>
      </c>
      <c r="F12" s="14" t="s">
        <v>20</v>
      </c>
      <c r="G12" s="16">
        <v>16.555</v>
      </c>
    </row>
    <row r="13" spans="1:7" x14ac:dyDescent="0.25">
      <c r="A13" s="13" t="s">
        <v>997</v>
      </c>
      <c r="B13" s="50">
        <v>192</v>
      </c>
      <c r="C13" s="14" t="s">
        <v>998</v>
      </c>
      <c r="D13" s="14" t="s">
        <v>999</v>
      </c>
      <c r="E13" s="15">
        <v>45723</v>
      </c>
      <c r="F13" s="14" t="s">
        <v>24</v>
      </c>
      <c r="G13" s="16">
        <v>240</v>
      </c>
    </row>
    <row r="14" spans="1:7" x14ac:dyDescent="0.25">
      <c r="A14" s="13" t="s">
        <v>947</v>
      </c>
      <c r="B14" s="50">
        <v>662</v>
      </c>
      <c r="C14" s="14" t="str">
        <f>+VLOOKUP(B14,[1]LISTE!$A$1:$D$431,4,FALSE)</f>
        <v>BEN YOUSSEF RACHED</v>
      </c>
      <c r="D14" s="15" t="s">
        <v>948</v>
      </c>
      <c r="E14" s="15">
        <v>45720</v>
      </c>
      <c r="F14" s="14" t="s">
        <v>18</v>
      </c>
      <c r="G14" s="16">
        <v>70</v>
      </c>
    </row>
    <row r="15" spans="1:7" x14ac:dyDescent="0.25">
      <c r="A15" s="13" t="s">
        <v>947</v>
      </c>
      <c r="B15" s="50">
        <v>662</v>
      </c>
      <c r="C15" s="14" t="str">
        <f>+VLOOKUP(B15,[1]LISTE!$A$1:$D$431,4,FALSE)</f>
        <v>BEN YOUSSEF RACHED</v>
      </c>
      <c r="D15" s="15" t="s">
        <v>948</v>
      </c>
      <c r="E15" s="15">
        <v>45720</v>
      </c>
      <c r="F15" s="14" t="s">
        <v>20</v>
      </c>
      <c r="G15" s="16">
        <v>18.193000000000001</v>
      </c>
    </row>
    <row r="16" spans="1:7" x14ac:dyDescent="0.25">
      <c r="A16" s="13" t="s">
        <v>974</v>
      </c>
      <c r="B16" s="50">
        <v>662</v>
      </c>
      <c r="C16" s="14" t="str">
        <f>+VLOOKUP(B16,[1]LISTE!$A$1:$D$431,4,FALSE)</f>
        <v>BEN YOUSSEF RACHED</v>
      </c>
      <c r="D16" s="14" t="s">
        <v>22</v>
      </c>
      <c r="E16" s="15">
        <v>45727</v>
      </c>
      <c r="F16" s="14" t="s">
        <v>19</v>
      </c>
      <c r="G16" s="16">
        <v>179.65299999999999</v>
      </c>
    </row>
    <row r="17" spans="1:7" x14ac:dyDescent="0.25">
      <c r="A17" s="13" t="s">
        <v>934</v>
      </c>
      <c r="B17" s="50">
        <v>721</v>
      </c>
      <c r="C17" s="14" t="str">
        <f>+VLOOKUP(B17,[1]LISTE!$A$1:$D$431,4,FALSE)</f>
        <v>BEN ABDELJELIL WAHID</v>
      </c>
      <c r="D17" s="15" t="s">
        <v>935</v>
      </c>
      <c r="E17" s="15">
        <v>45726</v>
      </c>
      <c r="F17" s="14" t="s">
        <v>23</v>
      </c>
      <c r="G17" s="16">
        <v>3</v>
      </c>
    </row>
    <row r="18" spans="1:7" x14ac:dyDescent="0.25">
      <c r="A18" s="13" t="s">
        <v>934</v>
      </c>
      <c r="B18" s="50">
        <v>721</v>
      </c>
      <c r="C18" s="14" t="str">
        <f>+VLOOKUP(B18,[1]LISTE!$A$1:$D$431,4,FALSE)</f>
        <v>BEN ABDELJELIL WAHID</v>
      </c>
      <c r="D18" s="15" t="s">
        <v>935</v>
      </c>
      <c r="E18" s="15">
        <v>45726</v>
      </c>
      <c r="F18" s="14" t="s">
        <v>20</v>
      </c>
      <c r="G18" s="16">
        <v>12.98</v>
      </c>
    </row>
    <row r="19" spans="1:7" x14ac:dyDescent="0.25">
      <c r="A19" s="13" t="s">
        <v>986</v>
      </c>
      <c r="B19" s="50">
        <v>815</v>
      </c>
      <c r="C19" s="14" t="str">
        <f>+VLOOKUP(B19,[1]LISTE!$A$1:$D$431,4,FALSE)</f>
        <v>DAHMANI HAFSI</v>
      </c>
      <c r="D19" s="15" t="s">
        <v>128</v>
      </c>
      <c r="E19" s="15">
        <v>45740</v>
      </c>
      <c r="F19" s="14" t="s">
        <v>23</v>
      </c>
      <c r="G19" s="16">
        <v>45</v>
      </c>
    </row>
    <row r="20" spans="1:7" x14ac:dyDescent="0.25">
      <c r="A20" s="13" t="s">
        <v>986</v>
      </c>
      <c r="B20" s="50">
        <v>815</v>
      </c>
      <c r="C20" s="14" t="str">
        <f>+VLOOKUP(B20,[1]LISTE!$A$1:$D$431,4,FALSE)</f>
        <v>DAHMANI HAFSI</v>
      </c>
      <c r="D20" s="15" t="s">
        <v>128</v>
      </c>
      <c r="E20" s="15">
        <v>45740</v>
      </c>
      <c r="F20" s="14" t="s">
        <v>20</v>
      </c>
      <c r="G20" s="16">
        <v>25.664999999999999</v>
      </c>
    </row>
    <row r="21" spans="1:7" x14ac:dyDescent="0.25">
      <c r="A21" s="13" t="s">
        <v>959</v>
      </c>
      <c r="B21" s="50">
        <v>859</v>
      </c>
      <c r="C21" s="14" t="str">
        <f>+VLOOKUP(B21,[1]LISTE!$A$1:$D$431,4,FALSE)</f>
        <v>ZRELLI MOHAMED</v>
      </c>
      <c r="D21" s="14" t="s">
        <v>22</v>
      </c>
      <c r="E21" s="15">
        <v>45722</v>
      </c>
      <c r="F21" s="14" t="s">
        <v>23</v>
      </c>
      <c r="G21" s="16">
        <v>45</v>
      </c>
    </row>
    <row r="22" spans="1:7" x14ac:dyDescent="0.25">
      <c r="A22" s="13" t="s">
        <v>959</v>
      </c>
      <c r="B22" s="50">
        <v>859</v>
      </c>
      <c r="C22" s="14" t="str">
        <f>+VLOOKUP(B22,[1]LISTE!$A$1:$D$431,4,FALSE)</f>
        <v>ZRELLI MOHAMED</v>
      </c>
      <c r="D22" s="14" t="s">
        <v>22</v>
      </c>
      <c r="E22" s="15">
        <v>45722</v>
      </c>
      <c r="F22" s="14" t="s">
        <v>19</v>
      </c>
      <c r="G22" s="16">
        <v>8.6999999999999993</v>
      </c>
    </row>
    <row r="23" spans="1:7" x14ac:dyDescent="0.25">
      <c r="A23" s="13" t="s">
        <v>959</v>
      </c>
      <c r="B23" s="50">
        <v>859</v>
      </c>
      <c r="C23" s="14" t="str">
        <f>+VLOOKUP(B23,[1]LISTE!$A$1:$D$431,4,FALSE)</f>
        <v>ZRELLI MOHAMED</v>
      </c>
      <c r="D23" s="14" t="s">
        <v>22</v>
      </c>
      <c r="E23" s="15">
        <v>45722</v>
      </c>
      <c r="F23" s="14" t="s">
        <v>20</v>
      </c>
      <c r="G23" s="16">
        <v>24.71</v>
      </c>
    </row>
    <row r="24" spans="1:7" x14ac:dyDescent="0.25">
      <c r="A24" s="13" t="s">
        <v>956</v>
      </c>
      <c r="B24" s="50">
        <v>913</v>
      </c>
      <c r="C24" s="14" t="str">
        <f>+VLOOKUP(B24,[1]LISTE!$A$1:$D$431,4,FALSE)</f>
        <v>MAOUA MED HEDI</v>
      </c>
      <c r="D24" s="14" t="s">
        <v>604</v>
      </c>
      <c r="E24" s="15">
        <v>45724</v>
      </c>
      <c r="F24" s="14" t="s">
        <v>23</v>
      </c>
      <c r="G24" s="16">
        <v>3</v>
      </c>
    </row>
    <row r="25" spans="1:7" x14ac:dyDescent="0.25">
      <c r="A25" s="13" t="s">
        <v>956</v>
      </c>
      <c r="B25" s="50">
        <v>913</v>
      </c>
      <c r="C25" s="14" t="str">
        <f>+VLOOKUP(B25,[1]LISTE!$A$1:$D$431,4,FALSE)</f>
        <v>MAOUA MED HEDI</v>
      </c>
      <c r="D25" s="14" t="s">
        <v>604</v>
      </c>
      <c r="E25" s="15">
        <v>45724</v>
      </c>
      <c r="F25" s="14" t="s">
        <v>20</v>
      </c>
      <c r="G25" s="16">
        <v>18.465</v>
      </c>
    </row>
    <row r="26" spans="1:7" x14ac:dyDescent="0.25">
      <c r="A26" s="13" t="s">
        <v>996</v>
      </c>
      <c r="B26" s="50">
        <v>997</v>
      </c>
      <c r="C26" s="14" t="str">
        <f>+VLOOKUP(B26,[1]LISTE!$A$1:$D$431,4,FALSE)</f>
        <v>KOIUISSAH MAHJOUB SLAH</v>
      </c>
      <c r="D26" s="15" t="s">
        <v>22</v>
      </c>
      <c r="E26" s="15">
        <v>45740</v>
      </c>
      <c r="F26" s="14" t="s">
        <v>18</v>
      </c>
      <c r="G26" s="16">
        <v>70</v>
      </c>
    </row>
    <row r="27" spans="1:7" x14ac:dyDescent="0.25">
      <c r="A27" s="13" t="s">
        <v>996</v>
      </c>
      <c r="B27" s="50">
        <v>997</v>
      </c>
      <c r="C27" s="14" t="str">
        <f>+VLOOKUP(B27,[1]LISTE!$A$1:$D$431,4,FALSE)</f>
        <v>KOIUISSAH MAHJOUB SLAH</v>
      </c>
      <c r="D27" s="15" t="s">
        <v>22</v>
      </c>
      <c r="E27" s="15">
        <v>45740</v>
      </c>
      <c r="F27" s="14" t="s">
        <v>20</v>
      </c>
      <c r="G27" s="16">
        <v>5.72</v>
      </c>
    </row>
    <row r="28" spans="1:7" x14ac:dyDescent="0.25">
      <c r="A28" s="13" t="s">
        <v>1003</v>
      </c>
      <c r="B28" s="50">
        <v>997</v>
      </c>
      <c r="C28" s="14" t="str">
        <f>+VLOOKUP(B28,[1]LISTE!$A$1:$D$431,4,FALSE)</f>
        <v>KOIUISSAH MAHJOUB SLAH</v>
      </c>
      <c r="D28" s="15" t="s">
        <v>37</v>
      </c>
      <c r="E28" s="15">
        <v>45730</v>
      </c>
      <c r="F28" s="14" t="s">
        <v>23</v>
      </c>
      <c r="G28" s="16">
        <v>50</v>
      </c>
    </row>
    <row r="29" spans="1:7" x14ac:dyDescent="0.25">
      <c r="A29" s="13" t="s">
        <v>1003</v>
      </c>
      <c r="B29" s="50">
        <v>997</v>
      </c>
      <c r="C29" s="14" t="str">
        <f>+VLOOKUP(B29,[1]LISTE!$A$1:$D$431,4,FALSE)</f>
        <v>KOIUISSAH MAHJOUB SLAH</v>
      </c>
      <c r="D29" s="15" t="s">
        <v>37</v>
      </c>
      <c r="E29" s="15">
        <v>45738</v>
      </c>
      <c r="F29" s="14" t="s">
        <v>20</v>
      </c>
      <c r="G29" s="16">
        <v>2.68</v>
      </c>
    </row>
    <row r="30" spans="1:7" x14ac:dyDescent="0.25">
      <c r="A30" s="13" t="s">
        <v>1003</v>
      </c>
      <c r="B30" s="50">
        <v>997</v>
      </c>
      <c r="C30" s="14" t="str">
        <f>+VLOOKUP(B30,[1]LISTE!$A$1:$D$431,4,FALSE)</f>
        <v>KOIUISSAH MAHJOUB SLAH</v>
      </c>
      <c r="D30" s="14" t="s">
        <v>37</v>
      </c>
      <c r="E30" s="15">
        <v>45738</v>
      </c>
      <c r="F30" s="14" t="s">
        <v>25</v>
      </c>
      <c r="G30" s="16">
        <v>100</v>
      </c>
    </row>
    <row r="31" spans="1:7" x14ac:dyDescent="0.25">
      <c r="A31" s="13" t="s">
        <v>978</v>
      </c>
      <c r="B31" s="50">
        <v>1548</v>
      </c>
      <c r="C31" s="14" t="str">
        <f>+VLOOKUP(B31,[1]LISTE!$A$1:$D$431,4,FALSE)</f>
        <v>YOUSSEF WAHID</v>
      </c>
      <c r="D31" s="14" t="s">
        <v>212</v>
      </c>
      <c r="E31" s="15">
        <v>45730</v>
      </c>
      <c r="F31" s="14" t="s">
        <v>18</v>
      </c>
      <c r="G31" s="16">
        <v>60</v>
      </c>
    </row>
    <row r="32" spans="1:7" x14ac:dyDescent="0.25">
      <c r="A32" s="13" t="s">
        <v>978</v>
      </c>
      <c r="B32" s="50">
        <v>1548</v>
      </c>
      <c r="C32" s="14" t="str">
        <f>+VLOOKUP(B32,[1]LISTE!$A$1:$D$431,4,FALSE)</f>
        <v>YOUSSEF WAHID</v>
      </c>
      <c r="D32" s="14" t="s">
        <v>212</v>
      </c>
      <c r="E32" s="15">
        <v>45730</v>
      </c>
      <c r="F32" s="14" t="s">
        <v>20</v>
      </c>
      <c r="G32" s="16">
        <v>35.130000000000003</v>
      </c>
    </row>
    <row r="33" spans="1:7" x14ac:dyDescent="0.25">
      <c r="A33" s="13" t="s">
        <v>992</v>
      </c>
      <c r="B33" s="50">
        <v>1548</v>
      </c>
      <c r="C33" s="14" t="str">
        <f>+VLOOKUP(B33,[1]LISTE!$A$1:$D$431,4,FALSE)</f>
        <v>YOUSSEF WAHID</v>
      </c>
      <c r="D33" s="14" t="s">
        <v>212</v>
      </c>
      <c r="E33" s="15">
        <v>45734</v>
      </c>
      <c r="F33" s="14" t="s">
        <v>19</v>
      </c>
      <c r="G33" s="16">
        <v>54.14</v>
      </c>
    </row>
    <row r="34" spans="1:7" x14ac:dyDescent="0.25">
      <c r="A34" s="13" t="s">
        <v>992</v>
      </c>
      <c r="B34" s="50">
        <v>1548</v>
      </c>
      <c r="C34" s="14" t="str">
        <f>+VLOOKUP(B34,[1]LISTE!$A$1:$D$431,4,FALSE)</f>
        <v>YOUSSEF WAHID</v>
      </c>
      <c r="D34" s="15" t="s">
        <v>212</v>
      </c>
      <c r="E34" s="15">
        <v>45734</v>
      </c>
      <c r="F34" s="14" t="s">
        <v>20</v>
      </c>
      <c r="G34" s="16">
        <v>33.89</v>
      </c>
    </row>
    <row r="35" spans="1:7" x14ac:dyDescent="0.25">
      <c r="A35" s="13" t="s">
        <v>1000</v>
      </c>
      <c r="B35" s="50">
        <v>1556</v>
      </c>
      <c r="C35" s="14" t="str">
        <f>+VLOOKUP(B35,[1]LISTE!$A$1:$D$431,4,FALSE)</f>
        <v>LOGHMARI KHELIL</v>
      </c>
      <c r="D35" s="14" t="s">
        <v>22</v>
      </c>
      <c r="E35" s="15">
        <v>45733</v>
      </c>
      <c r="F35" s="14" t="s">
        <v>23</v>
      </c>
      <c r="G35" s="16">
        <v>45</v>
      </c>
    </row>
    <row r="36" spans="1:7" x14ac:dyDescent="0.25">
      <c r="A36" s="13" t="s">
        <v>1000</v>
      </c>
      <c r="B36" s="50">
        <v>1556</v>
      </c>
      <c r="C36" s="14" t="str">
        <f>+VLOOKUP(B36,[1]LISTE!$A$1:$D$431,4,FALSE)</f>
        <v>LOGHMARI KHELIL</v>
      </c>
      <c r="D36" s="15" t="s">
        <v>22</v>
      </c>
      <c r="E36" s="15">
        <v>45733</v>
      </c>
      <c r="F36" s="14" t="s">
        <v>19</v>
      </c>
      <c r="G36" s="16">
        <v>168.31100000000001</v>
      </c>
    </row>
    <row r="37" spans="1:7" x14ac:dyDescent="0.25">
      <c r="A37" s="13" t="s">
        <v>1000</v>
      </c>
      <c r="B37" s="50">
        <v>1556</v>
      </c>
      <c r="C37" s="14" t="str">
        <f>+VLOOKUP(B37,[1]LISTE!$A$1:$D$431,4,FALSE)</f>
        <v>LOGHMARI KHELIL</v>
      </c>
      <c r="D37" s="15" t="s">
        <v>22</v>
      </c>
      <c r="E37" s="15">
        <v>45733</v>
      </c>
      <c r="F37" s="14" t="s">
        <v>20</v>
      </c>
      <c r="G37" s="16">
        <v>58.247</v>
      </c>
    </row>
    <row r="38" spans="1:7" x14ac:dyDescent="0.25">
      <c r="A38" s="13" t="s">
        <v>994</v>
      </c>
      <c r="B38" s="50">
        <v>1575</v>
      </c>
      <c r="C38" s="14" t="str">
        <f>+VLOOKUP(B38,[1]LISTE!$A$1:$D$431,4,FALSE)</f>
        <v>BEN ABDELJELIL ZOUHAIER</v>
      </c>
      <c r="D38" s="14" t="s">
        <v>22</v>
      </c>
      <c r="E38" s="15">
        <v>45726</v>
      </c>
      <c r="F38" s="14" t="s">
        <v>18</v>
      </c>
      <c r="G38" s="16">
        <v>70</v>
      </c>
    </row>
    <row r="39" spans="1:7" x14ac:dyDescent="0.25">
      <c r="A39" s="13" t="s">
        <v>994</v>
      </c>
      <c r="B39" s="50">
        <v>1575</v>
      </c>
      <c r="C39" s="14" t="str">
        <f>+VLOOKUP(B39,[1]LISTE!$A$1:$D$431,4,FALSE)</f>
        <v>BEN ABDELJELIL ZOUHAIER</v>
      </c>
      <c r="D39" s="14" t="s">
        <v>22</v>
      </c>
      <c r="E39" s="15">
        <v>45726</v>
      </c>
      <c r="F39" s="14" t="s">
        <v>20</v>
      </c>
      <c r="G39" s="16">
        <v>63.865000000000002</v>
      </c>
    </row>
    <row r="40" spans="1:7" x14ac:dyDescent="0.25">
      <c r="A40" s="13" t="s">
        <v>983</v>
      </c>
      <c r="B40" s="50">
        <v>1600</v>
      </c>
      <c r="C40" s="14" t="str">
        <f>+VLOOKUP(B40,[1]LISTE!$A$1:$D$431,4,FALSE)</f>
        <v>MAOUA MOHAMED</v>
      </c>
      <c r="D40" s="15" t="s">
        <v>699</v>
      </c>
      <c r="E40" s="15">
        <v>45727</v>
      </c>
      <c r="F40" s="14" t="s">
        <v>18</v>
      </c>
      <c r="G40" s="16">
        <v>70</v>
      </c>
    </row>
    <row r="41" spans="1:7" x14ac:dyDescent="0.25">
      <c r="A41" s="13" t="s">
        <v>983</v>
      </c>
      <c r="B41" s="50">
        <v>1600</v>
      </c>
      <c r="C41" s="14" t="str">
        <f>+VLOOKUP(B41,[1]LISTE!$A$1:$D$431,4,FALSE)</f>
        <v>MAOUA MOHAMED</v>
      </c>
      <c r="D41" s="15" t="s">
        <v>699</v>
      </c>
      <c r="E41" s="15">
        <v>45728</v>
      </c>
      <c r="F41" s="14" t="s">
        <v>19</v>
      </c>
      <c r="G41" s="16">
        <v>180.72300000000001</v>
      </c>
    </row>
    <row r="42" spans="1:7" x14ac:dyDescent="0.25">
      <c r="A42" s="13" t="s">
        <v>983</v>
      </c>
      <c r="B42" s="50">
        <v>1600</v>
      </c>
      <c r="C42" s="14" t="str">
        <f>+VLOOKUP(B42,[1]LISTE!$A$1:$D$431,4,FALSE)</f>
        <v>MAOUA MOHAMED</v>
      </c>
      <c r="D42" s="14" t="s">
        <v>699</v>
      </c>
      <c r="E42" s="15">
        <v>45727</v>
      </c>
      <c r="F42" s="14" t="s">
        <v>20</v>
      </c>
      <c r="G42" s="16">
        <v>34</v>
      </c>
    </row>
    <row r="43" spans="1:7" x14ac:dyDescent="0.25">
      <c r="A43" s="13" t="s">
        <v>944</v>
      </c>
      <c r="B43" s="50">
        <v>1601</v>
      </c>
      <c r="C43" s="14" t="str">
        <f>+VLOOKUP(B43,[1]LISTE!$A$1:$D$431,4,FALSE)</f>
        <v>BOUKADIDA JAMEL</v>
      </c>
      <c r="D43" s="15" t="s">
        <v>187</v>
      </c>
      <c r="E43" s="15">
        <v>45727</v>
      </c>
      <c r="F43" s="14" t="s">
        <v>23</v>
      </c>
      <c r="G43" s="16">
        <v>45</v>
      </c>
    </row>
    <row r="44" spans="1:7" x14ac:dyDescent="0.25">
      <c r="A44" s="13" t="s">
        <v>944</v>
      </c>
      <c r="B44" s="50">
        <v>1601</v>
      </c>
      <c r="C44" s="14" t="str">
        <f>+VLOOKUP(B44,[1]LISTE!$A$1:$D$431,4,FALSE)</f>
        <v>BOUKADIDA JAMEL</v>
      </c>
      <c r="D44" s="14" t="s">
        <v>187</v>
      </c>
      <c r="E44" s="15">
        <v>45727</v>
      </c>
      <c r="F44" s="14" t="s">
        <v>20</v>
      </c>
      <c r="G44" s="16">
        <v>34.854999999999997</v>
      </c>
    </row>
    <row r="45" spans="1:7" x14ac:dyDescent="0.25">
      <c r="A45" s="13" t="s">
        <v>945</v>
      </c>
      <c r="B45" s="50">
        <v>1602</v>
      </c>
      <c r="C45" s="14" t="str">
        <f>+VLOOKUP(B45,[1]LISTE!$A$1:$D$431,4,FALSE)</f>
        <v>MAMIA RAMZI</v>
      </c>
      <c r="D45" s="15" t="s">
        <v>22</v>
      </c>
      <c r="E45" s="15">
        <v>45727</v>
      </c>
      <c r="F45" s="14" t="s">
        <v>18</v>
      </c>
      <c r="G45" s="16">
        <v>70</v>
      </c>
    </row>
    <row r="46" spans="1:7" x14ac:dyDescent="0.25">
      <c r="A46" s="13" t="s">
        <v>945</v>
      </c>
      <c r="B46" s="50">
        <v>1602</v>
      </c>
      <c r="C46" s="14" t="str">
        <f>+VLOOKUP(B46,[1]LISTE!$A$1:$D$431,4,FALSE)</f>
        <v>MAMIA RAMZI</v>
      </c>
      <c r="D46" s="14" t="s">
        <v>22</v>
      </c>
      <c r="E46" s="15">
        <v>45728</v>
      </c>
      <c r="F46" s="14" t="s">
        <v>20</v>
      </c>
      <c r="G46" s="16">
        <v>11.55</v>
      </c>
    </row>
    <row r="47" spans="1:7" x14ac:dyDescent="0.25">
      <c r="A47" s="13" t="s">
        <v>945</v>
      </c>
      <c r="B47" s="50">
        <v>1602</v>
      </c>
      <c r="C47" s="14" t="str">
        <f>+VLOOKUP(B47,[1]LISTE!$A$1:$D$431,4,FALSE)</f>
        <v>MAMIA RAMZI</v>
      </c>
      <c r="D47" s="14" t="s">
        <v>22</v>
      </c>
      <c r="E47" s="15">
        <v>45727</v>
      </c>
      <c r="F47" s="14" t="s">
        <v>21</v>
      </c>
      <c r="G47" s="16">
        <v>36</v>
      </c>
    </row>
    <row r="48" spans="1:7" x14ac:dyDescent="0.25">
      <c r="A48" s="13" t="s">
        <v>945</v>
      </c>
      <c r="B48" s="50">
        <v>1602</v>
      </c>
      <c r="C48" s="14" t="str">
        <f>+VLOOKUP(B48,[1]LISTE!$A$1:$D$431,4,FALSE)</f>
        <v>MAMIA RAMZI</v>
      </c>
      <c r="D48" s="14" t="s">
        <v>22</v>
      </c>
      <c r="E48" s="15">
        <v>45727</v>
      </c>
      <c r="F48" s="14" t="s">
        <v>21</v>
      </c>
      <c r="G48" s="16">
        <v>90.88</v>
      </c>
    </row>
    <row r="49" spans="1:7" x14ac:dyDescent="0.25">
      <c r="A49" s="13" t="s">
        <v>941</v>
      </c>
      <c r="B49" s="50">
        <v>1695</v>
      </c>
      <c r="C49" s="14" t="str">
        <f>+VLOOKUP(B49,[1]LISTE!$A$1:$D$431,4,FALSE)</f>
        <v>BEN AROUS FOUED</v>
      </c>
      <c r="D49" s="14" t="s">
        <v>163</v>
      </c>
      <c r="E49" s="15">
        <v>45693</v>
      </c>
      <c r="F49" s="14" t="s">
        <v>23</v>
      </c>
      <c r="G49" s="16">
        <v>50</v>
      </c>
    </row>
    <row r="50" spans="1:7" x14ac:dyDescent="0.25">
      <c r="A50" s="13" t="s">
        <v>941</v>
      </c>
      <c r="B50" s="50">
        <v>1695</v>
      </c>
      <c r="C50" s="14" t="str">
        <f>+VLOOKUP(B50,[1]LISTE!$A$1:$D$431,4,FALSE)</f>
        <v>BEN AROUS FOUED</v>
      </c>
      <c r="D50" s="14" t="s">
        <v>163</v>
      </c>
      <c r="E50" s="15">
        <v>45714</v>
      </c>
      <c r="F50" s="14" t="s">
        <v>20</v>
      </c>
      <c r="G50" s="16">
        <v>16.78</v>
      </c>
    </row>
    <row r="51" spans="1:7" x14ac:dyDescent="0.25">
      <c r="A51" s="13" t="s">
        <v>941</v>
      </c>
      <c r="B51" s="50">
        <v>1695</v>
      </c>
      <c r="C51" s="14" t="str">
        <f>+VLOOKUP(B51,[1]LISTE!$A$1:$D$431,4,FALSE)</f>
        <v>BEN AROUS FOUED</v>
      </c>
      <c r="D51" s="14" t="s">
        <v>163</v>
      </c>
      <c r="E51" s="15">
        <v>45714</v>
      </c>
      <c r="F51" s="14" t="s">
        <v>24</v>
      </c>
      <c r="G51" s="16">
        <v>90</v>
      </c>
    </row>
    <row r="52" spans="1:7" x14ac:dyDescent="0.25">
      <c r="A52" s="13" t="s">
        <v>938</v>
      </c>
      <c r="B52" s="50">
        <v>1713</v>
      </c>
      <c r="C52" s="14" t="s">
        <v>939</v>
      </c>
      <c r="D52" s="15" t="s">
        <v>22</v>
      </c>
      <c r="E52" s="15">
        <v>45719</v>
      </c>
      <c r="F52" s="14" t="s">
        <v>23</v>
      </c>
      <c r="G52" s="16">
        <v>3</v>
      </c>
    </row>
    <row r="53" spans="1:7" x14ac:dyDescent="0.25">
      <c r="A53" s="13" t="s">
        <v>938</v>
      </c>
      <c r="B53" s="50">
        <v>1713</v>
      </c>
      <c r="C53" s="14" t="s">
        <v>939</v>
      </c>
      <c r="D53" s="14" t="s">
        <v>22</v>
      </c>
      <c r="E53" s="15">
        <v>45719</v>
      </c>
      <c r="F53" s="14" t="s">
        <v>20</v>
      </c>
      <c r="G53" s="16">
        <v>8.9949999999999992</v>
      </c>
    </row>
    <row r="54" spans="1:7" x14ac:dyDescent="0.25">
      <c r="A54" s="13" t="s">
        <v>938</v>
      </c>
      <c r="B54" s="50">
        <v>1713</v>
      </c>
      <c r="C54" s="14" t="s">
        <v>939</v>
      </c>
      <c r="D54" s="14" t="s">
        <v>22</v>
      </c>
      <c r="E54" s="15">
        <v>45722</v>
      </c>
      <c r="F54" s="14" t="s">
        <v>20</v>
      </c>
      <c r="G54" s="16">
        <v>41.01</v>
      </c>
    </row>
    <row r="55" spans="1:7" x14ac:dyDescent="0.25">
      <c r="A55" s="13" t="s">
        <v>940</v>
      </c>
      <c r="B55" s="50">
        <v>1716</v>
      </c>
      <c r="C55" s="14" t="s">
        <v>219</v>
      </c>
      <c r="D55" s="15" t="s">
        <v>44</v>
      </c>
      <c r="E55" s="15">
        <v>45714</v>
      </c>
      <c r="F55" s="14" t="s">
        <v>19</v>
      </c>
      <c r="G55" s="16">
        <v>46.87</v>
      </c>
    </row>
    <row r="56" spans="1:7" x14ac:dyDescent="0.25">
      <c r="A56" s="13" t="s">
        <v>940</v>
      </c>
      <c r="B56" s="50">
        <v>1716</v>
      </c>
      <c r="C56" s="14" t="s">
        <v>219</v>
      </c>
      <c r="D56" s="14" t="s">
        <v>44</v>
      </c>
      <c r="E56" s="15">
        <v>45716</v>
      </c>
      <c r="F56" s="14" t="s">
        <v>20</v>
      </c>
      <c r="G56" s="16">
        <v>164.41900000000001</v>
      </c>
    </row>
    <row r="57" spans="1:7" x14ac:dyDescent="0.25">
      <c r="A57" s="13" t="s">
        <v>965</v>
      </c>
      <c r="B57" s="50">
        <v>1735</v>
      </c>
      <c r="C57" s="14" t="str">
        <f>+VLOOKUP(B57,[1]LISTE!$A$1:$D$431,4,FALSE)</f>
        <v>SAKKA ROUIS MED HAFEDH</v>
      </c>
      <c r="D57" s="14" t="s">
        <v>163</v>
      </c>
      <c r="E57" s="15">
        <v>45734</v>
      </c>
      <c r="F57" s="14" t="s">
        <v>23</v>
      </c>
      <c r="G57" s="16">
        <v>40</v>
      </c>
    </row>
    <row r="58" spans="1:7" x14ac:dyDescent="0.25">
      <c r="A58" s="13" t="s">
        <v>965</v>
      </c>
      <c r="B58" s="50">
        <v>1735</v>
      </c>
      <c r="C58" s="14" t="str">
        <f>+VLOOKUP(B58,[1]LISTE!$A$1:$D$431,4,FALSE)</f>
        <v>SAKKA ROUIS MED HAFEDH</v>
      </c>
      <c r="D58" s="14" t="s">
        <v>163</v>
      </c>
      <c r="E58" s="15">
        <v>45734</v>
      </c>
      <c r="F58" s="14" t="s">
        <v>20</v>
      </c>
      <c r="G58" s="16">
        <v>41.139000000000003</v>
      </c>
    </row>
    <row r="59" spans="1:7" x14ac:dyDescent="0.25">
      <c r="A59" s="13" t="s">
        <v>932</v>
      </c>
      <c r="B59" s="50">
        <v>1757</v>
      </c>
      <c r="C59" s="14" t="str">
        <f>+VLOOKUP(B59,[1]LISTE!$A$1:$D$431,4,FALSE)</f>
        <v>EL HOTMANI BESSEM</v>
      </c>
      <c r="D59" s="14" t="s">
        <v>22</v>
      </c>
      <c r="E59" s="15">
        <v>45724</v>
      </c>
      <c r="F59" s="14" t="s">
        <v>18</v>
      </c>
      <c r="G59" s="16">
        <v>70</v>
      </c>
    </row>
    <row r="60" spans="1:7" x14ac:dyDescent="0.25">
      <c r="A60" s="13" t="s">
        <v>932</v>
      </c>
      <c r="B60" s="50">
        <v>1757</v>
      </c>
      <c r="C60" s="14" t="str">
        <f>+VLOOKUP(B60,[1]LISTE!$A$1:$D$431,4,FALSE)</f>
        <v>EL HOTMANI BESSEM</v>
      </c>
      <c r="D60" s="15" t="s">
        <v>22</v>
      </c>
      <c r="E60" s="15">
        <v>45724</v>
      </c>
      <c r="F60" s="14" t="s">
        <v>20</v>
      </c>
      <c r="G60" s="16">
        <v>8.15</v>
      </c>
    </row>
    <row r="61" spans="1:7" x14ac:dyDescent="0.25">
      <c r="A61" s="13" t="s">
        <v>980</v>
      </c>
      <c r="B61" s="50">
        <v>1773</v>
      </c>
      <c r="C61" s="14" t="str">
        <f>+VLOOKUP(B61,[1]LISTE!$A$1:$D$431,4,FALSE)</f>
        <v>GAIEB SAMI</v>
      </c>
      <c r="D61" s="14" t="s">
        <v>50</v>
      </c>
      <c r="E61" s="15">
        <v>45707</v>
      </c>
      <c r="F61" s="14" t="s">
        <v>18</v>
      </c>
      <c r="G61" s="16">
        <v>60</v>
      </c>
    </row>
    <row r="62" spans="1:7" x14ac:dyDescent="0.25">
      <c r="A62" s="13" t="s">
        <v>980</v>
      </c>
      <c r="B62" s="50">
        <v>1773</v>
      </c>
      <c r="C62" s="14" t="str">
        <f>+VLOOKUP(B62,[1]LISTE!$A$1:$D$431,4,FALSE)</f>
        <v>GAIEB SAMI</v>
      </c>
      <c r="D62" s="15" t="s">
        <v>50</v>
      </c>
      <c r="E62" s="15">
        <v>45707</v>
      </c>
      <c r="F62" s="14" t="s">
        <v>20</v>
      </c>
      <c r="G62" s="16">
        <v>37.328000000000003</v>
      </c>
    </row>
    <row r="63" spans="1:7" x14ac:dyDescent="0.25">
      <c r="A63" s="13" t="s">
        <v>981</v>
      </c>
      <c r="B63" s="50">
        <v>1773</v>
      </c>
      <c r="C63" s="14" t="str">
        <f>+VLOOKUP(B63,[1]LISTE!$A$1:$D$431,4,FALSE)</f>
        <v>GAIEB SAMI</v>
      </c>
      <c r="D63" s="15" t="s">
        <v>982</v>
      </c>
      <c r="E63" s="15">
        <v>45707</v>
      </c>
      <c r="F63" s="14" t="s">
        <v>18</v>
      </c>
      <c r="G63" s="16">
        <v>60</v>
      </c>
    </row>
    <row r="64" spans="1:7" x14ac:dyDescent="0.25">
      <c r="A64" s="13" t="s">
        <v>981</v>
      </c>
      <c r="B64" s="50">
        <v>1773</v>
      </c>
      <c r="C64" s="14" t="str">
        <f>+VLOOKUP(B64,[1]LISTE!$A$1:$D$431,4,FALSE)</f>
        <v>GAIEB SAMI</v>
      </c>
      <c r="D64" s="15" t="s">
        <v>982</v>
      </c>
      <c r="E64" s="15">
        <v>45707</v>
      </c>
      <c r="F64" s="14" t="s">
        <v>20</v>
      </c>
      <c r="G64" s="16">
        <v>18.428999999999998</v>
      </c>
    </row>
    <row r="65" spans="1:7" x14ac:dyDescent="0.25">
      <c r="A65" s="13" t="s">
        <v>958</v>
      </c>
      <c r="B65" s="50">
        <v>1784</v>
      </c>
      <c r="C65" s="14" t="str">
        <f>+VLOOKUP(B65,[1]LISTE!$A$1:$D$431,4,FALSE)</f>
        <v>LAYOUNI KHALED</v>
      </c>
      <c r="D65" s="14" t="s">
        <v>22</v>
      </c>
      <c r="E65" s="15">
        <v>45724</v>
      </c>
      <c r="F65" s="14" t="s">
        <v>65</v>
      </c>
      <c r="G65" s="16">
        <v>600</v>
      </c>
    </row>
    <row r="66" spans="1:7" x14ac:dyDescent="0.25">
      <c r="A66" s="13" t="s">
        <v>933</v>
      </c>
      <c r="B66" s="50">
        <v>1789</v>
      </c>
      <c r="C66" s="14" t="str">
        <f>+VLOOKUP(B66,[1]LISTE!$A$1:$D$431,4,FALSE)</f>
        <v>CHIHI MOHAMED SALAH</v>
      </c>
      <c r="D66" s="15" t="s">
        <v>37</v>
      </c>
      <c r="E66" s="15">
        <v>45723</v>
      </c>
      <c r="F66" s="14" t="s">
        <v>23</v>
      </c>
      <c r="G66" s="16">
        <v>45</v>
      </c>
    </row>
    <row r="67" spans="1:7" x14ac:dyDescent="0.25">
      <c r="A67" s="13" t="s">
        <v>933</v>
      </c>
      <c r="B67" s="50">
        <v>1789</v>
      </c>
      <c r="C67" s="14" t="str">
        <f>+VLOOKUP(B67,[1]LISTE!$A$1:$D$431,4,FALSE)</f>
        <v>CHIHI MOHAMED SALAH</v>
      </c>
      <c r="D67" s="15" t="s">
        <v>37</v>
      </c>
      <c r="E67" s="15">
        <v>45723</v>
      </c>
      <c r="F67" s="14" t="s">
        <v>20</v>
      </c>
      <c r="G67" s="16">
        <v>17.434999999999999</v>
      </c>
    </row>
    <row r="68" spans="1:7" x14ac:dyDescent="0.25">
      <c r="A68" s="13" t="s">
        <v>927</v>
      </c>
      <c r="B68" s="50">
        <v>1795</v>
      </c>
      <c r="C68" s="14" t="str">
        <f>+VLOOKUP(B68,[1]LISTE!$A$1:$D$431,4,FALSE)</f>
        <v>SOUA MOHAMED</v>
      </c>
      <c r="D68" s="15" t="s">
        <v>245</v>
      </c>
      <c r="E68" s="15">
        <v>45726</v>
      </c>
      <c r="F68" s="14" t="s">
        <v>23</v>
      </c>
      <c r="G68" s="16">
        <v>45</v>
      </c>
    </row>
    <row r="69" spans="1:7" x14ac:dyDescent="0.25">
      <c r="A69" s="13" t="s">
        <v>927</v>
      </c>
      <c r="B69" s="50">
        <v>1795</v>
      </c>
      <c r="C69" s="14" t="str">
        <f>+VLOOKUP(B69,[1]LISTE!$A$1:$D$431,4,FALSE)</f>
        <v>SOUA MOHAMED</v>
      </c>
      <c r="D69" s="14" t="s">
        <v>245</v>
      </c>
      <c r="E69" s="15">
        <v>45726</v>
      </c>
      <c r="F69" s="14" t="s">
        <v>20</v>
      </c>
      <c r="G69" s="16">
        <v>21.484000000000002</v>
      </c>
    </row>
    <row r="70" spans="1:7" x14ac:dyDescent="0.25">
      <c r="A70" s="13" t="s">
        <v>949</v>
      </c>
      <c r="B70" s="50">
        <v>1814</v>
      </c>
      <c r="C70" s="14" t="str">
        <f>+VLOOKUP(B70,[1]LISTE!$A$1:$D$431,4,FALSE)</f>
        <v>BEL ARBIA SLAH</v>
      </c>
      <c r="D70" s="14" t="s">
        <v>641</v>
      </c>
      <c r="E70" s="15">
        <v>45724</v>
      </c>
      <c r="F70" s="14" t="s">
        <v>18</v>
      </c>
      <c r="G70" s="16">
        <v>70</v>
      </c>
    </row>
    <row r="71" spans="1:7" x14ac:dyDescent="0.25">
      <c r="A71" s="13" t="s">
        <v>949</v>
      </c>
      <c r="B71" s="50">
        <v>1814</v>
      </c>
      <c r="C71" s="14" t="str">
        <f>+VLOOKUP(B71,[1]LISTE!$A$1:$D$431,4,FALSE)</f>
        <v>BEL ARBIA SLAH</v>
      </c>
      <c r="D71" s="15" t="s">
        <v>641</v>
      </c>
      <c r="E71" s="15">
        <v>45724</v>
      </c>
      <c r="F71" s="14" t="s">
        <v>20</v>
      </c>
      <c r="G71" s="16">
        <v>17.21</v>
      </c>
    </row>
    <row r="72" spans="1:7" x14ac:dyDescent="0.25">
      <c r="A72" s="13" t="s">
        <v>993</v>
      </c>
      <c r="B72" s="50">
        <v>1832</v>
      </c>
      <c r="C72" s="14" t="str">
        <f>+VLOOKUP(B72,[1]LISTE!$A$1:$D$431,4,FALSE)</f>
        <v>ERGUEZ MEJDI</v>
      </c>
      <c r="D72" s="14" t="s">
        <v>22</v>
      </c>
      <c r="E72" s="15">
        <v>45717</v>
      </c>
      <c r="F72" s="14" t="s">
        <v>23</v>
      </c>
      <c r="G72" s="16">
        <v>25</v>
      </c>
    </row>
    <row r="73" spans="1:7" x14ac:dyDescent="0.25">
      <c r="A73" s="13" t="s">
        <v>993</v>
      </c>
      <c r="B73" s="50">
        <v>1832</v>
      </c>
      <c r="C73" s="14" t="str">
        <f>+VLOOKUP(B73,[1]LISTE!$A$1:$D$431,4,FALSE)</f>
        <v>ERGUEZ MEJDI</v>
      </c>
      <c r="D73" s="14" t="s">
        <v>22</v>
      </c>
      <c r="E73" s="15">
        <v>45717</v>
      </c>
      <c r="F73" s="14" t="s">
        <v>20</v>
      </c>
      <c r="G73" s="16">
        <v>56.033999999999999</v>
      </c>
    </row>
    <row r="74" spans="1:7" x14ac:dyDescent="0.25">
      <c r="A74" s="13" t="s">
        <v>952</v>
      </c>
      <c r="B74" s="50">
        <v>1901</v>
      </c>
      <c r="C74" s="14" t="str">
        <f>+VLOOKUP(B74,[1]LISTE!$A$1:$D$431,4,FALSE)</f>
        <v>BACH ZOUHAIER</v>
      </c>
      <c r="D74" s="14" t="s">
        <v>221</v>
      </c>
      <c r="E74" s="15">
        <v>45716</v>
      </c>
      <c r="F74" s="14" t="s">
        <v>23</v>
      </c>
      <c r="G74" s="16">
        <v>50</v>
      </c>
    </row>
    <row r="75" spans="1:7" x14ac:dyDescent="0.25">
      <c r="A75" s="13" t="s">
        <v>952</v>
      </c>
      <c r="B75" s="50">
        <v>1901</v>
      </c>
      <c r="C75" s="14" t="str">
        <f>+VLOOKUP(B75,[1]LISTE!$A$1:$D$431,4,FALSE)</f>
        <v>BACH ZOUHAIER</v>
      </c>
      <c r="D75" s="14" t="s">
        <v>221</v>
      </c>
      <c r="E75" s="15">
        <v>45716</v>
      </c>
      <c r="F75" s="14" t="s">
        <v>20</v>
      </c>
      <c r="G75" s="16">
        <v>13.45</v>
      </c>
    </row>
    <row r="76" spans="1:7" x14ac:dyDescent="0.25">
      <c r="A76" s="13" t="s">
        <v>937</v>
      </c>
      <c r="B76" s="50">
        <v>1909</v>
      </c>
      <c r="C76" s="14" t="str">
        <f>+VLOOKUP(B76,[1]LISTE!$A$1:$D$431,4,FALSE)</f>
        <v>BHIRI ADLI</v>
      </c>
      <c r="D76" s="15" t="s">
        <v>22</v>
      </c>
      <c r="E76" s="15">
        <v>45717</v>
      </c>
      <c r="F76" s="14" t="s">
        <v>23</v>
      </c>
      <c r="G76" s="16">
        <v>40</v>
      </c>
    </row>
    <row r="77" spans="1:7" x14ac:dyDescent="0.25">
      <c r="A77" s="13" t="s">
        <v>937</v>
      </c>
      <c r="B77" s="50">
        <v>1909</v>
      </c>
      <c r="C77" s="14" t="str">
        <f>+VLOOKUP(B77,[1]LISTE!$A$1:$D$431,4,FALSE)</f>
        <v>BHIRI ADLI</v>
      </c>
      <c r="D77" s="15" t="s">
        <v>22</v>
      </c>
      <c r="E77" s="15">
        <v>45717</v>
      </c>
      <c r="F77" s="14" t="s">
        <v>20</v>
      </c>
      <c r="G77" s="16">
        <v>51.284999999999997</v>
      </c>
    </row>
    <row r="78" spans="1:7" x14ac:dyDescent="0.25">
      <c r="A78" s="13" t="s">
        <v>953</v>
      </c>
      <c r="B78" s="50">
        <v>1910</v>
      </c>
      <c r="C78" s="14" t="str">
        <f>+VLOOKUP(B78,[1]LISTE!$A$1:$D$431,4,FALSE)</f>
        <v>YOUSFI MEHDI</v>
      </c>
      <c r="D78" s="14" t="s">
        <v>200</v>
      </c>
      <c r="E78" s="15">
        <v>45726</v>
      </c>
      <c r="F78" s="14" t="s">
        <v>18</v>
      </c>
      <c r="G78" s="16">
        <v>70</v>
      </c>
    </row>
    <row r="79" spans="1:7" x14ac:dyDescent="0.25">
      <c r="A79" s="13" t="s">
        <v>953</v>
      </c>
      <c r="B79" s="50">
        <v>1910</v>
      </c>
      <c r="C79" s="14" t="str">
        <f>+VLOOKUP(B79,[1]LISTE!$A$1:$D$431,4,FALSE)</f>
        <v>YOUSFI MEHDI</v>
      </c>
      <c r="D79" s="15" t="s">
        <v>200</v>
      </c>
      <c r="E79" s="15">
        <v>45726</v>
      </c>
      <c r="F79" s="14" t="s">
        <v>20</v>
      </c>
      <c r="G79" s="16">
        <v>13.815</v>
      </c>
    </row>
    <row r="80" spans="1:7" x14ac:dyDescent="0.25">
      <c r="A80" s="13" t="s">
        <v>973</v>
      </c>
      <c r="B80" s="50">
        <v>1915</v>
      </c>
      <c r="C80" s="14" t="str">
        <f>+VLOOKUP(B80,[1]LISTE!$A$1:$D$431,4,FALSE)</f>
        <v>BEN ABDALLAH MOHAMED SALAH</v>
      </c>
      <c r="D80" s="14" t="s">
        <v>379</v>
      </c>
      <c r="E80" s="15">
        <v>45715</v>
      </c>
      <c r="F80" s="14" t="s">
        <v>18</v>
      </c>
      <c r="G80" s="16">
        <v>60</v>
      </c>
    </row>
    <row r="81" spans="1:7" x14ac:dyDescent="0.25">
      <c r="A81" s="13" t="s">
        <v>973</v>
      </c>
      <c r="B81" s="50">
        <v>1915</v>
      </c>
      <c r="C81" s="14" t="str">
        <f>+VLOOKUP(B81,[1]LISTE!$A$1:$D$431,4,FALSE)</f>
        <v>BEN ABDALLAH MOHAMED SALAH</v>
      </c>
      <c r="D81" s="14" t="s">
        <v>379</v>
      </c>
      <c r="E81" s="15">
        <v>45715</v>
      </c>
      <c r="F81" s="14" t="s">
        <v>20</v>
      </c>
      <c r="G81" s="16">
        <v>14.858000000000001</v>
      </c>
    </row>
    <row r="82" spans="1:7" x14ac:dyDescent="0.25">
      <c r="A82" s="13" t="s">
        <v>975</v>
      </c>
      <c r="B82" s="50">
        <v>1915</v>
      </c>
      <c r="C82" s="14" t="str">
        <f>+VLOOKUP(B82,[1]LISTE!$A$1:$D$431,4,FALSE)</f>
        <v>BEN ABDALLAH MOHAMED SALAH</v>
      </c>
      <c r="D82" s="14" t="s">
        <v>976</v>
      </c>
      <c r="E82" s="15">
        <v>45728</v>
      </c>
      <c r="F82" s="14" t="s">
        <v>23</v>
      </c>
      <c r="G82" s="16">
        <v>3</v>
      </c>
    </row>
    <row r="83" spans="1:7" x14ac:dyDescent="0.25">
      <c r="A83" s="13" t="s">
        <v>975</v>
      </c>
      <c r="B83" s="50">
        <v>1915</v>
      </c>
      <c r="C83" s="14" t="str">
        <f>+VLOOKUP(B83,[1]LISTE!$A$1:$D$431,4,FALSE)</f>
        <v>BEN ABDALLAH MOHAMED SALAH</v>
      </c>
      <c r="D83" s="14" t="s">
        <v>976</v>
      </c>
      <c r="E83" s="15">
        <v>45728</v>
      </c>
      <c r="F83" s="14" t="s">
        <v>20</v>
      </c>
      <c r="G83" s="16">
        <v>26.288</v>
      </c>
    </row>
    <row r="84" spans="1:7" x14ac:dyDescent="0.25">
      <c r="A84" s="13" t="s">
        <v>942</v>
      </c>
      <c r="B84" s="50">
        <v>1923</v>
      </c>
      <c r="C84" s="14" t="str">
        <f>+VLOOKUP(B84,[1]LISTE!$A$1:$D$431,4,FALSE)</f>
        <v>BOUAZZA WALID</v>
      </c>
      <c r="D84" s="14" t="s">
        <v>731</v>
      </c>
      <c r="E84" s="15">
        <v>45715</v>
      </c>
      <c r="F84" s="14" t="s">
        <v>18</v>
      </c>
      <c r="G84" s="16">
        <v>60</v>
      </c>
    </row>
    <row r="85" spans="1:7" x14ac:dyDescent="0.25">
      <c r="A85" s="13" t="s">
        <v>942</v>
      </c>
      <c r="B85" s="50">
        <v>1923</v>
      </c>
      <c r="C85" s="14" t="str">
        <f>+VLOOKUP(B85,[1]LISTE!$A$1:$D$431,4,FALSE)</f>
        <v>BOUAZZA WALID</v>
      </c>
      <c r="D85" s="14" t="s">
        <v>731</v>
      </c>
      <c r="E85" s="15">
        <v>45715</v>
      </c>
      <c r="F85" s="14" t="s">
        <v>20</v>
      </c>
      <c r="G85" s="16">
        <v>16.920000000000002</v>
      </c>
    </row>
    <row r="86" spans="1:7" x14ac:dyDescent="0.25">
      <c r="A86" s="13" t="s">
        <v>954</v>
      </c>
      <c r="B86" s="50">
        <v>1923</v>
      </c>
      <c r="C86" s="14" t="str">
        <f>+VLOOKUP(B86,[1]LISTE!$A$1:$D$431,4,FALSE)</f>
        <v>BOUAZZA WALID</v>
      </c>
      <c r="D86" s="14" t="s">
        <v>731</v>
      </c>
      <c r="E86" s="15">
        <v>45728</v>
      </c>
      <c r="F86" s="14" t="s">
        <v>18</v>
      </c>
      <c r="G86" s="16">
        <v>60</v>
      </c>
    </row>
    <row r="87" spans="1:7" x14ac:dyDescent="0.25">
      <c r="A87" s="13" t="s">
        <v>954</v>
      </c>
      <c r="B87" s="50">
        <v>1923</v>
      </c>
      <c r="C87" s="14" t="str">
        <f>+VLOOKUP(B87,[1]LISTE!$A$1:$D$431,4,FALSE)</f>
        <v>BOUAZZA WALID</v>
      </c>
      <c r="D87" s="14" t="s">
        <v>731</v>
      </c>
      <c r="E87" s="15">
        <v>45728</v>
      </c>
      <c r="F87" s="14" t="s">
        <v>20</v>
      </c>
      <c r="G87" s="16">
        <v>36.664999999999999</v>
      </c>
    </row>
    <row r="88" spans="1:7" x14ac:dyDescent="0.25">
      <c r="A88" s="13" t="s">
        <v>995</v>
      </c>
      <c r="B88" s="50">
        <v>1924</v>
      </c>
      <c r="C88" s="14" t="str">
        <f>+VLOOKUP(B88,[1]LISTE!$A$1:$D$431,4,FALSE)</f>
        <v>BRAHIM Wahiba</v>
      </c>
      <c r="D88" s="14" t="s">
        <v>580</v>
      </c>
      <c r="E88" s="15">
        <v>45729</v>
      </c>
      <c r="F88" s="14" t="s">
        <v>20</v>
      </c>
      <c r="G88" s="16">
        <v>142.33699999999999</v>
      </c>
    </row>
    <row r="89" spans="1:7" x14ac:dyDescent="0.25">
      <c r="A89" s="13" t="s">
        <v>979</v>
      </c>
      <c r="B89" s="50">
        <v>1953</v>
      </c>
      <c r="C89" s="14" t="str">
        <f>+VLOOKUP(B89,[1]LISTE!$A$1:$D$431,4,FALSE)</f>
        <v>SGHAIER SAMI</v>
      </c>
      <c r="D89" s="15" t="s">
        <v>125</v>
      </c>
      <c r="E89" s="15">
        <v>45731</v>
      </c>
      <c r="F89" s="14" t="s">
        <v>18</v>
      </c>
      <c r="G89" s="16">
        <v>60</v>
      </c>
    </row>
    <row r="90" spans="1:7" x14ac:dyDescent="0.25">
      <c r="A90" s="13" t="s">
        <v>979</v>
      </c>
      <c r="B90" s="50">
        <v>1953</v>
      </c>
      <c r="C90" s="14" t="str">
        <f>+VLOOKUP(B90,[1]LISTE!$A$1:$D$431,4,FALSE)</f>
        <v>SGHAIER SAMI</v>
      </c>
      <c r="D90" s="15" t="s">
        <v>125</v>
      </c>
      <c r="E90" s="15">
        <v>45731</v>
      </c>
      <c r="F90" s="14" t="s">
        <v>20</v>
      </c>
      <c r="G90" s="16">
        <v>65.382000000000005</v>
      </c>
    </row>
    <row r="91" spans="1:7" x14ac:dyDescent="0.25">
      <c r="A91" s="13" t="s">
        <v>985</v>
      </c>
      <c r="B91" s="50">
        <v>1978</v>
      </c>
      <c r="C91" s="14" t="str">
        <f>+VLOOKUP(B91,[1]LISTE!$A$1:$D$431,4,FALSE)</f>
        <v>MAHJOUB AHMED</v>
      </c>
      <c r="D91" s="14" t="s">
        <v>22</v>
      </c>
      <c r="E91" s="15">
        <v>45711</v>
      </c>
      <c r="F91" s="14" t="s">
        <v>20</v>
      </c>
      <c r="G91" s="16">
        <v>2.9950000000000001</v>
      </c>
    </row>
    <row r="92" spans="1:7" x14ac:dyDescent="0.25">
      <c r="A92" s="13" t="s">
        <v>985</v>
      </c>
      <c r="B92" s="50">
        <v>1978</v>
      </c>
      <c r="C92" s="14" t="str">
        <f>+VLOOKUP(B92,[1]LISTE!$A$1:$D$431,4,FALSE)</f>
        <v>MAHJOUB AHMED</v>
      </c>
      <c r="D92" s="14" t="s">
        <v>22</v>
      </c>
      <c r="E92" s="15">
        <v>45711</v>
      </c>
      <c r="F92" s="14" t="s">
        <v>24</v>
      </c>
      <c r="G92" s="16">
        <v>290</v>
      </c>
    </row>
    <row r="93" spans="1:7" x14ac:dyDescent="0.25">
      <c r="A93" s="13" t="s">
        <v>943</v>
      </c>
      <c r="B93" s="50">
        <v>1990</v>
      </c>
      <c r="C93" s="14" t="s">
        <v>360</v>
      </c>
      <c r="D93" s="15" t="s">
        <v>186</v>
      </c>
      <c r="E93" s="15">
        <v>45724</v>
      </c>
      <c r="F93" s="14" t="s">
        <v>18</v>
      </c>
      <c r="G93" s="16">
        <v>60</v>
      </c>
    </row>
    <row r="94" spans="1:7" x14ac:dyDescent="0.25">
      <c r="A94" s="13" t="s">
        <v>943</v>
      </c>
      <c r="B94" s="50">
        <v>1990</v>
      </c>
      <c r="C94" s="14" t="s">
        <v>360</v>
      </c>
      <c r="D94" s="14" t="s">
        <v>186</v>
      </c>
      <c r="E94" s="15">
        <v>45725</v>
      </c>
      <c r="F94" s="14" t="s">
        <v>20</v>
      </c>
      <c r="G94" s="16">
        <v>9.0399999999999991</v>
      </c>
    </row>
    <row r="95" spans="1:7" x14ac:dyDescent="0.25">
      <c r="A95" s="13" t="s">
        <v>972</v>
      </c>
      <c r="B95" s="50">
        <v>2014</v>
      </c>
      <c r="C95" s="14" t="str">
        <f>+VLOOKUP(B95,[1]LISTE!$A$1:$D$431,4,FALSE)</f>
        <v>JARRAR MEHDI</v>
      </c>
      <c r="D95" s="14" t="s">
        <v>22</v>
      </c>
      <c r="E95" s="15">
        <v>45731</v>
      </c>
      <c r="F95" s="14" t="s">
        <v>23</v>
      </c>
      <c r="G95" s="16">
        <v>45</v>
      </c>
    </row>
    <row r="96" spans="1:7" x14ac:dyDescent="0.25">
      <c r="A96" s="13" t="s">
        <v>972</v>
      </c>
      <c r="B96" s="50">
        <v>2014</v>
      </c>
      <c r="C96" s="14" t="str">
        <f>+VLOOKUP(B96,[1]LISTE!$A$1:$D$431,4,FALSE)</f>
        <v>JARRAR MEHDI</v>
      </c>
      <c r="D96" s="14" t="s">
        <v>22</v>
      </c>
      <c r="E96" s="15">
        <v>45731</v>
      </c>
      <c r="F96" s="14" t="s">
        <v>20</v>
      </c>
      <c r="G96" s="16">
        <v>39.494999999999997</v>
      </c>
    </row>
    <row r="97" spans="1:7" x14ac:dyDescent="0.25">
      <c r="A97" s="13" t="s">
        <v>936</v>
      </c>
      <c r="B97" s="50">
        <v>2036</v>
      </c>
      <c r="C97" s="14" t="s">
        <v>131</v>
      </c>
      <c r="D97" s="14" t="s">
        <v>132</v>
      </c>
      <c r="E97" s="15">
        <v>45714</v>
      </c>
      <c r="F97" s="14" t="s">
        <v>23</v>
      </c>
      <c r="G97" s="16">
        <v>50</v>
      </c>
    </row>
    <row r="98" spans="1:7" x14ac:dyDescent="0.25">
      <c r="A98" s="13" t="s">
        <v>936</v>
      </c>
      <c r="B98" s="50">
        <v>2036</v>
      </c>
      <c r="C98" s="14" t="s">
        <v>131</v>
      </c>
      <c r="D98" s="15" t="s">
        <v>132</v>
      </c>
      <c r="E98" s="15">
        <v>45714</v>
      </c>
      <c r="F98" s="14" t="s">
        <v>20</v>
      </c>
      <c r="G98" s="16">
        <v>108.456</v>
      </c>
    </row>
    <row r="99" spans="1:7" x14ac:dyDescent="0.25">
      <c r="A99" s="13" t="s">
        <v>962</v>
      </c>
      <c r="B99" s="50">
        <v>2036</v>
      </c>
      <c r="C99" s="14" t="s">
        <v>131</v>
      </c>
      <c r="D99" s="15" t="s">
        <v>963</v>
      </c>
      <c r="E99" s="15">
        <v>45717</v>
      </c>
      <c r="F99" s="14" t="s">
        <v>18</v>
      </c>
      <c r="G99" s="16">
        <v>70</v>
      </c>
    </row>
    <row r="100" spans="1:7" x14ac:dyDescent="0.25">
      <c r="A100" s="13" t="s">
        <v>962</v>
      </c>
      <c r="B100" s="50">
        <v>2036</v>
      </c>
      <c r="C100" s="14" t="s">
        <v>131</v>
      </c>
      <c r="D100" s="15" t="s">
        <v>963</v>
      </c>
      <c r="E100" s="15">
        <v>45717</v>
      </c>
      <c r="F100" s="14" t="s">
        <v>65</v>
      </c>
      <c r="G100" s="16">
        <v>131</v>
      </c>
    </row>
    <row r="101" spans="1:7" x14ac:dyDescent="0.25">
      <c r="A101" s="13" t="s">
        <v>957</v>
      </c>
      <c r="B101" s="50">
        <v>2084</v>
      </c>
      <c r="C101" s="14" t="str">
        <f>+VLOOKUP(B101,[1]LISTE!$A$1:$D$431,4,FALSE)</f>
        <v>HELALI Emna</v>
      </c>
      <c r="D101" s="14" t="s">
        <v>22</v>
      </c>
      <c r="E101" s="15">
        <v>45727</v>
      </c>
      <c r="F101" s="14" t="s">
        <v>23</v>
      </c>
      <c r="G101" s="16">
        <v>45</v>
      </c>
    </row>
    <row r="102" spans="1:7" x14ac:dyDescent="0.25">
      <c r="A102" s="13" t="s">
        <v>957</v>
      </c>
      <c r="B102" s="50">
        <v>2084</v>
      </c>
      <c r="C102" s="14" t="str">
        <f>+VLOOKUP(B102,[1]LISTE!$A$1:$D$431,4,FALSE)</f>
        <v>HELALI Emna</v>
      </c>
      <c r="D102" s="15" t="s">
        <v>22</v>
      </c>
      <c r="E102" s="15">
        <v>45727</v>
      </c>
      <c r="F102" s="14" t="s">
        <v>20</v>
      </c>
      <c r="G102" s="16">
        <v>23.234999999999999</v>
      </c>
    </row>
    <row r="103" spans="1:7" x14ac:dyDescent="0.25">
      <c r="A103" s="13" t="s">
        <v>971</v>
      </c>
      <c r="B103" s="50">
        <v>2092</v>
      </c>
      <c r="C103" s="14" t="str">
        <f>+VLOOKUP(B103,[1]LISTE!$A$1:$D$431,4,FALSE)</f>
        <v>MOHAMED YASSINE SBAII</v>
      </c>
      <c r="D103" s="15" t="s">
        <v>200</v>
      </c>
      <c r="E103" s="15">
        <v>45730</v>
      </c>
      <c r="F103" s="14" t="s">
        <v>18</v>
      </c>
      <c r="G103" s="16">
        <v>70</v>
      </c>
    </row>
    <row r="104" spans="1:7" x14ac:dyDescent="0.25">
      <c r="A104" s="13" t="s">
        <v>971</v>
      </c>
      <c r="B104" s="50">
        <v>2092</v>
      </c>
      <c r="C104" s="14" t="str">
        <f>+VLOOKUP(B104,[1]LISTE!$A$1:$D$431,4,FALSE)</f>
        <v>MOHAMED YASSINE SBAII</v>
      </c>
      <c r="D104" s="14" t="s">
        <v>200</v>
      </c>
      <c r="E104" s="15">
        <v>45730</v>
      </c>
      <c r="F104" s="14" t="s">
        <v>20</v>
      </c>
      <c r="G104" s="16">
        <v>27.324999999999999</v>
      </c>
    </row>
    <row r="105" spans="1:7" x14ac:dyDescent="0.25">
      <c r="A105" s="13" t="s">
        <v>984</v>
      </c>
      <c r="B105" s="50">
        <v>2092</v>
      </c>
      <c r="C105" s="14" t="str">
        <f>+VLOOKUP(B105,[1]LISTE!$A$1:$D$431,4,FALSE)</f>
        <v>MOHAMED YASSINE SBAII</v>
      </c>
      <c r="D105" s="14" t="s">
        <v>669</v>
      </c>
      <c r="E105" s="15">
        <v>45716</v>
      </c>
      <c r="F105" s="14" t="s">
        <v>18</v>
      </c>
      <c r="G105" s="16">
        <v>60</v>
      </c>
    </row>
    <row r="106" spans="1:7" x14ac:dyDescent="0.25">
      <c r="A106" s="13" t="s">
        <v>984</v>
      </c>
      <c r="B106" s="50">
        <v>2092</v>
      </c>
      <c r="C106" s="14" t="str">
        <f>+VLOOKUP(B106,[1]LISTE!$A$1:$D$431,4,FALSE)</f>
        <v>MOHAMED YASSINE SBAII</v>
      </c>
      <c r="D106" s="15" t="s">
        <v>669</v>
      </c>
      <c r="E106" s="15">
        <v>45717</v>
      </c>
      <c r="F106" s="14" t="s">
        <v>20</v>
      </c>
      <c r="G106" s="16">
        <v>35.14</v>
      </c>
    </row>
    <row r="107" spans="1:7" x14ac:dyDescent="0.25">
      <c r="A107" s="13" t="s">
        <v>960</v>
      </c>
      <c r="B107" s="50">
        <v>2139</v>
      </c>
      <c r="C107" s="14" t="str">
        <f>+VLOOKUP(B107,[1]LISTE!$A$1:$D$431,4,FALSE)</f>
        <v>HATEM NAMOUCHI</v>
      </c>
      <c r="D107" s="14" t="s">
        <v>22</v>
      </c>
      <c r="E107" s="15">
        <v>45716</v>
      </c>
      <c r="F107" s="14" t="s">
        <v>23</v>
      </c>
      <c r="G107" s="16">
        <v>40</v>
      </c>
    </row>
    <row r="108" spans="1:7" x14ac:dyDescent="0.25">
      <c r="A108" s="13" t="s">
        <v>960</v>
      </c>
      <c r="B108" s="50">
        <v>2139</v>
      </c>
      <c r="C108" s="14" t="str">
        <f>+VLOOKUP(B108,[1]LISTE!$A$1:$D$431,4,FALSE)</f>
        <v>HATEM NAMOUCHI</v>
      </c>
      <c r="D108" s="14" t="s">
        <v>22</v>
      </c>
      <c r="E108" s="15">
        <v>45716</v>
      </c>
      <c r="F108" s="14" t="s">
        <v>20</v>
      </c>
      <c r="G108" s="16">
        <v>130.12</v>
      </c>
    </row>
    <row r="109" spans="1:7" x14ac:dyDescent="0.25">
      <c r="A109" s="13" t="s">
        <v>961</v>
      </c>
      <c r="B109" s="50">
        <v>2139</v>
      </c>
      <c r="C109" s="14" t="str">
        <f>+VLOOKUP(B109,[1]LISTE!$A$1:$D$431,4,FALSE)</f>
        <v>HATEM NAMOUCHI</v>
      </c>
      <c r="D109" s="15" t="s">
        <v>22</v>
      </c>
      <c r="E109" s="15">
        <v>45720</v>
      </c>
      <c r="F109" s="14" t="s">
        <v>23</v>
      </c>
      <c r="G109" s="16">
        <v>40</v>
      </c>
    </row>
    <row r="110" spans="1:7" x14ac:dyDescent="0.25">
      <c r="A110" s="13" t="s">
        <v>961</v>
      </c>
      <c r="B110" s="50">
        <v>2139</v>
      </c>
      <c r="C110" s="14" t="str">
        <f>+VLOOKUP(B110,[1]LISTE!$A$1:$D$431,4,FALSE)</f>
        <v>HATEM NAMOUCHI</v>
      </c>
      <c r="D110" s="14" t="s">
        <v>22</v>
      </c>
      <c r="E110" s="15">
        <v>45720</v>
      </c>
      <c r="F110" s="14" t="s">
        <v>20</v>
      </c>
      <c r="G110" s="16">
        <v>141.99</v>
      </c>
    </row>
    <row r="111" spans="1:7" x14ac:dyDescent="0.25">
      <c r="A111" s="13" t="s">
        <v>1001</v>
      </c>
      <c r="B111" s="50">
        <v>2145</v>
      </c>
      <c r="C111" s="14" t="str">
        <f>+VLOOKUP(B111,[1]LISTE!$A$1:$D$431,4,FALSE)</f>
        <v>MRIBAH HAMZA</v>
      </c>
      <c r="D111" s="14" t="s">
        <v>44</v>
      </c>
      <c r="E111" s="15">
        <v>45722</v>
      </c>
      <c r="F111" s="14" t="s">
        <v>18</v>
      </c>
      <c r="G111" s="16">
        <v>40</v>
      </c>
    </row>
    <row r="112" spans="1:7" x14ac:dyDescent="0.25">
      <c r="A112" s="13" t="s">
        <v>1001</v>
      </c>
      <c r="B112" s="50">
        <v>2145</v>
      </c>
      <c r="C112" s="14" t="str">
        <f>+VLOOKUP(B112,[1]LISTE!$A$1:$D$431,4,FALSE)</f>
        <v>MRIBAH HAMZA</v>
      </c>
      <c r="D112" s="14" t="s">
        <v>44</v>
      </c>
      <c r="E112" s="15">
        <v>45730</v>
      </c>
      <c r="F112" s="14" t="s">
        <v>19</v>
      </c>
      <c r="G112" s="16">
        <v>194.21</v>
      </c>
    </row>
    <row r="113" spans="1:7" x14ac:dyDescent="0.25">
      <c r="A113" s="13" t="s">
        <v>1005</v>
      </c>
      <c r="B113" s="50">
        <v>2148</v>
      </c>
      <c r="C113" s="14" t="str">
        <f>+VLOOKUP(B113,[1]LISTE!$A$1:$D$431,4,FALSE)</f>
        <v>CHIHI HOUSSEM</v>
      </c>
      <c r="D113" s="14" t="s">
        <v>327</v>
      </c>
      <c r="E113" s="15">
        <v>45731</v>
      </c>
      <c r="F113" s="14" t="s">
        <v>18</v>
      </c>
      <c r="G113" s="16">
        <v>70</v>
      </c>
    </row>
    <row r="114" spans="1:7" x14ac:dyDescent="0.25">
      <c r="A114" s="13" t="s">
        <v>1005</v>
      </c>
      <c r="B114" s="50">
        <v>2148</v>
      </c>
      <c r="C114" s="14" t="str">
        <f>+VLOOKUP(B114,[1]LISTE!$A$1:$D$431,4,FALSE)</f>
        <v>CHIHI HOUSSEM</v>
      </c>
      <c r="D114" s="14" t="s">
        <v>327</v>
      </c>
      <c r="E114" s="15">
        <v>45731</v>
      </c>
      <c r="F114" s="14" t="s">
        <v>20</v>
      </c>
      <c r="G114" s="16">
        <v>35.491</v>
      </c>
    </row>
    <row r="115" spans="1:7" x14ac:dyDescent="0.25">
      <c r="A115" s="13" t="s">
        <v>930</v>
      </c>
      <c r="B115" s="50">
        <v>2203</v>
      </c>
      <c r="C115" s="14" t="s">
        <v>815</v>
      </c>
      <c r="D115" s="14" t="s">
        <v>931</v>
      </c>
      <c r="E115" s="15">
        <v>45715</v>
      </c>
      <c r="F115" s="14" t="s">
        <v>18</v>
      </c>
      <c r="G115" s="16">
        <v>60</v>
      </c>
    </row>
    <row r="116" spans="1:7" x14ac:dyDescent="0.25">
      <c r="A116" s="13" t="s">
        <v>930</v>
      </c>
      <c r="B116" s="50">
        <v>2203</v>
      </c>
      <c r="C116" s="14" t="s">
        <v>815</v>
      </c>
      <c r="D116" s="14" t="s">
        <v>931</v>
      </c>
      <c r="E116" s="15">
        <v>45715</v>
      </c>
      <c r="F116" s="14" t="s">
        <v>20</v>
      </c>
      <c r="G116" s="16">
        <v>47.484999999999999</v>
      </c>
    </row>
    <row r="117" spans="1:7" x14ac:dyDescent="0.25">
      <c r="A117" s="13" t="s">
        <v>1004</v>
      </c>
      <c r="B117" s="50">
        <v>2229</v>
      </c>
      <c r="C117" s="14" t="s">
        <v>720</v>
      </c>
      <c r="D117" s="14" t="s">
        <v>22</v>
      </c>
      <c r="E117" s="15">
        <v>45724</v>
      </c>
      <c r="F117" s="14" t="s">
        <v>23</v>
      </c>
      <c r="G117" s="16">
        <v>50</v>
      </c>
    </row>
    <row r="118" spans="1:7" x14ac:dyDescent="0.25">
      <c r="A118" s="13" t="s">
        <v>977</v>
      </c>
      <c r="B118" s="50">
        <v>2271</v>
      </c>
      <c r="C118" s="14" t="s">
        <v>27</v>
      </c>
      <c r="D118" s="14" t="s">
        <v>63</v>
      </c>
      <c r="E118" s="15">
        <v>45730</v>
      </c>
      <c r="F118" s="14" t="s">
        <v>18</v>
      </c>
      <c r="G118" s="16">
        <v>60</v>
      </c>
    </row>
    <row r="119" spans="1:7" x14ac:dyDescent="0.25">
      <c r="A119" s="13" t="s">
        <v>977</v>
      </c>
      <c r="B119" s="50">
        <v>2271</v>
      </c>
      <c r="C119" s="14" t="s">
        <v>27</v>
      </c>
      <c r="D119" s="15" t="s">
        <v>63</v>
      </c>
      <c r="E119" s="15">
        <v>45730</v>
      </c>
      <c r="F119" s="14" t="s">
        <v>20</v>
      </c>
      <c r="G119" s="16">
        <v>41.442</v>
      </c>
    </row>
    <row r="120" spans="1:7" x14ac:dyDescent="0.25">
      <c r="A120" s="13" t="s">
        <v>989</v>
      </c>
      <c r="B120" s="50">
        <v>2271</v>
      </c>
      <c r="C120" s="14" t="s">
        <v>27</v>
      </c>
      <c r="D120" s="14" t="s">
        <v>63</v>
      </c>
      <c r="E120" s="15">
        <v>45733</v>
      </c>
      <c r="F120" s="14" t="s">
        <v>20</v>
      </c>
      <c r="G120" s="16">
        <v>29.69</v>
      </c>
    </row>
    <row r="121" spans="1:7" x14ac:dyDescent="0.25">
      <c r="A121" s="13" t="s">
        <v>929</v>
      </c>
      <c r="B121" s="50">
        <v>2308</v>
      </c>
      <c r="C121" s="14" t="s">
        <v>890</v>
      </c>
      <c r="D121" s="14" t="s">
        <v>22</v>
      </c>
      <c r="E121" s="15">
        <v>45724</v>
      </c>
      <c r="F121" s="14" t="s">
        <v>18</v>
      </c>
      <c r="G121" s="16">
        <v>70</v>
      </c>
    </row>
    <row r="122" spans="1:7" x14ac:dyDescent="0.25">
      <c r="A122" s="13" t="s">
        <v>929</v>
      </c>
      <c r="B122" s="50">
        <v>2308</v>
      </c>
      <c r="C122" s="14" t="s">
        <v>890</v>
      </c>
      <c r="D122" s="15" t="s">
        <v>22</v>
      </c>
      <c r="E122" s="15">
        <v>45726</v>
      </c>
      <c r="F122" s="14" t="s">
        <v>20</v>
      </c>
      <c r="G122" s="16">
        <v>23.66</v>
      </c>
    </row>
    <row r="123" spans="1:7" x14ac:dyDescent="0.25">
      <c r="A123" s="13" t="s">
        <v>929</v>
      </c>
      <c r="B123" s="50">
        <v>2308</v>
      </c>
      <c r="C123" s="14" t="s">
        <v>890</v>
      </c>
      <c r="D123" s="15" t="s">
        <v>22</v>
      </c>
      <c r="E123" s="15">
        <v>45724</v>
      </c>
      <c r="F123" s="14" t="s">
        <v>21</v>
      </c>
      <c r="G123" s="16">
        <v>49</v>
      </c>
    </row>
    <row r="124" spans="1:7" x14ac:dyDescent="0.25">
      <c r="A124" s="13" t="s">
        <v>929</v>
      </c>
      <c r="B124" s="50">
        <v>2308</v>
      </c>
      <c r="C124" s="14" t="s">
        <v>890</v>
      </c>
      <c r="D124" s="15" t="s">
        <v>22</v>
      </c>
      <c r="E124" s="15">
        <v>45724</v>
      </c>
      <c r="F124" s="14" t="s">
        <v>21</v>
      </c>
      <c r="G124" s="16">
        <v>32</v>
      </c>
    </row>
    <row r="125" spans="1:7" x14ac:dyDescent="0.25">
      <c r="A125" s="13" t="s">
        <v>955</v>
      </c>
      <c r="B125" s="50">
        <v>2337</v>
      </c>
      <c r="C125" s="14" t="s">
        <v>210</v>
      </c>
      <c r="D125" s="14" t="s">
        <v>22</v>
      </c>
      <c r="E125" s="15">
        <v>45728</v>
      </c>
      <c r="F125" s="14" t="s">
        <v>23</v>
      </c>
      <c r="G125" s="16">
        <v>50</v>
      </c>
    </row>
    <row r="126" spans="1:7" x14ac:dyDescent="0.25">
      <c r="A126" s="13" t="s">
        <v>955</v>
      </c>
      <c r="B126" s="50">
        <v>2337</v>
      </c>
      <c r="C126" s="14" t="s">
        <v>210</v>
      </c>
      <c r="D126" s="14" t="s">
        <v>22</v>
      </c>
      <c r="E126" s="15">
        <v>45728</v>
      </c>
      <c r="F126" s="14" t="s">
        <v>20</v>
      </c>
      <c r="G126" s="16">
        <v>16.704999999999998</v>
      </c>
    </row>
    <row r="127" spans="1:7" x14ac:dyDescent="0.25">
      <c r="A127" s="13" t="s">
        <v>951</v>
      </c>
      <c r="B127" s="50">
        <v>2404</v>
      </c>
      <c r="C127" s="14" t="s">
        <v>734</v>
      </c>
      <c r="D127" s="15" t="s">
        <v>22</v>
      </c>
      <c r="E127" s="15">
        <v>45723</v>
      </c>
      <c r="F127" s="14" t="s">
        <v>18</v>
      </c>
      <c r="G127" s="16">
        <v>30</v>
      </c>
    </row>
    <row r="128" spans="1:7" x14ac:dyDescent="0.25">
      <c r="A128" s="13" t="s">
        <v>951</v>
      </c>
      <c r="B128" s="50">
        <v>2404</v>
      </c>
      <c r="C128" s="14" t="s">
        <v>734</v>
      </c>
      <c r="D128" s="14" t="s">
        <v>22</v>
      </c>
      <c r="E128" s="15">
        <v>45727</v>
      </c>
      <c r="F128" s="14" t="s">
        <v>69</v>
      </c>
      <c r="G128" s="16">
        <v>340</v>
      </c>
    </row>
    <row r="129" spans="1:7" x14ac:dyDescent="0.25">
      <c r="A129" s="13" t="s">
        <v>950</v>
      </c>
      <c r="B129" s="50">
        <v>2408</v>
      </c>
      <c r="C129" s="14" t="s">
        <v>459</v>
      </c>
      <c r="D129" s="14" t="s">
        <v>460</v>
      </c>
      <c r="E129" s="15">
        <v>45724</v>
      </c>
      <c r="F129" s="14" t="s">
        <v>20</v>
      </c>
      <c r="G129" s="16">
        <v>9.7100000000000009</v>
      </c>
    </row>
    <row r="130" spans="1:7" x14ac:dyDescent="0.25">
      <c r="A130" s="13" t="s">
        <v>950</v>
      </c>
      <c r="B130" s="50">
        <v>2408</v>
      </c>
      <c r="C130" s="14" t="s">
        <v>459</v>
      </c>
      <c r="D130" s="15" t="s">
        <v>460</v>
      </c>
      <c r="E130" s="15">
        <v>45724</v>
      </c>
      <c r="F130" s="14" t="s">
        <v>21</v>
      </c>
      <c r="G130" s="16">
        <v>70</v>
      </c>
    </row>
    <row r="131" spans="1:7" x14ac:dyDescent="0.25">
      <c r="A131" s="13" t="s">
        <v>990</v>
      </c>
      <c r="B131" s="50">
        <v>2442</v>
      </c>
      <c r="C131" s="14" t="s">
        <v>817</v>
      </c>
      <c r="D131" s="14" t="s">
        <v>991</v>
      </c>
      <c r="E131" s="15">
        <v>45737</v>
      </c>
      <c r="F131" s="14" t="s">
        <v>20</v>
      </c>
      <c r="G131" s="16">
        <v>30.114000000000001</v>
      </c>
    </row>
    <row r="132" spans="1:7" x14ac:dyDescent="0.25">
      <c r="A132" s="13" t="s">
        <v>946</v>
      </c>
      <c r="B132" s="50">
        <v>2517</v>
      </c>
      <c r="C132" s="14" t="s">
        <v>97</v>
      </c>
      <c r="D132" s="14" t="s">
        <v>98</v>
      </c>
      <c r="E132" s="15">
        <v>45714</v>
      </c>
      <c r="F132" s="14" t="s">
        <v>23</v>
      </c>
      <c r="G132" s="16">
        <v>20</v>
      </c>
    </row>
    <row r="133" spans="1:7" x14ac:dyDescent="0.25">
      <c r="A133" s="13" t="s">
        <v>946</v>
      </c>
      <c r="B133" s="50">
        <v>2517</v>
      </c>
      <c r="C133" s="14" t="s">
        <v>97</v>
      </c>
      <c r="D133" s="14" t="s">
        <v>98</v>
      </c>
      <c r="E133" s="15">
        <v>45714</v>
      </c>
      <c r="F133" s="14" t="s">
        <v>20</v>
      </c>
      <c r="G133" s="16">
        <v>89.275000000000006</v>
      </c>
    </row>
    <row r="134" spans="1:7" x14ac:dyDescent="0.25">
      <c r="A134" s="13" t="s">
        <v>946</v>
      </c>
      <c r="B134" s="50">
        <v>2517</v>
      </c>
      <c r="C134" s="14" t="s">
        <v>97</v>
      </c>
      <c r="D134" s="14" t="s">
        <v>98</v>
      </c>
      <c r="E134" s="15">
        <v>45715</v>
      </c>
      <c r="F134" s="14" t="s">
        <v>19</v>
      </c>
      <c r="G134" s="16">
        <v>56.368000000000002</v>
      </c>
    </row>
    <row r="135" spans="1:7" x14ac:dyDescent="0.25">
      <c r="A135" s="13" t="s">
        <v>946</v>
      </c>
      <c r="B135" s="50">
        <v>2517</v>
      </c>
      <c r="C135" s="14" t="s">
        <v>97</v>
      </c>
      <c r="D135" s="15" t="s">
        <v>98</v>
      </c>
      <c r="E135" s="15">
        <v>45716</v>
      </c>
      <c r="F135" s="14" t="s">
        <v>21</v>
      </c>
      <c r="G135" s="16">
        <v>40</v>
      </c>
    </row>
    <row r="136" spans="1:7" x14ac:dyDescent="0.25">
      <c r="A136" s="13" t="s">
        <v>964</v>
      </c>
      <c r="B136" s="50">
        <v>2525</v>
      </c>
      <c r="C136" s="14" t="s">
        <v>224</v>
      </c>
      <c r="D136" s="15" t="s">
        <v>428</v>
      </c>
      <c r="E136" s="15">
        <v>45705</v>
      </c>
      <c r="F136" s="14" t="s">
        <v>18</v>
      </c>
      <c r="G136" s="16">
        <v>60</v>
      </c>
    </row>
    <row r="137" spans="1:7" x14ac:dyDescent="0.25">
      <c r="A137" s="13" t="s">
        <v>964</v>
      </c>
      <c r="B137" s="50">
        <v>2525</v>
      </c>
      <c r="C137" s="14" t="s">
        <v>224</v>
      </c>
      <c r="D137" s="15" t="s">
        <v>428</v>
      </c>
      <c r="E137" s="15">
        <v>45705</v>
      </c>
      <c r="F137" s="14" t="s">
        <v>20</v>
      </c>
      <c r="G137" s="16">
        <v>38.4</v>
      </c>
    </row>
    <row r="138" spans="1:7" x14ac:dyDescent="0.25">
      <c r="A138" s="13" t="s">
        <v>967</v>
      </c>
      <c r="B138" s="50">
        <v>2535</v>
      </c>
      <c r="C138" s="14" t="s">
        <v>30</v>
      </c>
      <c r="D138" s="15" t="s">
        <v>22</v>
      </c>
      <c r="E138" s="15">
        <v>45731</v>
      </c>
      <c r="F138" s="14" t="s">
        <v>18</v>
      </c>
      <c r="G138" s="16">
        <v>70</v>
      </c>
    </row>
    <row r="139" spans="1:7" x14ac:dyDescent="0.25">
      <c r="A139" s="13" t="s">
        <v>967</v>
      </c>
      <c r="B139" s="50">
        <v>2535</v>
      </c>
      <c r="C139" s="14" t="s">
        <v>30</v>
      </c>
      <c r="D139" s="15" t="s">
        <v>22</v>
      </c>
      <c r="E139" s="15">
        <v>45731</v>
      </c>
      <c r="F139" s="14" t="s">
        <v>20</v>
      </c>
      <c r="G139" s="16">
        <v>35.273000000000003</v>
      </c>
    </row>
    <row r="140" spans="1:7" x14ac:dyDescent="0.25">
      <c r="A140" s="13" t="s">
        <v>928</v>
      </c>
      <c r="B140" s="50">
        <v>2572</v>
      </c>
      <c r="C140" s="14" t="s">
        <v>462</v>
      </c>
      <c r="D140" s="14" t="s">
        <v>540</v>
      </c>
      <c r="E140" s="15">
        <v>45726</v>
      </c>
      <c r="F140" s="14" t="s">
        <v>20</v>
      </c>
      <c r="G140" s="16">
        <v>39.195999999999998</v>
      </c>
    </row>
    <row r="141" spans="1:7" x14ac:dyDescent="0.25">
      <c r="A141" s="13" t="s">
        <v>928</v>
      </c>
      <c r="B141" s="50">
        <v>2572</v>
      </c>
      <c r="C141" s="14" t="s">
        <v>462</v>
      </c>
      <c r="D141" s="14" t="s">
        <v>540</v>
      </c>
      <c r="E141" s="15">
        <v>45726</v>
      </c>
      <c r="F141" s="14" t="s">
        <v>363</v>
      </c>
      <c r="G141" s="16">
        <v>160</v>
      </c>
    </row>
    <row r="142" spans="1:7" x14ac:dyDescent="0.25">
      <c r="A142" s="13" t="s">
        <v>928</v>
      </c>
      <c r="B142" s="50">
        <v>2572</v>
      </c>
      <c r="C142" s="14" t="s">
        <v>462</v>
      </c>
      <c r="D142" s="14" t="s">
        <v>540</v>
      </c>
      <c r="E142" s="15">
        <v>45726</v>
      </c>
      <c r="F142" s="14" t="s">
        <v>363</v>
      </c>
      <c r="G142" s="16">
        <v>50</v>
      </c>
    </row>
    <row r="143" spans="1:7" x14ac:dyDescent="0.25">
      <c r="A143" s="13" t="s">
        <v>928</v>
      </c>
      <c r="B143" s="50">
        <v>2572</v>
      </c>
      <c r="C143" s="14" t="s">
        <v>462</v>
      </c>
      <c r="D143" s="15" t="s">
        <v>540</v>
      </c>
      <c r="E143" s="15">
        <v>45726</v>
      </c>
      <c r="F143" s="14" t="s">
        <v>364</v>
      </c>
      <c r="G143" s="16">
        <v>241</v>
      </c>
    </row>
    <row r="144" spans="1:7" x14ac:dyDescent="0.25">
      <c r="A144" s="13" t="s">
        <v>987</v>
      </c>
      <c r="B144" s="50">
        <v>2630</v>
      </c>
      <c r="C144" s="14" t="s">
        <v>988</v>
      </c>
      <c r="D144" s="14" t="s">
        <v>22</v>
      </c>
      <c r="E144" s="15">
        <v>45738</v>
      </c>
      <c r="F144" s="14" t="s">
        <v>18</v>
      </c>
      <c r="G144" s="16">
        <v>70</v>
      </c>
    </row>
    <row r="145" spans="1:7" x14ac:dyDescent="0.25">
      <c r="A145" s="13" t="s">
        <v>987</v>
      </c>
      <c r="B145" s="50">
        <v>2630</v>
      </c>
      <c r="C145" s="14" t="s">
        <v>988</v>
      </c>
      <c r="D145" s="14" t="s">
        <v>22</v>
      </c>
      <c r="E145" s="15">
        <v>45738</v>
      </c>
      <c r="F145" s="14" t="s">
        <v>20</v>
      </c>
      <c r="G145" s="16">
        <v>47.612000000000002</v>
      </c>
    </row>
    <row r="146" spans="1:7" x14ac:dyDescent="0.25">
      <c r="A146" s="13" t="s">
        <v>968</v>
      </c>
      <c r="B146" s="50">
        <v>2631</v>
      </c>
      <c r="C146" s="14" t="s">
        <v>533</v>
      </c>
      <c r="D146" s="15" t="s">
        <v>969</v>
      </c>
      <c r="E146" s="15">
        <v>45724</v>
      </c>
      <c r="F146" s="14" t="s">
        <v>18</v>
      </c>
      <c r="G146" s="16">
        <v>250</v>
      </c>
    </row>
    <row r="147" spans="1:7" x14ac:dyDescent="0.25">
      <c r="A147" s="13" t="s">
        <v>968</v>
      </c>
      <c r="B147" s="50">
        <v>2631</v>
      </c>
      <c r="C147" s="14" t="s">
        <v>533</v>
      </c>
      <c r="D147" s="15" t="s">
        <v>969</v>
      </c>
      <c r="E147" s="15">
        <v>45724</v>
      </c>
      <c r="F147" s="14" t="s">
        <v>19</v>
      </c>
      <c r="G147" s="16">
        <v>88.24</v>
      </c>
    </row>
    <row r="148" spans="1:7" x14ac:dyDescent="0.25">
      <c r="A148" s="13" t="s">
        <v>968</v>
      </c>
      <c r="B148" s="50">
        <v>2631</v>
      </c>
      <c r="C148" s="14" t="s">
        <v>533</v>
      </c>
      <c r="D148" s="15" t="s">
        <v>969</v>
      </c>
      <c r="E148" s="15">
        <v>45724</v>
      </c>
      <c r="F148" s="14" t="s">
        <v>20</v>
      </c>
      <c r="G148" s="16">
        <v>77.376000000000005</v>
      </c>
    </row>
    <row r="149" spans="1:7" x14ac:dyDescent="0.25">
      <c r="A149" s="13" t="s">
        <v>968</v>
      </c>
      <c r="B149" s="50">
        <v>2631</v>
      </c>
      <c r="C149" s="14" t="s">
        <v>533</v>
      </c>
      <c r="D149" s="14" t="s">
        <v>969</v>
      </c>
      <c r="E149" s="15">
        <v>45724</v>
      </c>
      <c r="F149" s="14" t="s">
        <v>364</v>
      </c>
      <c r="G149" s="16">
        <v>52.192999999999998</v>
      </c>
    </row>
    <row r="150" spans="1:7" x14ac:dyDescent="0.25">
      <c r="A150" s="13" t="s">
        <v>970</v>
      </c>
      <c r="B150" s="50">
        <v>2631</v>
      </c>
      <c r="C150" s="14" t="s">
        <v>533</v>
      </c>
      <c r="D150" s="14" t="s">
        <v>22</v>
      </c>
      <c r="E150" s="15">
        <v>45731</v>
      </c>
      <c r="F150" s="14" t="s">
        <v>18</v>
      </c>
      <c r="G150" s="16">
        <v>60</v>
      </c>
    </row>
    <row r="151" spans="1:7" x14ac:dyDescent="0.25">
      <c r="A151" s="13" t="s">
        <v>1002</v>
      </c>
      <c r="B151" s="50">
        <v>2631</v>
      </c>
      <c r="C151" s="14" t="s">
        <v>533</v>
      </c>
      <c r="D151" s="14" t="s">
        <v>22</v>
      </c>
      <c r="E151" s="15">
        <v>45723</v>
      </c>
      <c r="F151" s="14" t="s">
        <v>363</v>
      </c>
      <c r="G151" s="16">
        <v>600</v>
      </c>
    </row>
    <row r="152" spans="1:7" x14ac:dyDescent="0.25">
      <c r="A152" s="13" t="s">
        <v>1002</v>
      </c>
      <c r="B152" s="50">
        <v>2631</v>
      </c>
      <c r="C152" s="14" t="s">
        <v>533</v>
      </c>
      <c r="D152" s="15" t="s">
        <v>22</v>
      </c>
      <c r="E152" s="15">
        <v>45724</v>
      </c>
      <c r="F152" s="14" t="s">
        <v>20</v>
      </c>
      <c r="G152" s="16">
        <v>80.328999999999994</v>
      </c>
    </row>
    <row r="153" spans="1:7" x14ac:dyDescent="0.25">
      <c r="A153" s="13" t="s">
        <v>1002</v>
      </c>
      <c r="B153" s="50">
        <v>2631</v>
      </c>
      <c r="C153" s="14" t="s">
        <v>533</v>
      </c>
      <c r="D153" s="15" t="s">
        <v>22</v>
      </c>
      <c r="E153" s="15">
        <v>45723</v>
      </c>
      <c r="F153" s="14" t="s">
        <v>19</v>
      </c>
      <c r="G153" s="16">
        <v>77.319999999999993</v>
      </c>
    </row>
    <row r="154" spans="1:7" x14ac:dyDescent="0.25">
      <c r="A154" s="13" t="s">
        <v>1002</v>
      </c>
      <c r="B154" s="50">
        <v>2631</v>
      </c>
      <c r="C154" s="14" t="s">
        <v>533</v>
      </c>
      <c r="D154" s="14" t="s">
        <v>22</v>
      </c>
      <c r="E154" s="15">
        <v>45723</v>
      </c>
      <c r="F154" s="14" t="s">
        <v>363</v>
      </c>
      <c r="G154" s="16">
        <v>380</v>
      </c>
    </row>
    <row r="155" spans="1:7" x14ac:dyDescent="0.25">
      <c r="A155" s="13" t="s">
        <v>1002</v>
      </c>
      <c r="B155" s="50">
        <v>2631</v>
      </c>
      <c r="C155" s="14" t="s">
        <v>533</v>
      </c>
      <c r="D155" s="14" t="s">
        <v>22</v>
      </c>
      <c r="E155" s="15">
        <v>45724</v>
      </c>
      <c r="F155" s="14" t="s">
        <v>364</v>
      </c>
      <c r="G155" s="16">
        <v>730.625</v>
      </c>
    </row>
    <row r="156" spans="1:7" x14ac:dyDescent="0.25">
      <c r="A156" s="13" t="s">
        <v>1002</v>
      </c>
      <c r="B156" s="50">
        <v>2631</v>
      </c>
      <c r="C156" s="14" t="s">
        <v>533</v>
      </c>
      <c r="D156" s="14" t="s">
        <v>22</v>
      </c>
      <c r="E156" s="15">
        <v>45724</v>
      </c>
      <c r="F156" s="14" t="s">
        <v>312</v>
      </c>
      <c r="G156" s="16">
        <v>250</v>
      </c>
    </row>
    <row r="157" spans="1:7" x14ac:dyDescent="0.25">
      <c r="A157" s="13" t="s">
        <v>966</v>
      </c>
      <c r="B157" s="50">
        <v>2633</v>
      </c>
      <c r="C157" s="14" t="s">
        <v>157</v>
      </c>
      <c r="D157" s="14" t="s">
        <v>22</v>
      </c>
      <c r="E157" s="15">
        <v>45731</v>
      </c>
      <c r="F157" s="14" t="s">
        <v>23</v>
      </c>
      <c r="G157" s="16">
        <v>50</v>
      </c>
    </row>
    <row r="158" spans="1:7" x14ac:dyDescent="0.25">
      <c r="A158" s="13" t="s">
        <v>966</v>
      </c>
      <c r="B158" s="50">
        <v>2633</v>
      </c>
      <c r="C158" s="14" t="s">
        <v>157</v>
      </c>
      <c r="D158" s="14" t="s">
        <v>22</v>
      </c>
      <c r="E158" s="15">
        <v>45731</v>
      </c>
      <c r="F158" s="14" t="s">
        <v>21</v>
      </c>
      <c r="G158" s="16">
        <v>60</v>
      </c>
    </row>
    <row r="159" spans="1:7" ht="18.75" x14ac:dyDescent="0.3">
      <c r="A159" s="14"/>
      <c r="B159" s="28"/>
      <c r="C159" s="29"/>
      <c r="D159" s="14"/>
      <c r="E159" s="28"/>
      <c r="F159" s="17" t="s">
        <v>11</v>
      </c>
      <c r="G159" s="17">
        <f>SUM(G10:G158)</f>
        <v>11163.904999999997</v>
      </c>
    </row>
    <row r="160" spans="1:7" ht="18.75" x14ac:dyDescent="0.3">
      <c r="A160" s="38"/>
      <c r="B160" s="39"/>
      <c r="C160" s="40"/>
      <c r="D160" s="41"/>
      <c r="E160" s="19"/>
      <c r="F160" s="18"/>
      <c r="G160" s="34"/>
    </row>
    <row r="161" spans="1:7" ht="18.75" x14ac:dyDescent="0.3">
      <c r="A161" s="35"/>
      <c r="B161" s="36"/>
      <c r="C161" s="37"/>
      <c r="D161" s="42"/>
      <c r="E161" s="43"/>
      <c r="F161" s="44"/>
      <c r="G161" s="44"/>
    </row>
    <row r="162" spans="1:7" ht="15.75" x14ac:dyDescent="0.25">
      <c r="A162" s="35"/>
      <c r="B162" s="36" t="s">
        <v>12</v>
      </c>
      <c r="C162" s="37"/>
      <c r="E162" s="36" t="s">
        <v>13</v>
      </c>
      <c r="F162" s="18"/>
      <c r="G162" s="18"/>
    </row>
    <row r="163" spans="1:7" ht="15.75" x14ac:dyDescent="0.25">
      <c r="A163" s="45"/>
      <c r="B163" s="46" t="s">
        <v>14</v>
      </c>
      <c r="C163" s="47"/>
      <c r="E163" s="36" t="s">
        <v>15</v>
      </c>
      <c r="F163" s="18"/>
      <c r="G163" s="18"/>
    </row>
    <row r="164" spans="1:7" ht="15.75" x14ac:dyDescent="0.25">
      <c r="A164" s="23"/>
      <c r="B164" s="39"/>
      <c r="C164" s="25"/>
      <c r="E164" s="27"/>
      <c r="F164" s="18"/>
      <c r="G164" s="18"/>
    </row>
    <row r="165" spans="1:7" ht="18.75" x14ac:dyDescent="0.3">
      <c r="B165" s="19"/>
      <c r="C165" s="20"/>
      <c r="D165" s="21"/>
      <c r="E165" s="22"/>
      <c r="F165" s="19"/>
      <c r="G165" s="22"/>
    </row>
    <row r="166" spans="1:7" ht="15.75" x14ac:dyDescent="0.25">
      <c r="A166" s="23"/>
      <c r="B166" s="39"/>
      <c r="C166" s="25"/>
      <c r="D166" s="26"/>
      <c r="E166" s="22"/>
      <c r="F166" s="27"/>
      <c r="G166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Page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workbookViewId="0">
      <pane ySplit="9" topLeftCell="A10" activePane="bottomLeft" state="frozen"/>
      <selection pane="bottomLeft" sqref="A1:A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1008</v>
      </c>
      <c r="C5" s="7"/>
      <c r="D5" s="4"/>
    </row>
    <row r="6" spans="1:7" ht="22.5" customHeight="1" x14ac:dyDescent="0.25">
      <c r="A6" s="6"/>
      <c r="B6" s="8" t="s">
        <v>1191</v>
      </c>
      <c r="C6" s="9"/>
      <c r="D6" s="4"/>
    </row>
    <row r="7" spans="1:7" ht="22.5" customHeight="1" x14ac:dyDescent="0.35">
      <c r="A7" s="4"/>
      <c r="B7" s="10"/>
      <c r="C7" s="11" t="s">
        <v>1190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1107</v>
      </c>
      <c r="B10" s="13">
        <v>700</v>
      </c>
      <c r="C10" s="14" t="str">
        <f>+VLOOKUP(B10,[1]LISTE!$A$1:$D$431,4,FALSE)</f>
        <v>ZORGATI ABDELFATTEH</v>
      </c>
      <c r="D10" s="14" t="s">
        <v>22</v>
      </c>
      <c r="E10" s="15">
        <v>45754</v>
      </c>
      <c r="F10" s="14" t="s">
        <v>23</v>
      </c>
      <c r="G10" s="16">
        <v>25</v>
      </c>
    </row>
    <row r="11" spans="1:7" x14ac:dyDescent="0.25">
      <c r="A11" s="13" t="s">
        <v>1107</v>
      </c>
      <c r="B11" s="13">
        <v>700</v>
      </c>
      <c r="C11" s="14" t="str">
        <f>+VLOOKUP(B11,[1]LISTE!$A$1:$D$431,4,FALSE)</f>
        <v>ZORGATI ABDELFATTEH</v>
      </c>
      <c r="D11" s="15" t="s">
        <v>22</v>
      </c>
      <c r="E11" s="15">
        <v>45754</v>
      </c>
      <c r="F11" s="14" t="s">
        <v>20</v>
      </c>
      <c r="G11" s="16">
        <v>36.11</v>
      </c>
    </row>
    <row r="12" spans="1:7" x14ac:dyDescent="0.25">
      <c r="A12" s="13" t="s">
        <v>1166</v>
      </c>
      <c r="B12" s="13">
        <v>879</v>
      </c>
      <c r="C12" s="14" t="str">
        <f>+VLOOKUP(B12,[1]LISTE!$A$1:$D$431,4,FALSE)</f>
        <v>MOUSSA ABDERRAZEK</v>
      </c>
      <c r="D12" s="14" t="s">
        <v>79</v>
      </c>
      <c r="E12" s="15">
        <v>45755</v>
      </c>
      <c r="F12" s="14" t="s">
        <v>23</v>
      </c>
      <c r="G12" s="16">
        <v>45</v>
      </c>
    </row>
    <row r="13" spans="1:7" x14ac:dyDescent="0.25">
      <c r="A13" s="13" t="s">
        <v>1166</v>
      </c>
      <c r="B13" s="13">
        <v>879</v>
      </c>
      <c r="C13" s="14" t="str">
        <f>+VLOOKUP(B13,[1]LISTE!$A$1:$D$431,4,FALSE)</f>
        <v>MOUSSA ABDERRAZEK</v>
      </c>
      <c r="D13" s="14" t="s">
        <v>79</v>
      </c>
      <c r="E13" s="15">
        <v>45755</v>
      </c>
      <c r="F13" s="14" t="s">
        <v>20</v>
      </c>
      <c r="G13" s="16">
        <v>61.767000000000003</v>
      </c>
    </row>
    <row r="14" spans="1:7" x14ac:dyDescent="0.25">
      <c r="A14" s="13" t="s">
        <v>1102</v>
      </c>
      <c r="B14" s="13">
        <v>908</v>
      </c>
      <c r="C14" s="14" t="str">
        <f>+VLOOKUP(B14,[1]LISTE!$A$1:$D$431,4,FALSE)</f>
        <v>YOUSSEF HEDI</v>
      </c>
      <c r="D14" s="15" t="s">
        <v>641</v>
      </c>
      <c r="E14" s="15">
        <v>45747</v>
      </c>
      <c r="F14" s="14" t="s">
        <v>23</v>
      </c>
      <c r="G14" s="16">
        <v>3</v>
      </c>
    </row>
    <row r="15" spans="1:7" x14ac:dyDescent="0.25">
      <c r="A15" s="13" t="s">
        <v>1102</v>
      </c>
      <c r="B15" s="13">
        <v>908</v>
      </c>
      <c r="C15" s="14" t="str">
        <f>+VLOOKUP(B15,[1]LISTE!$A$1:$D$431,4,FALSE)</f>
        <v>YOUSSEF HEDI</v>
      </c>
      <c r="D15" s="14" t="s">
        <v>641</v>
      </c>
      <c r="E15" s="15">
        <v>45747</v>
      </c>
      <c r="F15" s="14" t="s">
        <v>20</v>
      </c>
      <c r="G15" s="16">
        <v>52.448999999999998</v>
      </c>
    </row>
    <row r="16" spans="1:7" x14ac:dyDescent="0.25">
      <c r="A16" s="13" t="s">
        <v>1012</v>
      </c>
      <c r="B16" s="13">
        <v>978</v>
      </c>
      <c r="C16" s="14" t="str">
        <f>+VLOOKUP(B16,[1]LISTE!$A$1:$D$431,4,FALSE)</f>
        <v>GRAIET ADEL</v>
      </c>
      <c r="D16" s="15" t="s">
        <v>22</v>
      </c>
      <c r="E16" s="15">
        <v>45738</v>
      </c>
      <c r="F16" s="14" t="s">
        <v>18</v>
      </c>
      <c r="G16" s="16">
        <v>70</v>
      </c>
    </row>
    <row r="17" spans="1:7" x14ac:dyDescent="0.25">
      <c r="A17" s="13" t="s">
        <v>1012</v>
      </c>
      <c r="B17" s="13">
        <v>978</v>
      </c>
      <c r="C17" s="14" t="str">
        <f>+VLOOKUP(B17,[1]LISTE!$A$1:$D$431,4,FALSE)</f>
        <v>GRAIET ADEL</v>
      </c>
      <c r="D17" s="15" t="s">
        <v>22</v>
      </c>
      <c r="E17" s="15">
        <v>45738</v>
      </c>
      <c r="F17" s="14" t="s">
        <v>20</v>
      </c>
      <c r="G17" s="16">
        <v>54.865000000000002</v>
      </c>
    </row>
    <row r="18" spans="1:7" x14ac:dyDescent="0.25">
      <c r="A18" s="13" t="s">
        <v>1013</v>
      </c>
      <c r="B18" s="13">
        <v>978</v>
      </c>
      <c r="C18" s="14" t="str">
        <f>+VLOOKUP(B18,[1]LISTE!$A$1:$D$431,4,FALSE)</f>
        <v>GRAIET ADEL</v>
      </c>
      <c r="D18" s="15" t="s">
        <v>22</v>
      </c>
      <c r="E18" s="15">
        <v>45730</v>
      </c>
      <c r="F18" s="14" t="s">
        <v>23</v>
      </c>
      <c r="G18" s="16">
        <v>50</v>
      </c>
    </row>
    <row r="19" spans="1:7" x14ac:dyDescent="0.25">
      <c r="A19" s="13" t="s">
        <v>1013</v>
      </c>
      <c r="B19" s="13">
        <v>978</v>
      </c>
      <c r="C19" s="14" t="str">
        <f>+VLOOKUP(B19,[1]LISTE!$A$1:$D$431,4,FALSE)</f>
        <v>GRAIET ADEL</v>
      </c>
      <c r="D19" s="14" t="s">
        <v>22</v>
      </c>
      <c r="E19" s="15">
        <v>45730</v>
      </c>
      <c r="F19" s="14" t="s">
        <v>20</v>
      </c>
      <c r="G19" s="16">
        <v>26.315000000000001</v>
      </c>
    </row>
    <row r="20" spans="1:7" x14ac:dyDescent="0.25">
      <c r="A20" s="13" t="s">
        <v>1013</v>
      </c>
      <c r="B20" s="13">
        <v>978</v>
      </c>
      <c r="C20" s="14" t="str">
        <f>+VLOOKUP(B20,[1]LISTE!$A$1:$D$431,4,FALSE)</f>
        <v>GRAIET ADEL</v>
      </c>
      <c r="D20" s="14" t="s">
        <v>22</v>
      </c>
      <c r="E20" s="15">
        <v>45734</v>
      </c>
      <c r="F20" s="14" t="s">
        <v>24</v>
      </c>
      <c r="G20" s="16">
        <v>240</v>
      </c>
    </row>
    <row r="21" spans="1:7" x14ac:dyDescent="0.25">
      <c r="A21" s="13" t="s">
        <v>1046</v>
      </c>
      <c r="B21" s="13">
        <v>990</v>
      </c>
      <c r="C21" s="14" t="str">
        <f>+VLOOKUP(B21,[1]LISTE!$A$1:$D$431,4,FALSE)</f>
        <v>GARDALLOU SAMIR</v>
      </c>
      <c r="D21" s="14" t="s">
        <v>1047</v>
      </c>
      <c r="E21" s="15">
        <v>45738</v>
      </c>
      <c r="F21" s="14" t="s">
        <v>18</v>
      </c>
      <c r="G21" s="16">
        <v>70</v>
      </c>
    </row>
    <row r="22" spans="1:7" x14ac:dyDescent="0.25">
      <c r="A22" s="13" t="s">
        <v>1046</v>
      </c>
      <c r="B22" s="13">
        <v>990</v>
      </c>
      <c r="C22" s="14" t="str">
        <f>+VLOOKUP(B22,[1]LISTE!$A$1:$D$431,4,FALSE)</f>
        <v>GARDALLOU SAMIR</v>
      </c>
      <c r="D22" s="15" t="s">
        <v>1047</v>
      </c>
      <c r="E22" s="15">
        <v>45745</v>
      </c>
      <c r="F22" s="14" t="s">
        <v>69</v>
      </c>
      <c r="G22" s="16">
        <v>520</v>
      </c>
    </row>
    <row r="23" spans="1:7" x14ac:dyDescent="0.25">
      <c r="A23" s="13" t="s">
        <v>1010</v>
      </c>
      <c r="B23" s="13">
        <v>1504</v>
      </c>
      <c r="C23" s="14" t="str">
        <f>+VLOOKUP(B23,[1]LISTE!$A$1:$D$431,4,FALSE)</f>
        <v>ABBADI HABIB</v>
      </c>
      <c r="D23" s="14" t="s">
        <v>22</v>
      </c>
      <c r="E23" s="15">
        <v>45737</v>
      </c>
      <c r="F23" s="14" t="s">
        <v>18</v>
      </c>
      <c r="G23" s="16">
        <v>60</v>
      </c>
    </row>
    <row r="24" spans="1:7" x14ac:dyDescent="0.25">
      <c r="A24" s="13" t="s">
        <v>1010</v>
      </c>
      <c r="B24" s="13">
        <v>1504</v>
      </c>
      <c r="C24" s="14" t="str">
        <f>+VLOOKUP(B24,[1]LISTE!$A$1:$D$431,4,FALSE)</f>
        <v>ABBADI HABIB</v>
      </c>
      <c r="D24" s="14" t="s">
        <v>22</v>
      </c>
      <c r="E24" s="15">
        <v>45737</v>
      </c>
      <c r="F24" s="14" t="s">
        <v>20</v>
      </c>
      <c r="G24" s="16">
        <v>148.54499999999999</v>
      </c>
    </row>
    <row r="25" spans="1:7" x14ac:dyDescent="0.25">
      <c r="A25" s="13" t="s">
        <v>1011</v>
      </c>
      <c r="B25" s="13">
        <v>1504</v>
      </c>
      <c r="C25" s="14" t="str">
        <f>+VLOOKUP(B25,[1]LISTE!$A$1:$D$431,4,FALSE)</f>
        <v>ABBADI HABIB</v>
      </c>
      <c r="D25" s="15" t="s">
        <v>40</v>
      </c>
      <c r="E25" s="15">
        <v>45737</v>
      </c>
      <c r="F25" s="14" t="s">
        <v>18</v>
      </c>
      <c r="G25" s="16">
        <v>60</v>
      </c>
    </row>
    <row r="26" spans="1:7" x14ac:dyDescent="0.25">
      <c r="A26" s="13" t="s">
        <v>1011</v>
      </c>
      <c r="B26" s="13">
        <v>1504</v>
      </c>
      <c r="C26" s="14" t="str">
        <f>+VLOOKUP(B26,[1]LISTE!$A$1:$D$431,4,FALSE)</f>
        <v>ABBADI HABIB</v>
      </c>
      <c r="D26" s="14" t="s">
        <v>40</v>
      </c>
      <c r="E26" s="15">
        <v>45737</v>
      </c>
      <c r="F26" s="14" t="s">
        <v>20</v>
      </c>
      <c r="G26" s="16">
        <v>130.70500000000001</v>
      </c>
    </row>
    <row r="27" spans="1:7" x14ac:dyDescent="0.25">
      <c r="A27" s="13" t="s">
        <v>1140</v>
      </c>
      <c r="B27" s="13">
        <v>1510</v>
      </c>
      <c r="C27" s="14" t="str">
        <f>+VLOOKUP(B27,[1]LISTE!$A$1:$D$431,4,FALSE)</f>
        <v>GAALOUL FETHI</v>
      </c>
      <c r="D27" s="15" t="s">
        <v>322</v>
      </c>
      <c r="E27" s="15">
        <v>45740</v>
      </c>
      <c r="F27" s="14" t="s">
        <v>20</v>
      </c>
      <c r="G27" s="16">
        <v>48.701999999999998</v>
      </c>
    </row>
    <row r="28" spans="1:7" x14ac:dyDescent="0.25">
      <c r="A28" s="13" t="s">
        <v>1140</v>
      </c>
      <c r="B28" s="13">
        <v>1510</v>
      </c>
      <c r="C28" s="14" t="str">
        <f>+VLOOKUP(B28,[1]LISTE!$A$1:$D$431,4,FALSE)</f>
        <v>GAALOUL FETHI</v>
      </c>
      <c r="D28" s="15" t="s">
        <v>322</v>
      </c>
      <c r="E28" s="15">
        <v>45754</v>
      </c>
      <c r="F28" s="14" t="s">
        <v>65</v>
      </c>
      <c r="G28" s="16">
        <v>60</v>
      </c>
    </row>
    <row r="29" spans="1:7" x14ac:dyDescent="0.25">
      <c r="A29" s="13" t="s">
        <v>1141</v>
      </c>
      <c r="B29" s="13">
        <v>1510</v>
      </c>
      <c r="C29" s="14" t="str">
        <f>+VLOOKUP(B29,[1]LISTE!$A$1:$D$431,4,FALSE)</f>
        <v>GAALOUL FETHI</v>
      </c>
      <c r="D29" s="15" t="s">
        <v>322</v>
      </c>
      <c r="E29" s="15">
        <v>45733</v>
      </c>
      <c r="F29" s="14" t="s">
        <v>18</v>
      </c>
      <c r="G29" s="16">
        <v>70</v>
      </c>
    </row>
    <row r="30" spans="1:7" x14ac:dyDescent="0.25">
      <c r="A30" s="13" t="s">
        <v>1141</v>
      </c>
      <c r="B30" s="13">
        <v>1510</v>
      </c>
      <c r="C30" s="14" t="str">
        <f>+VLOOKUP(B30,[1]LISTE!$A$1:$D$431,4,FALSE)</f>
        <v>GAALOUL FETHI</v>
      </c>
      <c r="D30" s="15" t="s">
        <v>322</v>
      </c>
      <c r="E30" s="15">
        <v>45733</v>
      </c>
      <c r="F30" s="14" t="s">
        <v>20</v>
      </c>
      <c r="G30" s="16">
        <v>86.314999999999998</v>
      </c>
    </row>
    <row r="31" spans="1:7" x14ac:dyDescent="0.25">
      <c r="A31" s="13" t="s">
        <v>1071</v>
      </c>
      <c r="B31" s="13">
        <v>1511</v>
      </c>
      <c r="C31" s="14" t="str">
        <f>+VLOOKUP(B31,[1]LISTE!$A$1:$D$431,4,FALSE)</f>
        <v>SOYAH NEJIB</v>
      </c>
      <c r="D31" s="15" t="s">
        <v>22</v>
      </c>
      <c r="E31" s="15">
        <v>45734</v>
      </c>
      <c r="F31" s="14" t="s">
        <v>18</v>
      </c>
      <c r="G31" s="16">
        <v>70</v>
      </c>
    </row>
    <row r="32" spans="1:7" x14ac:dyDescent="0.25">
      <c r="A32" s="13" t="s">
        <v>1071</v>
      </c>
      <c r="B32" s="13">
        <v>1511</v>
      </c>
      <c r="C32" s="14" t="str">
        <f>+VLOOKUP(B32,[1]LISTE!$A$1:$D$431,4,FALSE)</f>
        <v>SOYAH NEJIB</v>
      </c>
      <c r="D32" s="15" t="s">
        <v>22</v>
      </c>
      <c r="E32" s="15">
        <v>45734</v>
      </c>
      <c r="F32" s="14" t="s">
        <v>20</v>
      </c>
      <c r="G32" s="16">
        <v>67.096999999999994</v>
      </c>
    </row>
    <row r="33" spans="1:7" x14ac:dyDescent="0.25">
      <c r="A33" s="13" t="s">
        <v>1071</v>
      </c>
      <c r="B33" s="13">
        <v>1511</v>
      </c>
      <c r="C33" s="14" t="str">
        <f>+VLOOKUP(B33,[1]LISTE!$A$1:$D$431,4,FALSE)</f>
        <v>SOYAH NEJIB</v>
      </c>
      <c r="D33" s="14" t="s">
        <v>22</v>
      </c>
      <c r="E33" s="15">
        <v>45734</v>
      </c>
      <c r="F33" s="14" t="s">
        <v>20</v>
      </c>
      <c r="G33" s="16">
        <v>26.65</v>
      </c>
    </row>
    <row r="34" spans="1:7" x14ac:dyDescent="0.25">
      <c r="A34" s="13" t="s">
        <v>1071</v>
      </c>
      <c r="B34" s="13">
        <v>1511</v>
      </c>
      <c r="C34" s="14" t="str">
        <f>+VLOOKUP(B34,[1]LISTE!$A$1:$D$431,4,FALSE)</f>
        <v>SOYAH NEJIB</v>
      </c>
      <c r="D34" s="14" t="s">
        <v>22</v>
      </c>
      <c r="E34" s="15">
        <v>45734</v>
      </c>
      <c r="F34" s="14" t="s">
        <v>21</v>
      </c>
      <c r="G34" s="16">
        <v>221</v>
      </c>
    </row>
    <row r="35" spans="1:7" x14ac:dyDescent="0.25">
      <c r="A35" s="13" t="s">
        <v>1124</v>
      </c>
      <c r="B35" s="13">
        <v>1524</v>
      </c>
      <c r="C35" s="14" t="str">
        <f>+VLOOKUP(B35,[1]LISTE!$A$1:$D$431,4,FALSE)</f>
        <v>BABAY ROUIS LOTFI</v>
      </c>
      <c r="D35" s="14" t="s">
        <v>394</v>
      </c>
      <c r="E35" s="15">
        <v>45752</v>
      </c>
      <c r="F35" s="14" t="s">
        <v>23</v>
      </c>
      <c r="G35" s="16">
        <v>50</v>
      </c>
    </row>
    <row r="36" spans="1:7" x14ac:dyDescent="0.25">
      <c r="A36" s="13" t="s">
        <v>1124</v>
      </c>
      <c r="B36" s="13">
        <v>1524</v>
      </c>
      <c r="C36" s="14" t="str">
        <f>+VLOOKUP(B36,[1]LISTE!$A$1:$D$431,4,FALSE)</f>
        <v>BABAY ROUIS LOTFI</v>
      </c>
      <c r="D36" s="14" t="s">
        <v>394</v>
      </c>
      <c r="E36" s="15">
        <v>45752</v>
      </c>
      <c r="F36" s="14" t="s">
        <v>20</v>
      </c>
      <c r="G36" s="16">
        <v>37.482999999999997</v>
      </c>
    </row>
    <row r="37" spans="1:7" x14ac:dyDescent="0.25">
      <c r="A37" s="13" t="s">
        <v>1042</v>
      </c>
      <c r="B37" s="13">
        <v>1558</v>
      </c>
      <c r="C37" s="14" t="str">
        <f>+VLOOKUP(B37,[1]LISTE!$A$1:$D$431,4,FALSE)</f>
        <v>DRIDI KARIM</v>
      </c>
      <c r="D37" s="14" t="s">
        <v>296</v>
      </c>
      <c r="E37" s="15">
        <v>45727</v>
      </c>
      <c r="F37" s="14" t="s">
        <v>18</v>
      </c>
      <c r="G37" s="16">
        <v>70</v>
      </c>
    </row>
    <row r="38" spans="1:7" x14ac:dyDescent="0.25">
      <c r="A38" s="13" t="s">
        <v>1042</v>
      </c>
      <c r="B38" s="13">
        <v>1558</v>
      </c>
      <c r="C38" s="14" t="str">
        <f>+VLOOKUP(B38,[1]LISTE!$A$1:$D$431,4,FALSE)</f>
        <v>DRIDI KARIM</v>
      </c>
      <c r="D38" s="14" t="s">
        <v>296</v>
      </c>
      <c r="E38" s="15">
        <v>45727</v>
      </c>
      <c r="F38" s="14" t="s">
        <v>20</v>
      </c>
      <c r="G38" s="16">
        <v>15.09</v>
      </c>
    </row>
    <row r="39" spans="1:7" x14ac:dyDescent="0.25">
      <c r="A39" s="13" t="s">
        <v>1060</v>
      </c>
      <c r="B39" s="13">
        <v>1558</v>
      </c>
      <c r="C39" s="14" t="str">
        <f>+VLOOKUP(B39,[1]LISTE!$A$1:$D$431,4,FALSE)</f>
        <v>DRIDI KARIM</v>
      </c>
      <c r="D39" s="14" t="s">
        <v>296</v>
      </c>
      <c r="E39" s="15">
        <v>45742</v>
      </c>
      <c r="F39" s="14" t="s">
        <v>20</v>
      </c>
      <c r="G39" s="16">
        <v>3.14</v>
      </c>
    </row>
    <row r="40" spans="1:7" x14ac:dyDescent="0.25">
      <c r="A40" s="13" t="s">
        <v>1060</v>
      </c>
      <c r="B40" s="13">
        <v>1558</v>
      </c>
      <c r="C40" s="14" t="str">
        <f>+VLOOKUP(B40,[1]LISTE!$A$1:$D$431,4,FALSE)</f>
        <v>DRIDI KARIM</v>
      </c>
      <c r="D40" s="14" t="s">
        <v>296</v>
      </c>
      <c r="E40" s="15">
        <v>45742</v>
      </c>
      <c r="F40" s="14" t="s">
        <v>21</v>
      </c>
      <c r="G40" s="16">
        <v>250</v>
      </c>
    </row>
    <row r="41" spans="1:7" x14ac:dyDescent="0.25">
      <c r="A41" s="13" t="s">
        <v>1078</v>
      </c>
      <c r="B41" s="13">
        <v>1558</v>
      </c>
      <c r="C41" s="14" t="s">
        <v>1079</v>
      </c>
      <c r="D41" s="15" t="s">
        <v>22</v>
      </c>
      <c r="E41" s="15">
        <v>45754</v>
      </c>
      <c r="F41" s="14" t="s">
        <v>18</v>
      </c>
      <c r="G41" s="16">
        <v>70</v>
      </c>
    </row>
    <row r="42" spans="1:7" x14ac:dyDescent="0.25">
      <c r="A42" s="13" t="s">
        <v>1078</v>
      </c>
      <c r="B42" s="13">
        <v>1558</v>
      </c>
      <c r="C42" s="14" t="s">
        <v>1079</v>
      </c>
      <c r="D42" s="14" t="s">
        <v>22</v>
      </c>
      <c r="E42" s="15">
        <v>45754</v>
      </c>
      <c r="F42" s="14" t="s">
        <v>20</v>
      </c>
      <c r="G42" s="16">
        <v>60.965000000000003</v>
      </c>
    </row>
    <row r="43" spans="1:7" x14ac:dyDescent="0.25">
      <c r="A43" s="13" t="s">
        <v>1120</v>
      </c>
      <c r="B43" s="13">
        <v>1561</v>
      </c>
      <c r="C43" s="14" t="str">
        <f>+VLOOKUP(B43,[1]LISTE!$A$1:$D$431,4,FALSE)</f>
        <v>JMEGUER SAMI</v>
      </c>
      <c r="D43" s="14" t="s">
        <v>1121</v>
      </c>
      <c r="E43" s="15">
        <v>45755</v>
      </c>
      <c r="F43" s="14" t="s">
        <v>23</v>
      </c>
      <c r="G43" s="16">
        <v>50</v>
      </c>
    </row>
    <row r="44" spans="1:7" x14ac:dyDescent="0.25">
      <c r="A44" s="13" t="s">
        <v>1120</v>
      </c>
      <c r="B44" s="13">
        <v>1561</v>
      </c>
      <c r="C44" s="14" t="str">
        <f>+VLOOKUP(B44,[1]LISTE!$A$1:$D$431,4,FALSE)</f>
        <v>JMEGUER SAMI</v>
      </c>
      <c r="D44" s="15" t="s">
        <v>1121</v>
      </c>
      <c r="E44" s="15">
        <v>45755</v>
      </c>
      <c r="F44" s="14" t="s">
        <v>20</v>
      </c>
      <c r="G44" s="16">
        <v>44.835999999999999</v>
      </c>
    </row>
    <row r="45" spans="1:7" x14ac:dyDescent="0.25">
      <c r="A45" s="13" t="s">
        <v>1168</v>
      </c>
      <c r="B45" s="13">
        <v>1561</v>
      </c>
      <c r="C45" s="14" t="str">
        <f>+VLOOKUP(B45,[1]LISTE!$A$1:$D$431,4,FALSE)</f>
        <v>JMEGUER SAMI</v>
      </c>
      <c r="D45" s="14" t="s">
        <v>22</v>
      </c>
      <c r="E45" s="15">
        <v>45756</v>
      </c>
      <c r="F45" s="14" t="s">
        <v>23</v>
      </c>
      <c r="G45" s="16">
        <v>40</v>
      </c>
    </row>
    <row r="46" spans="1:7" x14ac:dyDescent="0.25">
      <c r="A46" s="13" t="s">
        <v>1168</v>
      </c>
      <c r="B46" s="13">
        <v>1561</v>
      </c>
      <c r="C46" s="14" t="str">
        <f>+VLOOKUP(B46,[1]LISTE!$A$1:$D$431,4,FALSE)</f>
        <v>JMEGUER SAMI</v>
      </c>
      <c r="D46" s="14" t="s">
        <v>22</v>
      </c>
      <c r="E46" s="15">
        <v>45757</v>
      </c>
      <c r="F46" s="14" t="s">
        <v>19</v>
      </c>
      <c r="G46" s="16">
        <v>190.35300000000001</v>
      </c>
    </row>
    <row r="47" spans="1:7" x14ac:dyDescent="0.25">
      <c r="A47" s="13" t="s">
        <v>1168</v>
      </c>
      <c r="B47" s="13">
        <v>1561</v>
      </c>
      <c r="C47" s="14" t="str">
        <f>+VLOOKUP(B47,[1]LISTE!$A$1:$D$431,4,FALSE)</f>
        <v>JMEGUER SAMI</v>
      </c>
      <c r="D47" s="14" t="s">
        <v>22</v>
      </c>
      <c r="E47" s="15">
        <v>45757</v>
      </c>
      <c r="F47" s="14" t="s">
        <v>20</v>
      </c>
      <c r="G47" s="16">
        <v>169.63</v>
      </c>
    </row>
    <row r="48" spans="1:7" x14ac:dyDescent="0.25">
      <c r="A48" s="13" t="s">
        <v>1169</v>
      </c>
      <c r="B48" s="13">
        <v>1561</v>
      </c>
      <c r="C48" s="14" t="str">
        <f>+VLOOKUP(B48,[1]LISTE!$A$1:$D$431,4,FALSE)</f>
        <v>JMEGUER SAMI</v>
      </c>
      <c r="D48" s="14" t="s">
        <v>22</v>
      </c>
      <c r="E48" s="15">
        <v>45756</v>
      </c>
      <c r="F48" s="14" t="s">
        <v>23</v>
      </c>
      <c r="G48" s="16">
        <v>40</v>
      </c>
    </row>
    <row r="49" spans="1:7" x14ac:dyDescent="0.25">
      <c r="A49" s="13" t="s">
        <v>1169</v>
      </c>
      <c r="B49" s="13">
        <v>1561</v>
      </c>
      <c r="C49" s="14" t="str">
        <f>+VLOOKUP(B49,[1]LISTE!$A$1:$D$431,4,FALSE)</f>
        <v>JMEGUER SAMI</v>
      </c>
      <c r="D49" s="14" t="s">
        <v>22</v>
      </c>
      <c r="E49" s="15">
        <v>45756</v>
      </c>
      <c r="F49" s="14" t="s">
        <v>20</v>
      </c>
      <c r="G49" s="16">
        <v>35.159999999999997</v>
      </c>
    </row>
    <row r="50" spans="1:7" x14ac:dyDescent="0.25">
      <c r="A50" s="13" t="s">
        <v>1169</v>
      </c>
      <c r="B50" s="13">
        <v>1561</v>
      </c>
      <c r="C50" s="14" t="str">
        <f>+VLOOKUP(B50,[1]LISTE!$A$1:$D$431,4,FALSE)</f>
        <v>JMEGUER SAMI</v>
      </c>
      <c r="D50" s="14" t="s">
        <v>22</v>
      </c>
      <c r="E50" s="15">
        <v>45758</v>
      </c>
      <c r="F50" s="14" t="s">
        <v>24</v>
      </c>
      <c r="G50" s="16">
        <v>50</v>
      </c>
    </row>
    <row r="51" spans="1:7" x14ac:dyDescent="0.25">
      <c r="A51" s="13" t="s">
        <v>1076</v>
      </c>
      <c r="B51" s="13">
        <v>1569</v>
      </c>
      <c r="C51" s="14" t="str">
        <f>+VLOOKUP(B51,[1]LISTE!$A$1:$D$431,4,FALSE)</f>
        <v>BETTAIEB MOULDI</v>
      </c>
      <c r="D51" s="14" t="s">
        <v>513</v>
      </c>
      <c r="E51" s="15">
        <v>45752</v>
      </c>
      <c r="F51" s="14" t="s">
        <v>23</v>
      </c>
      <c r="G51" s="16">
        <v>50</v>
      </c>
    </row>
    <row r="52" spans="1:7" x14ac:dyDescent="0.25">
      <c r="A52" s="13" t="s">
        <v>1076</v>
      </c>
      <c r="B52" s="13">
        <v>1569</v>
      </c>
      <c r="C52" s="14" t="str">
        <f>+VLOOKUP(B52,[1]LISTE!$A$1:$D$431,4,FALSE)</f>
        <v>BETTAIEB MOULDI</v>
      </c>
      <c r="D52" s="14" t="s">
        <v>513</v>
      </c>
      <c r="E52" s="15">
        <v>45752</v>
      </c>
      <c r="F52" s="14" t="s">
        <v>20</v>
      </c>
      <c r="G52" s="16">
        <v>22.024000000000001</v>
      </c>
    </row>
    <row r="53" spans="1:7" x14ac:dyDescent="0.25">
      <c r="A53" s="13" t="s">
        <v>1076</v>
      </c>
      <c r="B53" s="13">
        <v>1569</v>
      </c>
      <c r="C53" s="14" t="str">
        <f>+VLOOKUP(B53,[1]LISTE!$A$1:$D$431,4,FALSE)</f>
        <v>BETTAIEB MOULDI</v>
      </c>
      <c r="D53" s="14" t="s">
        <v>513</v>
      </c>
      <c r="E53" s="15">
        <v>45752</v>
      </c>
      <c r="F53" s="14" t="s">
        <v>65</v>
      </c>
      <c r="G53" s="16">
        <v>2</v>
      </c>
    </row>
    <row r="54" spans="1:7" x14ac:dyDescent="0.25">
      <c r="A54" s="13" t="s">
        <v>1077</v>
      </c>
      <c r="B54" s="13">
        <v>1569</v>
      </c>
      <c r="C54" s="14" t="str">
        <f>+VLOOKUP(B54,[1]LISTE!$A$1:$D$431,4,FALSE)</f>
        <v>BETTAIEB MOULDI</v>
      </c>
      <c r="D54" s="14" t="s">
        <v>529</v>
      </c>
      <c r="E54" s="15">
        <v>45751</v>
      </c>
      <c r="F54" s="14" t="s">
        <v>23</v>
      </c>
      <c r="G54" s="16">
        <v>40</v>
      </c>
    </row>
    <row r="55" spans="1:7" x14ac:dyDescent="0.25">
      <c r="A55" s="13" t="s">
        <v>1077</v>
      </c>
      <c r="B55" s="13">
        <v>1569</v>
      </c>
      <c r="C55" s="14" t="str">
        <f>+VLOOKUP(B55,[1]LISTE!$A$1:$D$431,4,FALSE)</f>
        <v>BETTAIEB MOULDI</v>
      </c>
      <c r="D55" s="15" t="s">
        <v>529</v>
      </c>
      <c r="E55" s="15">
        <v>45751</v>
      </c>
      <c r="F55" s="14" t="s">
        <v>20</v>
      </c>
      <c r="G55" s="16">
        <v>35.639000000000003</v>
      </c>
    </row>
    <row r="56" spans="1:7" x14ac:dyDescent="0.25">
      <c r="A56" s="13" t="s">
        <v>1101</v>
      </c>
      <c r="B56" s="13">
        <v>1569</v>
      </c>
      <c r="C56" s="14" t="str">
        <f>+VLOOKUP(B56,[1]LISTE!$A$1:$D$431,4,FALSE)</f>
        <v>BETTAIEB MOULDI</v>
      </c>
      <c r="D56" s="15" t="s">
        <v>529</v>
      </c>
      <c r="E56" s="15">
        <v>45735</v>
      </c>
      <c r="F56" s="14" t="s">
        <v>23</v>
      </c>
      <c r="G56" s="16">
        <v>40</v>
      </c>
    </row>
    <row r="57" spans="1:7" x14ac:dyDescent="0.25">
      <c r="A57" s="13" t="s">
        <v>1101</v>
      </c>
      <c r="B57" s="13">
        <v>1569</v>
      </c>
      <c r="C57" s="14" t="str">
        <f>+VLOOKUP(B57,[1]LISTE!$A$1:$D$431,4,FALSE)</f>
        <v>BETTAIEB MOULDI</v>
      </c>
      <c r="D57" s="15" t="s">
        <v>529</v>
      </c>
      <c r="E57" s="15">
        <v>45735</v>
      </c>
      <c r="F57" s="14" t="s">
        <v>20</v>
      </c>
      <c r="G57" s="16">
        <v>50.674999999999997</v>
      </c>
    </row>
    <row r="58" spans="1:7" x14ac:dyDescent="0.25">
      <c r="A58" s="13" t="s">
        <v>1147</v>
      </c>
      <c r="B58" s="13">
        <v>1575</v>
      </c>
      <c r="C58" s="14" t="str">
        <f>+VLOOKUP(B58,[1]LISTE!$A$1:$D$431,4,FALSE)</f>
        <v>BEN ABDELJELIL ZOUHAIER</v>
      </c>
      <c r="D58" s="15" t="s">
        <v>125</v>
      </c>
      <c r="E58" s="15">
        <v>45752</v>
      </c>
      <c r="F58" s="14" t="s">
        <v>18</v>
      </c>
      <c r="G58" s="16">
        <v>70</v>
      </c>
    </row>
    <row r="59" spans="1:7" x14ac:dyDescent="0.25">
      <c r="A59" s="13" t="s">
        <v>1147</v>
      </c>
      <c r="B59" s="13">
        <v>1575</v>
      </c>
      <c r="C59" s="14" t="str">
        <f>+VLOOKUP(B59,[1]LISTE!$A$1:$D$431,4,FALSE)</f>
        <v>BEN ABDELJELIL ZOUHAIER</v>
      </c>
      <c r="D59" s="15" t="s">
        <v>125</v>
      </c>
      <c r="E59" s="15">
        <v>45752</v>
      </c>
      <c r="F59" s="14" t="s">
        <v>20</v>
      </c>
      <c r="G59" s="16">
        <v>36.887999999999998</v>
      </c>
    </row>
    <row r="60" spans="1:7" x14ac:dyDescent="0.25">
      <c r="A60" s="13" t="s">
        <v>1095</v>
      </c>
      <c r="B60" s="13">
        <v>1600</v>
      </c>
      <c r="C60" s="14" t="str">
        <f>+VLOOKUP(B60,[1]LISTE!$A$1:$D$431,4,FALSE)</f>
        <v>MAOUA MOHAMED</v>
      </c>
      <c r="D60" s="15" t="s">
        <v>311</v>
      </c>
      <c r="E60" s="15">
        <v>45750</v>
      </c>
      <c r="F60" s="14" t="s">
        <v>20</v>
      </c>
      <c r="G60" s="16">
        <v>2.855</v>
      </c>
    </row>
    <row r="61" spans="1:7" x14ac:dyDescent="0.25">
      <c r="A61" s="13" t="s">
        <v>1095</v>
      </c>
      <c r="B61" s="13">
        <v>1600</v>
      </c>
      <c r="C61" s="14" t="str">
        <f>+VLOOKUP(B61,[1]LISTE!$A$1:$D$431,4,FALSE)</f>
        <v>MAOUA MOHAMED</v>
      </c>
      <c r="D61" s="15" t="s">
        <v>311</v>
      </c>
      <c r="E61" s="15">
        <v>45750</v>
      </c>
      <c r="F61" s="14" t="s">
        <v>24</v>
      </c>
      <c r="G61" s="16">
        <v>50</v>
      </c>
    </row>
    <row r="62" spans="1:7" x14ac:dyDescent="0.25">
      <c r="A62" s="13" t="s">
        <v>1096</v>
      </c>
      <c r="B62" s="13">
        <v>1600</v>
      </c>
      <c r="C62" s="14" t="str">
        <f>+VLOOKUP(B62,[1]LISTE!$A$1:$D$431,4,FALSE)</f>
        <v>MAOUA MOHAMED</v>
      </c>
      <c r="D62" s="15" t="s">
        <v>699</v>
      </c>
      <c r="E62" s="15">
        <v>45750</v>
      </c>
      <c r="F62" s="14" t="s">
        <v>20</v>
      </c>
      <c r="G62" s="16">
        <v>17.515000000000001</v>
      </c>
    </row>
    <row r="63" spans="1:7" x14ac:dyDescent="0.25">
      <c r="A63" s="13" t="s">
        <v>1096</v>
      </c>
      <c r="B63" s="13">
        <v>1600</v>
      </c>
      <c r="C63" s="14" t="str">
        <f>+VLOOKUP(B63,[1]LISTE!$A$1:$D$431,4,FALSE)</f>
        <v>MAOUA MOHAMED</v>
      </c>
      <c r="D63" s="14" t="s">
        <v>699</v>
      </c>
      <c r="E63" s="15">
        <v>45750</v>
      </c>
      <c r="F63" s="14" t="s">
        <v>20</v>
      </c>
      <c r="G63" s="16">
        <v>24</v>
      </c>
    </row>
    <row r="64" spans="1:7" x14ac:dyDescent="0.25">
      <c r="A64" s="13" t="s">
        <v>1096</v>
      </c>
      <c r="B64" s="13">
        <v>1600</v>
      </c>
      <c r="C64" s="14" t="str">
        <f>+VLOOKUP(B64,[1]LISTE!$A$1:$D$431,4,FALSE)</f>
        <v>MAOUA MOHAMED</v>
      </c>
      <c r="D64" s="14" t="s">
        <v>699</v>
      </c>
      <c r="E64" s="15">
        <v>45751</v>
      </c>
      <c r="F64" s="14" t="s">
        <v>24</v>
      </c>
      <c r="G64" s="16">
        <v>240</v>
      </c>
    </row>
    <row r="65" spans="1:7" x14ac:dyDescent="0.25">
      <c r="A65" s="13" t="s">
        <v>1059</v>
      </c>
      <c r="B65" s="13">
        <v>1602</v>
      </c>
      <c r="C65" s="14" t="str">
        <f>+VLOOKUP(B65,[1]LISTE!$A$1:$D$431,4,FALSE)</f>
        <v>MAMIA RAMZI</v>
      </c>
      <c r="D65" s="14" t="s">
        <v>22</v>
      </c>
      <c r="E65" s="15">
        <v>45742</v>
      </c>
      <c r="F65" s="14" t="s">
        <v>18</v>
      </c>
      <c r="G65" s="16">
        <v>70</v>
      </c>
    </row>
    <row r="66" spans="1:7" x14ac:dyDescent="0.25">
      <c r="A66" s="13" t="s">
        <v>1059</v>
      </c>
      <c r="B66" s="13">
        <v>1602</v>
      </c>
      <c r="C66" s="14" t="str">
        <f>+VLOOKUP(B66,[1]LISTE!$A$1:$D$431,4,FALSE)</f>
        <v>MAMIA RAMZI</v>
      </c>
      <c r="D66" s="14" t="s">
        <v>22</v>
      </c>
      <c r="E66" s="15">
        <v>45742</v>
      </c>
      <c r="F66" s="14" t="s">
        <v>65</v>
      </c>
      <c r="G66" s="16">
        <v>30</v>
      </c>
    </row>
    <row r="67" spans="1:7" x14ac:dyDescent="0.25">
      <c r="A67" s="13" t="s">
        <v>1059</v>
      </c>
      <c r="B67" s="13">
        <v>1602</v>
      </c>
      <c r="C67" s="14" t="str">
        <f>+VLOOKUP(B67,[1]LISTE!$A$1:$D$431,4,FALSE)</f>
        <v>MAMIA RAMZI</v>
      </c>
      <c r="D67" s="14" t="s">
        <v>22</v>
      </c>
      <c r="E67" s="15">
        <v>45743</v>
      </c>
      <c r="F67" s="14" t="s">
        <v>20</v>
      </c>
      <c r="G67" s="16">
        <v>18.2</v>
      </c>
    </row>
    <row r="68" spans="1:7" x14ac:dyDescent="0.25">
      <c r="A68" s="13" t="s">
        <v>1059</v>
      </c>
      <c r="B68" s="13">
        <v>1602</v>
      </c>
      <c r="C68" s="14" t="str">
        <f>+VLOOKUP(B68,[1]LISTE!$A$1:$D$431,4,FALSE)</f>
        <v>MAMIA RAMZI</v>
      </c>
      <c r="D68" s="15" t="s">
        <v>22</v>
      </c>
      <c r="E68" s="15">
        <v>45742</v>
      </c>
      <c r="F68" s="14" t="s">
        <v>20</v>
      </c>
      <c r="G68" s="16">
        <v>5.181</v>
      </c>
    </row>
    <row r="69" spans="1:7" x14ac:dyDescent="0.25">
      <c r="A69" s="13" t="s">
        <v>1093</v>
      </c>
      <c r="B69" s="13">
        <v>1616</v>
      </c>
      <c r="C69" s="14" t="str">
        <f>+VLOOKUP(B69,[1]LISTE!$A$1:$D$431,4,FALSE)</f>
        <v>MOUSSA FETHI</v>
      </c>
      <c r="D69" s="15" t="s">
        <v>1094</v>
      </c>
      <c r="E69" s="15">
        <v>45742</v>
      </c>
      <c r="F69" s="14" t="s">
        <v>18</v>
      </c>
      <c r="G69" s="16">
        <v>70</v>
      </c>
    </row>
    <row r="70" spans="1:7" x14ac:dyDescent="0.25">
      <c r="A70" s="13" t="s">
        <v>1093</v>
      </c>
      <c r="B70" s="13">
        <v>1616</v>
      </c>
      <c r="C70" s="14" t="str">
        <f>+VLOOKUP(B70,[1]LISTE!$A$1:$D$431,4,FALSE)</f>
        <v>MOUSSA FETHI</v>
      </c>
      <c r="D70" s="15" t="s">
        <v>1094</v>
      </c>
      <c r="E70" s="15">
        <v>45743</v>
      </c>
      <c r="F70" s="14" t="s">
        <v>69</v>
      </c>
      <c r="G70" s="16">
        <v>95.2</v>
      </c>
    </row>
    <row r="71" spans="1:7" x14ac:dyDescent="0.25">
      <c r="A71" s="13" t="s">
        <v>1153</v>
      </c>
      <c r="B71" s="13">
        <v>1616</v>
      </c>
      <c r="C71" s="14" t="str">
        <f>+VLOOKUP(B71,[1]LISTE!$A$1:$D$431,4,FALSE)</f>
        <v>MOUSSA FETHI</v>
      </c>
      <c r="D71" s="15" t="s">
        <v>251</v>
      </c>
      <c r="E71" s="15">
        <v>45756</v>
      </c>
      <c r="F71" s="14" t="s">
        <v>18</v>
      </c>
      <c r="G71" s="16">
        <v>80</v>
      </c>
    </row>
    <row r="72" spans="1:7" x14ac:dyDescent="0.25">
      <c r="A72" s="13" t="s">
        <v>1153</v>
      </c>
      <c r="B72" s="13">
        <v>1616</v>
      </c>
      <c r="C72" s="14" t="str">
        <f>+VLOOKUP(B72,[1]LISTE!$A$1:$D$431,4,FALSE)</f>
        <v>MOUSSA FETHI</v>
      </c>
      <c r="D72" s="15" t="s">
        <v>251</v>
      </c>
      <c r="E72" s="15">
        <v>45756</v>
      </c>
      <c r="F72" s="14" t="s">
        <v>20</v>
      </c>
      <c r="G72" s="16">
        <v>114.459</v>
      </c>
    </row>
    <row r="73" spans="1:7" x14ac:dyDescent="0.25">
      <c r="A73" s="13" t="s">
        <v>1153</v>
      </c>
      <c r="B73" s="13">
        <v>1616</v>
      </c>
      <c r="C73" s="14" t="str">
        <f>+VLOOKUP(B73,[1]LISTE!$A$1:$D$431,4,FALSE)</f>
        <v>MOUSSA FETHI</v>
      </c>
      <c r="D73" s="15" t="s">
        <v>251</v>
      </c>
      <c r="E73" s="15">
        <v>45756</v>
      </c>
      <c r="F73" s="14" t="s">
        <v>525</v>
      </c>
      <c r="G73" s="16">
        <v>100</v>
      </c>
    </row>
    <row r="74" spans="1:7" x14ac:dyDescent="0.25">
      <c r="A74" s="13" t="s">
        <v>1185</v>
      </c>
      <c r="B74" s="13">
        <v>1619</v>
      </c>
      <c r="C74" s="14" t="str">
        <f>+VLOOKUP(B74,[1]LISTE!$A$1:$D$431,4,FALSE)</f>
        <v>CHTIOUI FETHI</v>
      </c>
      <c r="D74" s="14" t="s">
        <v>40</v>
      </c>
      <c r="E74" s="15">
        <v>45759</v>
      </c>
      <c r="F74" s="14" t="s">
        <v>23</v>
      </c>
      <c r="G74" s="16">
        <v>1.5</v>
      </c>
    </row>
    <row r="75" spans="1:7" x14ac:dyDescent="0.25">
      <c r="A75" s="13" t="s">
        <v>1185</v>
      </c>
      <c r="B75" s="13">
        <v>1619</v>
      </c>
      <c r="C75" s="14" t="str">
        <f>+VLOOKUP(B75,[1]LISTE!$A$1:$D$431,4,FALSE)</f>
        <v>CHTIOUI FETHI</v>
      </c>
      <c r="D75" s="14" t="s">
        <v>40</v>
      </c>
      <c r="E75" s="15">
        <v>45759</v>
      </c>
      <c r="F75" s="14" t="s">
        <v>20</v>
      </c>
      <c r="G75" s="16">
        <v>33.435000000000002</v>
      </c>
    </row>
    <row r="76" spans="1:7" x14ac:dyDescent="0.25">
      <c r="A76" s="13" t="s">
        <v>1033</v>
      </c>
      <c r="B76" s="13">
        <v>1651</v>
      </c>
      <c r="C76" s="14" t="str">
        <f>+VLOOKUP(B76,[1]LISTE!$A$1:$D$431,4,FALSE)</f>
        <v>BEL HADJ MOHAMED</v>
      </c>
      <c r="D76" s="15" t="s">
        <v>486</v>
      </c>
      <c r="E76" s="15">
        <v>45741</v>
      </c>
      <c r="F76" s="14" t="s">
        <v>23</v>
      </c>
      <c r="G76" s="16">
        <v>45</v>
      </c>
    </row>
    <row r="77" spans="1:7" x14ac:dyDescent="0.25">
      <c r="A77" s="13" t="s">
        <v>1033</v>
      </c>
      <c r="B77" s="13">
        <v>1651</v>
      </c>
      <c r="C77" s="14" t="str">
        <f>+VLOOKUP(B77,[1]LISTE!$A$1:$D$431,4,FALSE)</f>
        <v>BEL HADJ MOHAMED</v>
      </c>
      <c r="D77" s="15" t="s">
        <v>486</v>
      </c>
      <c r="E77" s="15">
        <v>45741</v>
      </c>
      <c r="F77" s="14" t="s">
        <v>20</v>
      </c>
      <c r="G77" s="16">
        <v>62.185000000000002</v>
      </c>
    </row>
    <row r="78" spans="1:7" x14ac:dyDescent="0.25">
      <c r="A78" s="13" t="s">
        <v>1180</v>
      </c>
      <c r="B78" s="13">
        <v>1652</v>
      </c>
      <c r="C78" s="14" t="str">
        <f>+VLOOKUP(B78,[1]LISTE!$A$1:$D$431,4,FALSE)</f>
        <v>BEN ABDALLAH KHELIL</v>
      </c>
      <c r="D78" s="14" t="s">
        <v>176</v>
      </c>
      <c r="E78" s="15">
        <v>45750</v>
      </c>
      <c r="F78" s="14" t="s">
        <v>18</v>
      </c>
      <c r="G78" s="16">
        <v>70</v>
      </c>
    </row>
    <row r="79" spans="1:7" x14ac:dyDescent="0.25">
      <c r="A79" s="13" t="s">
        <v>1180</v>
      </c>
      <c r="B79" s="13">
        <v>1652</v>
      </c>
      <c r="C79" s="14" t="str">
        <f>+VLOOKUP(B79,[1]LISTE!$A$1:$D$431,4,FALSE)</f>
        <v>BEN ABDALLAH KHELIL</v>
      </c>
      <c r="D79" s="14" t="s">
        <v>176</v>
      </c>
      <c r="E79" s="15">
        <v>45751</v>
      </c>
      <c r="F79" s="14" t="s">
        <v>20</v>
      </c>
      <c r="G79" s="16">
        <v>33.201999999999998</v>
      </c>
    </row>
    <row r="80" spans="1:7" x14ac:dyDescent="0.25">
      <c r="A80" s="13" t="s">
        <v>1180</v>
      </c>
      <c r="B80" s="13">
        <v>1652</v>
      </c>
      <c r="C80" s="14" t="str">
        <f>+VLOOKUP(B80,[1]LISTE!$A$1:$D$431,4,FALSE)</f>
        <v>BEN ABDALLAH KHELIL</v>
      </c>
      <c r="D80" s="14" t="s">
        <v>176</v>
      </c>
      <c r="E80" s="15">
        <v>45751</v>
      </c>
      <c r="F80" s="14" t="s">
        <v>19</v>
      </c>
      <c r="G80" s="16">
        <v>6.2919999999999998</v>
      </c>
    </row>
    <row r="81" spans="1:7" x14ac:dyDescent="0.25">
      <c r="A81" s="13" t="s">
        <v>1053</v>
      </c>
      <c r="B81" s="13">
        <v>1664</v>
      </c>
      <c r="C81" s="14" t="str">
        <f>+VLOOKUP(B81,[1]LISTE!$A$1:$D$431,4,FALSE)</f>
        <v>BEN SAOUD SOFIANE</v>
      </c>
      <c r="D81" s="15" t="s">
        <v>212</v>
      </c>
      <c r="E81" s="15">
        <v>45742</v>
      </c>
      <c r="F81" s="14" t="s">
        <v>23</v>
      </c>
      <c r="G81" s="16">
        <v>35</v>
      </c>
    </row>
    <row r="82" spans="1:7" x14ac:dyDescent="0.25">
      <c r="A82" s="13" t="s">
        <v>1053</v>
      </c>
      <c r="B82" s="13">
        <v>1664</v>
      </c>
      <c r="C82" s="14" t="str">
        <f>+VLOOKUP(B82,[1]LISTE!$A$1:$D$431,4,FALSE)</f>
        <v>BEN SAOUD SOFIANE</v>
      </c>
      <c r="D82" s="15" t="s">
        <v>212</v>
      </c>
      <c r="E82" s="15">
        <v>45742</v>
      </c>
      <c r="F82" s="14" t="s">
        <v>20</v>
      </c>
      <c r="G82" s="16">
        <v>37.981999999999999</v>
      </c>
    </row>
    <row r="83" spans="1:7" x14ac:dyDescent="0.25">
      <c r="A83" s="13" t="s">
        <v>1090</v>
      </c>
      <c r="B83" s="13">
        <v>1664</v>
      </c>
      <c r="C83" s="14" t="str">
        <f>+VLOOKUP(B83,[1]LISTE!$A$1:$D$431,4,FALSE)</f>
        <v>BEN SAOUD SOFIANE</v>
      </c>
      <c r="D83" s="15" t="s">
        <v>37</v>
      </c>
      <c r="E83" s="15">
        <v>45750</v>
      </c>
      <c r="F83" s="14" t="s">
        <v>18</v>
      </c>
      <c r="G83" s="16">
        <v>70</v>
      </c>
    </row>
    <row r="84" spans="1:7" x14ac:dyDescent="0.25">
      <c r="A84" s="13" t="s">
        <v>1090</v>
      </c>
      <c r="B84" s="13">
        <v>1664</v>
      </c>
      <c r="C84" s="14" t="str">
        <f>+VLOOKUP(B84,[1]LISTE!$A$1:$D$431,4,FALSE)</f>
        <v>BEN SAOUD SOFIANE</v>
      </c>
      <c r="D84" s="14" t="s">
        <v>37</v>
      </c>
      <c r="E84" s="15">
        <v>45752</v>
      </c>
      <c r="F84" s="14" t="s">
        <v>20</v>
      </c>
      <c r="G84" s="16">
        <v>6.6849999999999996</v>
      </c>
    </row>
    <row r="85" spans="1:7" x14ac:dyDescent="0.25">
      <c r="A85" s="13" t="s">
        <v>1091</v>
      </c>
      <c r="B85" s="13">
        <v>1664</v>
      </c>
      <c r="C85" s="14" t="str">
        <f>+VLOOKUP(B85,[1]LISTE!$A$1:$D$431,4,FALSE)</f>
        <v>BEN SAOUD SOFIANE</v>
      </c>
      <c r="D85" s="14" t="s">
        <v>31</v>
      </c>
      <c r="E85" s="15">
        <v>45752</v>
      </c>
      <c r="F85" s="14" t="s">
        <v>23</v>
      </c>
      <c r="G85" s="16">
        <v>35</v>
      </c>
    </row>
    <row r="86" spans="1:7" x14ac:dyDescent="0.25">
      <c r="A86" s="13" t="s">
        <v>1091</v>
      </c>
      <c r="B86" s="13">
        <v>1664</v>
      </c>
      <c r="C86" s="14" t="str">
        <f>+VLOOKUP(B86,[1]LISTE!$A$1:$D$431,4,FALSE)</f>
        <v>BEN SAOUD SOFIANE</v>
      </c>
      <c r="D86" s="14" t="s">
        <v>31</v>
      </c>
      <c r="E86" s="15">
        <v>45752</v>
      </c>
      <c r="F86" s="14" t="s">
        <v>20</v>
      </c>
      <c r="G86" s="16">
        <v>65.477000000000004</v>
      </c>
    </row>
    <row r="87" spans="1:7" x14ac:dyDescent="0.25">
      <c r="A87" s="13" t="s">
        <v>1148</v>
      </c>
      <c r="B87" s="13">
        <v>1664</v>
      </c>
      <c r="C87" s="14" t="str">
        <f>+VLOOKUP(B87,[1]LISTE!$A$1:$D$431,4,FALSE)</f>
        <v>BEN SAOUD SOFIANE</v>
      </c>
      <c r="D87" s="15" t="s">
        <v>22</v>
      </c>
      <c r="E87" s="15">
        <v>45751</v>
      </c>
      <c r="F87" s="14" t="s">
        <v>23</v>
      </c>
      <c r="G87" s="16">
        <v>35</v>
      </c>
    </row>
    <row r="88" spans="1:7" x14ac:dyDescent="0.25">
      <c r="A88" s="13" t="s">
        <v>1148</v>
      </c>
      <c r="B88" s="13">
        <v>1664</v>
      </c>
      <c r="C88" s="14" t="str">
        <f>+VLOOKUP(B88,[1]LISTE!$A$1:$D$431,4,FALSE)</f>
        <v>BEN SAOUD SOFIANE</v>
      </c>
      <c r="D88" s="15" t="s">
        <v>22</v>
      </c>
      <c r="E88" s="15">
        <v>45752</v>
      </c>
      <c r="F88" s="14" t="s">
        <v>20</v>
      </c>
      <c r="G88" s="16">
        <v>45.555999999999997</v>
      </c>
    </row>
    <row r="89" spans="1:7" x14ac:dyDescent="0.25">
      <c r="A89" s="13" t="s">
        <v>1038</v>
      </c>
      <c r="B89" s="13">
        <v>1666</v>
      </c>
      <c r="C89" s="14" t="str">
        <f>+VLOOKUP(B89,[1]LISTE!$A$1:$D$431,4,FALSE)</f>
        <v>BOUZIR SAHBI</v>
      </c>
      <c r="D89" s="14" t="s">
        <v>1039</v>
      </c>
      <c r="E89" s="15">
        <v>45692</v>
      </c>
      <c r="F89" s="14" t="s">
        <v>18</v>
      </c>
      <c r="G89" s="16">
        <v>70</v>
      </c>
    </row>
    <row r="90" spans="1:7" x14ac:dyDescent="0.25">
      <c r="A90" s="13" t="s">
        <v>1038</v>
      </c>
      <c r="B90" s="13">
        <v>1666</v>
      </c>
      <c r="C90" s="14" t="str">
        <f>+VLOOKUP(B90,[1]LISTE!$A$1:$D$431,4,FALSE)</f>
        <v>BOUZIR SAHBI</v>
      </c>
      <c r="D90" s="14" t="s">
        <v>1039</v>
      </c>
      <c r="E90" s="15">
        <v>45692</v>
      </c>
      <c r="F90" s="14" t="s">
        <v>20</v>
      </c>
      <c r="G90" s="16">
        <v>1.82</v>
      </c>
    </row>
    <row r="91" spans="1:7" x14ac:dyDescent="0.25">
      <c r="A91" s="13" t="s">
        <v>1038</v>
      </c>
      <c r="B91" s="13">
        <v>1666</v>
      </c>
      <c r="C91" s="14" t="str">
        <f>+VLOOKUP(B91,[1]LISTE!$A$1:$D$431,4,FALSE)</f>
        <v>BOUZIR SAHBI</v>
      </c>
      <c r="D91" s="14" t="s">
        <v>1039</v>
      </c>
      <c r="E91" s="15">
        <v>45734</v>
      </c>
      <c r="F91" s="14" t="s">
        <v>69</v>
      </c>
      <c r="G91" s="16">
        <v>391</v>
      </c>
    </row>
    <row r="92" spans="1:7" x14ac:dyDescent="0.25">
      <c r="A92" s="13" t="s">
        <v>1084</v>
      </c>
      <c r="B92" s="13">
        <v>1668</v>
      </c>
      <c r="C92" s="14" t="str">
        <f>+VLOOKUP(B92,[1]LISTE!$A$1:$D$431,4,FALSE)</f>
        <v>BOUGADDOUHA MOURAD</v>
      </c>
      <c r="D92" s="14" t="s">
        <v>1085</v>
      </c>
      <c r="E92" s="15">
        <v>45742</v>
      </c>
      <c r="F92" s="14" t="s">
        <v>20</v>
      </c>
      <c r="G92" s="16">
        <v>53.493000000000002</v>
      </c>
    </row>
    <row r="93" spans="1:7" x14ac:dyDescent="0.25">
      <c r="A93" s="13" t="s">
        <v>1138</v>
      </c>
      <c r="B93" s="13">
        <v>1671</v>
      </c>
      <c r="C93" s="14" t="str">
        <f>+VLOOKUP(B93,[1]LISTE!$A$1:$D$431,4,FALSE)</f>
        <v>EL BACH ADEL</v>
      </c>
      <c r="D93" s="14" t="s">
        <v>22</v>
      </c>
      <c r="E93" s="15">
        <v>45741</v>
      </c>
      <c r="F93" s="14" t="s">
        <v>23</v>
      </c>
      <c r="G93" s="16">
        <v>40</v>
      </c>
    </row>
    <row r="94" spans="1:7" x14ac:dyDescent="0.25">
      <c r="A94" s="13" t="s">
        <v>1138</v>
      </c>
      <c r="B94" s="13">
        <v>1671</v>
      </c>
      <c r="C94" s="14" t="str">
        <f>+VLOOKUP(B94,[1]LISTE!$A$1:$D$431,4,FALSE)</f>
        <v>EL BACH ADEL</v>
      </c>
      <c r="D94" s="14" t="s">
        <v>22</v>
      </c>
      <c r="E94" s="15">
        <v>45741</v>
      </c>
      <c r="F94" s="14" t="s">
        <v>20</v>
      </c>
      <c r="G94" s="16">
        <v>79.204999999999998</v>
      </c>
    </row>
    <row r="95" spans="1:7" x14ac:dyDescent="0.25">
      <c r="A95" s="13" t="s">
        <v>1139</v>
      </c>
      <c r="B95" s="13">
        <v>1671</v>
      </c>
      <c r="C95" s="14" t="str">
        <f>+VLOOKUP(B95,[1]LISTE!$A$1:$D$431,4,FALSE)</f>
        <v>EL BACH ADEL</v>
      </c>
      <c r="D95" s="14" t="s">
        <v>687</v>
      </c>
      <c r="E95" s="15">
        <v>45743</v>
      </c>
      <c r="F95" s="14" t="s">
        <v>23</v>
      </c>
      <c r="G95" s="16">
        <v>40</v>
      </c>
    </row>
    <row r="96" spans="1:7" x14ac:dyDescent="0.25">
      <c r="A96" s="13" t="s">
        <v>1139</v>
      </c>
      <c r="B96" s="13">
        <v>1671</v>
      </c>
      <c r="C96" s="14" t="str">
        <f>+VLOOKUP(B96,[1]LISTE!$A$1:$D$431,4,FALSE)</f>
        <v>EL BACH ADEL</v>
      </c>
      <c r="D96" s="15" t="s">
        <v>687</v>
      </c>
      <c r="E96" s="15">
        <v>45743</v>
      </c>
      <c r="F96" s="14" t="s">
        <v>20</v>
      </c>
      <c r="G96" s="16">
        <v>78.584999999999994</v>
      </c>
    </row>
    <row r="97" spans="1:7" x14ac:dyDescent="0.25">
      <c r="A97" s="13" t="s">
        <v>1014</v>
      </c>
      <c r="B97" s="13">
        <v>1677</v>
      </c>
      <c r="C97" s="14" t="str">
        <f>+VLOOKUP(B97,[1]LISTE!$A$1:$D$431,4,FALSE)</f>
        <v>HADJ AMMAR BRAHIM</v>
      </c>
      <c r="D97" s="14" t="s">
        <v>22</v>
      </c>
      <c r="E97" s="15">
        <v>45740</v>
      </c>
      <c r="F97" s="14" t="s">
        <v>20</v>
      </c>
      <c r="G97" s="16">
        <v>26.22</v>
      </c>
    </row>
    <row r="98" spans="1:7" x14ac:dyDescent="0.25">
      <c r="A98" s="13" t="s">
        <v>1015</v>
      </c>
      <c r="B98" s="13">
        <v>1677</v>
      </c>
      <c r="C98" s="14" t="str">
        <f>+VLOOKUP(B98,[1]LISTE!$A$1:$D$431,4,FALSE)</f>
        <v>HADJ AMMAR BRAHIM</v>
      </c>
      <c r="D98" s="15" t="s">
        <v>22</v>
      </c>
      <c r="E98" s="15">
        <v>45724</v>
      </c>
      <c r="F98" s="14" t="s">
        <v>23</v>
      </c>
      <c r="G98" s="16">
        <v>1.5</v>
      </c>
    </row>
    <row r="99" spans="1:7" x14ac:dyDescent="0.25">
      <c r="A99" s="13" t="s">
        <v>1015</v>
      </c>
      <c r="B99" s="13">
        <v>1677</v>
      </c>
      <c r="C99" s="14" t="str">
        <f>+VLOOKUP(B99,[1]LISTE!$A$1:$D$431,4,FALSE)</f>
        <v>HADJ AMMAR BRAHIM</v>
      </c>
      <c r="D99" s="15" t="s">
        <v>22</v>
      </c>
      <c r="E99" s="15">
        <v>45724</v>
      </c>
      <c r="F99" s="14" t="s">
        <v>20</v>
      </c>
      <c r="G99" s="16">
        <v>32.006999999999998</v>
      </c>
    </row>
    <row r="100" spans="1:7" x14ac:dyDescent="0.25">
      <c r="A100" s="13" t="s">
        <v>1049</v>
      </c>
      <c r="B100" s="13">
        <v>1683</v>
      </c>
      <c r="C100" s="14" t="str">
        <f>+VLOOKUP(B100,[1]LISTE!$A$1:$D$431,4,FALSE)</f>
        <v>HEDHILI MOHAMED</v>
      </c>
      <c r="D100" s="15" t="s">
        <v>1020</v>
      </c>
      <c r="E100" s="15">
        <v>45733</v>
      </c>
      <c r="F100" s="14" t="s">
        <v>24</v>
      </c>
      <c r="G100" s="16">
        <v>1370</v>
      </c>
    </row>
    <row r="101" spans="1:7" x14ac:dyDescent="0.25">
      <c r="A101" s="13" t="s">
        <v>1082</v>
      </c>
      <c r="B101" s="13">
        <v>1687</v>
      </c>
      <c r="C101" s="14" t="str">
        <f>+VLOOKUP(B101,[1]LISTE!$A$1:$D$431,4,FALSE)</f>
        <v>LACHHAB SAHBI</v>
      </c>
      <c r="D101" s="15" t="s">
        <v>26</v>
      </c>
      <c r="E101" s="15">
        <v>45750</v>
      </c>
      <c r="F101" s="14" t="s">
        <v>23</v>
      </c>
      <c r="G101" s="16">
        <v>3</v>
      </c>
    </row>
    <row r="102" spans="1:7" x14ac:dyDescent="0.25">
      <c r="A102" s="13" t="s">
        <v>1082</v>
      </c>
      <c r="B102" s="13">
        <v>1687</v>
      </c>
      <c r="C102" s="14" t="str">
        <f>+VLOOKUP(B102,[1]LISTE!$A$1:$D$431,4,FALSE)</f>
        <v>LACHHAB SAHBI</v>
      </c>
      <c r="D102" s="15" t="s">
        <v>26</v>
      </c>
      <c r="E102" s="15">
        <v>45750</v>
      </c>
      <c r="F102" s="14" t="s">
        <v>20</v>
      </c>
      <c r="G102" s="16">
        <v>31.465</v>
      </c>
    </row>
    <row r="103" spans="1:7" x14ac:dyDescent="0.25">
      <c r="A103" s="13" t="s">
        <v>1083</v>
      </c>
      <c r="B103" s="13">
        <v>1687</v>
      </c>
      <c r="C103" s="14" t="str">
        <f>+VLOOKUP(B103,[1]LISTE!$A$1:$D$431,4,FALSE)</f>
        <v>LACHHAB SAHBI</v>
      </c>
      <c r="D103" s="14" t="s">
        <v>125</v>
      </c>
      <c r="E103" s="15">
        <v>45753</v>
      </c>
      <c r="F103" s="14" t="s">
        <v>23</v>
      </c>
      <c r="G103" s="16">
        <v>3</v>
      </c>
    </row>
    <row r="104" spans="1:7" x14ac:dyDescent="0.25">
      <c r="A104" s="13" t="s">
        <v>1083</v>
      </c>
      <c r="B104" s="13">
        <v>1687</v>
      </c>
      <c r="C104" s="14" t="str">
        <f>+VLOOKUP(B104,[1]LISTE!$A$1:$D$431,4,FALSE)</f>
        <v>LACHHAB SAHBI</v>
      </c>
      <c r="D104" s="14" t="s">
        <v>125</v>
      </c>
      <c r="E104" s="15">
        <v>45753</v>
      </c>
      <c r="F104" s="14" t="s">
        <v>20</v>
      </c>
      <c r="G104" s="16">
        <v>34.854999999999997</v>
      </c>
    </row>
    <row r="105" spans="1:7" x14ac:dyDescent="0.25">
      <c r="A105" s="13" t="s">
        <v>1061</v>
      </c>
      <c r="B105" s="13">
        <v>1689</v>
      </c>
      <c r="C105" s="14" t="str">
        <f>+VLOOKUP(B105,[1]LISTE!$A$1:$D$431,4,FALSE)</f>
        <v>GRAA SKANDER</v>
      </c>
      <c r="D105" s="15" t="s">
        <v>622</v>
      </c>
      <c r="E105" s="15">
        <v>45741</v>
      </c>
      <c r="F105" s="14" t="s">
        <v>23</v>
      </c>
      <c r="G105" s="16">
        <v>45</v>
      </c>
    </row>
    <row r="106" spans="1:7" x14ac:dyDescent="0.25">
      <c r="A106" s="13" t="s">
        <v>1061</v>
      </c>
      <c r="B106" s="13">
        <v>1689</v>
      </c>
      <c r="C106" s="14" t="str">
        <f>+VLOOKUP(B106,[1]LISTE!$A$1:$D$431,4,FALSE)</f>
        <v>GRAA SKANDER</v>
      </c>
      <c r="D106" s="15" t="s">
        <v>622</v>
      </c>
      <c r="E106" s="15">
        <v>45741</v>
      </c>
      <c r="F106" s="14" t="s">
        <v>20</v>
      </c>
      <c r="G106" s="16">
        <v>12.365</v>
      </c>
    </row>
    <row r="107" spans="1:7" x14ac:dyDescent="0.25">
      <c r="A107" s="13" t="s">
        <v>1062</v>
      </c>
      <c r="B107" s="13">
        <v>1689</v>
      </c>
      <c r="C107" s="14" t="str">
        <f>+VLOOKUP(B107,[1]LISTE!$A$1:$D$431,4,FALSE)</f>
        <v>GRAA SKANDER</v>
      </c>
      <c r="D107" s="14" t="s">
        <v>1063</v>
      </c>
      <c r="E107" s="15">
        <v>45722</v>
      </c>
      <c r="F107" s="14" t="s">
        <v>23</v>
      </c>
      <c r="G107" s="16">
        <v>45</v>
      </c>
    </row>
    <row r="108" spans="1:7" x14ac:dyDescent="0.25">
      <c r="A108" s="13" t="s">
        <v>1062</v>
      </c>
      <c r="B108" s="13">
        <v>1689</v>
      </c>
      <c r="C108" s="14" t="str">
        <f>+VLOOKUP(B108,[1]LISTE!$A$1:$D$431,4,FALSE)</f>
        <v>GRAA SKANDER</v>
      </c>
      <c r="D108" s="15" t="s">
        <v>1063</v>
      </c>
      <c r="E108" s="15">
        <v>45722</v>
      </c>
      <c r="F108" s="14" t="s">
        <v>20</v>
      </c>
      <c r="G108" s="16">
        <v>19.475000000000001</v>
      </c>
    </row>
    <row r="109" spans="1:7" x14ac:dyDescent="0.25">
      <c r="A109" s="13" t="s">
        <v>1172</v>
      </c>
      <c r="B109" s="13">
        <v>1702</v>
      </c>
      <c r="C109" s="14" t="str">
        <f>+VLOOKUP(B109,[1]LISTE!$A$1:$D$431,4,FALSE)</f>
        <v>JAIET WALID</v>
      </c>
      <c r="D109" s="14" t="s">
        <v>298</v>
      </c>
      <c r="E109" s="15">
        <v>45750</v>
      </c>
      <c r="F109" s="14" t="s">
        <v>23</v>
      </c>
      <c r="G109" s="16">
        <v>45</v>
      </c>
    </row>
    <row r="110" spans="1:7" x14ac:dyDescent="0.25">
      <c r="A110" s="13" t="s">
        <v>1172</v>
      </c>
      <c r="B110" s="13">
        <v>1702</v>
      </c>
      <c r="C110" s="14" t="str">
        <f>+VLOOKUP(B110,[1]LISTE!$A$1:$D$431,4,FALSE)</f>
        <v>JAIET WALID</v>
      </c>
      <c r="D110" s="14" t="s">
        <v>298</v>
      </c>
      <c r="E110" s="15">
        <v>45750</v>
      </c>
      <c r="F110" s="14" t="s">
        <v>20</v>
      </c>
      <c r="G110" s="16">
        <v>70.87</v>
      </c>
    </row>
    <row r="111" spans="1:7" x14ac:dyDescent="0.25">
      <c r="A111" s="13" t="s">
        <v>1050</v>
      </c>
      <c r="B111" s="13">
        <v>1704</v>
      </c>
      <c r="C111" s="14" t="str">
        <f>+VLOOKUP(B111,[1]LISTE!$A$1:$D$431,4,FALSE)</f>
        <v>EL GAZZAH RIADH</v>
      </c>
      <c r="D111" s="15" t="s">
        <v>22</v>
      </c>
      <c r="E111" s="15">
        <v>45749</v>
      </c>
      <c r="F111" s="14" t="s">
        <v>21</v>
      </c>
      <c r="G111" s="16">
        <v>22.5</v>
      </c>
    </row>
    <row r="112" spans="1:7" x14ac:dyDescent="0.25">
      <c r="A112" s="13" t="s">
        <v>1050</v>
      </c>
      <c r="B112" s="13">
        <v>1704</v>
      </c>
      <c r="C112" s="14" t="str">
        <f>+VLOOKUP(B112,[1]LISTE!$A$1:$D$431,4,FALSE)</f>
        <v>EL GAZZAH RIADH</v>
      </c>
      <c r="D112" s="14" t="s">
        <v>22</v>
      </c>
      <c r="E112" s="15">
        <v>45742</v>
      </c>
      <c r="F112" s="14" t="s">
        <v>21</v>
      </c>
      <c r="G112" s="16">
        <v>48</v>
      </c>
    </row>
    <row r="113" spans="1:7" x14ac:dyDescent="0.25">
      <c r="A113" s="13" t="s">
        <v>1050</v>
      </c>
      <c r="B113" s="13">
        <v>1704</v>
      </c>
      <c r="C113" s="14" t="str">
        <f>+VLOOKUP(B113,[1]LISTE!$A$1:$D$431,4,FALSE)</f>
        <v>EL GAZZAH RIADH</v>
      </c>
      <c r="D113" s="14" t="s">
        <v>22</v>
      </c>
      <c r="E113" s="15">
        <v>45742</v>
      </c>
      <c r="F113" s="14" t="s">
        <v>21</v>
      </c>
      <c r="G113" s="16">
        <v>48</v>
      </c>
    </row>
    <row r="114" spans="1:7" x14ac:dyDescent="0.25">
      <c r="A114" s="13" t="s">
        <v>1027</v>
      </c>
      <c r="B114" s="13">
        <v>1713</v>
      </c>
      <c r="C114" s="14" t="s">
        <v>939</v>
      </c>
      <c r="D114" s="14" t="s">
        <v>22</v>
      </c>
      <c r="E114" s="15">
        <v>45740</v>
      </c>
      <c r="F114" s="14" t="s">
        <v>18</v>
      </c>
      <c r="G114" s="16">
        <v>60</v>
      </c>
    </row>
    <row r="115" spans="1:7" x14ac:dyDescent="0.25">
      <c r="A115" s="13" t="s">
        <v>1027</v>
      </c>
      <c r="B115" s="13">
        <v>1713</v>
      </c>
      <c r="C115" s="14" t="s">
        <v>939</v>
      </c>
      <c r="D115" s="15" t="s">
        <v>22</v>
      </c>
      <c r="E115" s="15">
        <v>45740</v>
      </c>
      <c r="F115" s="14" t="s">
        <v>20</v>
      </c>
      <c r="G115" s="16">
        <v>57.317999999999998</v>
      </c>
    </row>
    <row r="116" spans="1:7" x14ac:dyDescent="0.25">
      <c r="A116" s="13" t="s">
        <v>1134</v>
      </c>
      <c r="B116" s="13">
        <v>1716</v>
      </c>
      <c r="C116" s="14" t="s">
        <v>219</v>
      </c>
      <c r="D116" s="14" t="s">
        <v>1135</v>
      </c>
      <c r="E116" s="15">
        <v>45752</v>
      </c>
      <c r="F116" s="14" t="s">
        <v>20</v>
      </c>
      <c r="G116" s="16">
        <v>32.655000000000001</v>
      </c>
    </row>
    <row r="117" spans="1:7" x14ac:dyDescent="0.25">
      <c r="A117" s="13" t="s">
        <v>1175</v>
      </c>
      <c r="B117" s="13">
        <v>1716</v>
      </c>
      <c r="C117" s="14" t="s">
        <v>219</v>
      </c>
      <c r="D117" s="14" t="s">
        <v>75</v>
      </c>
      <c r="E117" s="15">
        <v>45756</v>
      </c>
      <c r="F117" s="14" t="s">
        <v>20</v>
      </c>
      <c r="G117" s="16">
        <v>32.555</v>
      </c>
    </row>
    <row r="118" spans="1:7" x14ac:dyDescent="0.25">
      <c r="A118" s="13" t="s">
        <v>1019</v>
      </c>
      <c r="B118" s="13">
        <v>1728</v>
      </c>
      <c r="C118" s="14" t="str">
        <f>+VLOOKUP(B118,[1]LISTE!$A$1:$D$431,4,FALSE)</f>
        <v>SLAMA DHAFER</v>
      </c>
      <c r="D118" s="15" t="s">
        <v>1020</v>
      </c>
      <c r="E118" s="15">
        <v>45731</v>
      </c>
      <c r="F118" s="14" t="s">
        <v>23</v>
      </c>
      <c r="G118" s="16">
        <v>40</v>
      </c>
    </row>
    <row r="119" spans="1:7" x14ac:dyDescent="0.25">
      <c r="A119" s="13" t="s">
        <v>1019</v>
      </c>
      <c r="B119" s="13">
        <v>1728</v>
      </c>
      <c r="C119" s="14" t="str">
        <f>+VLOOKUP(B119,[1]LISTE!$A$1:$D$431,4,FALSE)</f>
        <v>SLAMA DHAFER</v>
      </c>
      <c r="D119" s="14" t="s">
        <v>1020</v>
      </c>
      <c r="E119" s="15">
        <v>45731</v>
      </c>
      <c r="F119" s="14" t="s">
        <v>20</v>
      </c>
      <c r="G119" s="16">
        <v>32.435000000000002</v>
      </c>
    </row>
    <row r="120" spans="1:7" x14ac:dyDescent="0.25">
      <c r="A120" s="13" t="s">
        <v>1081</v>
      </c>
      <c r="B120" s="13">
        <v>1728</v>
      </c>
      <c r="C120" s="14" t="str">
        <f>+VLOOKUP(B120,[1]LISTE!$A$1:$D$431,4,FALSE)</f>
        <v>SLAMA DHAFER</v>
      </c>
      <c r="D120" s="14" t="s">
        <v>22</v>
      </c>
      <c r="E120" s="15">
        <v>45750</v>
      </c>
      <c r="F120" s="14" t="s">
        <v>23</v>
      </c>
      <c r="G120" s="16">
        <v>40</v>
      </c>
    </row>
    <row r="121" spans="1:7" x14ac:dyDescent="0.25">
      <c r="A121" s="13" t="s">
        <v>1081</v>
      </c>
      <c r="B121" s="13">
        <v>1728</v>
      </c>
      <c r="C121" s="14" t="str">
        <f>+VLOOKUP(B121,[1]LISTE!$A$1:$D$431,4,FALSE)</f>
        <v>SLAMA DHAFER</v>
      </c>
      <c r="D121" s="14" t="s">
        <v>22</v>
      </c>
      <c r="E121" s="15">
        <v>45750</v>
      </c>
      <c r="F121" s="14" t="s">
        <v>20</v>
      </c>
      <c r="G121" s="16">
        <v>85.875</v>
      </c>
    </row>
    <row r="122" spans="1:7" x14ac:dyDescent="0.25">
      <c r="A122" s="13" t="s">
        <v>1174</v>
      </c>
      <c r="B122" s="13">
        <v>1740</v>
      </c>
      <c r="C122" s="14" t="str">
        <f>+VLOOKUP(B122,[1]LISTE!$A$1:$D$431,4,FALSE)</f>
        <v>YOUSSEF LOTFI</v>
      </c>
      <c r="D122" s="14" t="s">
        <v>22</v>
      </c>
      <c r="E122" s="15">
        <v>45755</v>
      </c>
      <c r="F122" s="14" t="s">
        <v>18</v>
      </c>
      <c r="G122" s="16">
        <v>70</v>
      </c>
    </row>
    <row r="123" spans="1:7" x14ac:dyDescent="0.25">
      <c r="A123" s="13" t="s">
        <v>1174</v>
      </c>
      <c r="B123" s="13">
        <v>1740</v>
      </c>
      <c r="C123" s="14" t="str">
        <f>+VLOOKUP(B123,[1]LISTE!$A$1:$D$431,4,FALSE)</f>
        <v>YOUSSEF LOTFI</v>
      </c>
      <c r="D123" s="14" t="s">
        <v>22</v>
      </c>
      <c r="E123" s="15">
        <v>45755</v>
      </c>
      <c r="F123" s="14" t="s">
        <v>20</v>
      </c>
      <c r="G123" s="16">
        <v>3.11</v>
      </c>
    </row>
    <row r="124" spans="1:7" x14ac:dyDescent="0.25">
      <c r="A124" s="13" t="s">
        <v>1029</v>
      </c>
      <c r="B124" s="13">
        <v>1741</v>
      </c>
      <c r="C124" s="14" t="str">
        <f>+VLOOKUP(B124,[1]LISTE!$A$1:$D$431,4,FALSE)</f>
        <v>HACHICHA ZIED</v>
      </c>
      <c r="D124" s="14" t="s">
        <v>325</v>
      </c>
      <c r="E124" s="15">
        <v>45741</v>
      </c>
      <c r="F124" s="14" t="s">
        <v>363</v>
      </c>
      <c r="G124" s="16">
        <v>50</v>
      </c>
    </row>
    <row r="125" spans="1:7" x14ac:dyDescent="0.25">
      <c r="A125" s="13" t="s">
        <v>1029</v>
      </c>
      <c r="B125" s="13">
        <v>1741</v>
      </c>
      <c r="C125" s="14" t="str">
        <f>+VLOOKUP(B125,[1]LISTE!$A$1:$D$431,4,FALSE)</f>
        <v>HACHICHA ZIED</v>
      </c>
      <c r="D125" s="15" t="s">
        <v>325</v>
      </c>
      <c r="E125" s="15">
        <v>45741</v>
      </c>
      <c r="F125" s="14" t="s">
        <v>363</v>
      </c>
      <c r="G125" s="16">
        <v>160</v>
      </c>
    </row>
    <row r="126" spans="1:7" x14ac:dyDescent="0.25">
      <c r="A126" s="13" t="s">
        <v>1029</v>
      </c>
      <c r="B126" s="13">
        <v>1741</v>
      </c>
      <c r="C126" s="14" t="str">
        <f>+VLOOKUP(B126,[1]LISTE!$A$1:$D$431,4,FALSE)</f>
        <v>HACHICHA ZIED</v>
      </c>
      <c r="D126" s="14" t="s">
        <v>325</v>
      </c>
      <c r="E126" s="15">
        <v>45741</v>
      </c>
      <c r="F126" s="14" t="s">
        <v>364</v>
      </c>
      <c r="G126" s="16">
        <v>201.78800000000001</v>
      </c>
    </row>
    <row r="127" spans="1:7" x14ac:dyDescent="0.25">
      <c r="A127" s="13" t="s">
        <v>1022</v>
      </c>
      <c r="B127" s="13">
        <v>1755</v>
      </c>
      <c r="C127" s="14" t="str">
        <f>+VLOOKUP(B127,[1]LISTE!$A$1:$D$431,4,FALSE)</f>
        <v>REJEB NEJIB</v>
      </c>
      <c r="D127" s="15" t="s">
        <v>1023</v>
      </c>
      <c r="E127" s="15">
        <v>45728</v>
      </c>
      <c r="F127" s="14" t="s">
        <v>18</v>
      </c>
      <c r="G127" s="16">
        <v>60</v>
      </c>
    </row>
    <row r="128" spans="1:7" x14ac:dyDescent="0.25">
      <c r="A128" s="13" t="s">
        <v>1022</v>
      </c>
      <c r="B128" s="13">
        <v>1755</v>
      </c>
      <c r="C128" s="14" t="str">
        <f>+VLOOKUP(B128,[1]LISTE!$A$1:$D$431,4,FALSE)</f>
        <v>REJEB NEJIB</v>
      </c>
      <c r="D128" s="14" t="s">
        <v>1023</v>
      </c>
      <c r="E128" s="15">
        <v>45728</v>
      </c>
      <c r="F128" s="14" t="s">
        <v>20</v>
      </c>
      <c r="G128" s="16">
        <v>96.704999999999998</v>
      </c>
    </row>
    <row r="129" spans="1:7" x14ac:dyDescent="0.25">
      <c r="A129" s="13" t="s">
        <v>1024</v>
      </c>
      <c r="B129" s="13">
        <v>1755</v>
      </c>
      <c r="C129" s="14" t="str">
        <f>+VLOOKUP(B129,[1]LISTE!$A$1:$D$431,4,FALSE)</f>
        <v>REJEB NEJIB</v>
      </c>
      <c r="D129" s="14" t="s">
        <v>1025</v>
      </c>
      <c r="E129" s="15">
        <v>45728</v>
      </c>
      <c r="F129" s="14" t="s">
        <v>18</v>
      </c>
      <c r="G129" s="16">
        <v>60</v>
      </c>
    </row>
    <row r="130" spans="1:7" x14ac:dyDescent="0.25">
      <c r="A130" s="13" t="s">
        <v>1024</v>
      </c>
      <c r="B130" s="13">
        <v>1755</v>
      </c>
      <c r="C130" s="14" t="str">
        <f>+VLOOKUP(B130,[1]LISTE!$A$1:$D$431,4,FALSE)</f>
        <v>REJEB NEJIB</v>
      </c>
      <c r="D130" s="14" t="s">
        <v>1025</v>
      </c>
      <c r="E130" s="15">
        <v>45728</v>
      </c>
      <c r="F130" s="14" t="s">
        <v>20</v>
      </c>
      <c r="G130" s="16">
        <v>95.015000000000001</v>
      </c>
    </row>
    <row r="131" spans="1:7" x14ac:dyDescent="0.25">
      <c r="A131" s="13" t="s">
        <v>1009</v>
      </c>
      <c r="B131" s="13">
        <v>1757</v>
      </c>
      <c r="C131" s="14" t="str">
        <f>+VLOOKUP(B131,[1]LISTE!$A$1:$D$431,4,FALSE)</f>
        <v>EL HOTMANI BESSEM</v>
      </c>
      <c r="D131" s="15" t="s">
        <v>22</v>
      </c>
      <c r="E131" s="15">
        <v>45722</v>
      </c>
      <c r="F131" s="14" t="s">
        <v>23</v>
      </c>
      <c r="G131" s="16">
        <v>45</v>
      </c>
    </row>
    <row r="132" spans="1:7" x14ac:dyDescent="0.25">
      <c r="A132" s="13" t="s">
        <v>1009</v>
      </c>
      <c r="B132" s="13">
        <v>1757</v>
      </c>
      <c r="C132" s="14" t="str">
        <f>+VLOOKUP(B132,[1]LISTE!$A$1:$D$431,4,FALSE)</f>
        <v>EL HOTMANI BESSEM</v>
      </c>
      <c r="D132" s="14" t="s">
        <v>22</v>
      </c>
      <c r="E132" s="15">
        <v>45722</v>
      </c>
      <c r="F132" s="14" t="s">
        <v>19</v>
      </c>
      <c r="G132" s="16">
        <v>85.064999999999998</v>
      </c>
    </row>
    <row r="133" spans="1:7" x14ac:dyDescent="0.25">
      <c r="A133" s="13" t="s">
        <v>1009</v>
      </c>
      <c r="B133" s="13">
        <v>1757</v>
      </c>
      <c r="C133" s="14" t="str">
        <f>+VLOOKUP(B133,[1]LISTE!$A$1:$D$431,4,FALSE)</f>
        <v>EL HOTMANI BESSEM</v>
      </c>
      <c r="D133" s="14" t="s">
        <v>22</v>
      </c>
      <c r="E133" s="15">
        <v>45724</v>
      </c>
      <c r="F133" s="14" t="s">
        <v>20</v>
      </c>
      <c r="G133" s="16">
        <v>49.243000000000002</v>
      </c>
    </row>
    <row r="134" spans="1:7" x14ac:dyDescent="0.25">
      <c r="A134" s="13" t="s">
        <v>1109</v>
      </c>
      <c r="B134" s="13">
        <v>1764</v>
      </c>
      <c r="C134" s="14" t="str">
        <f>+VLOOKUP(B134,[1]LISTE!$A$1:$D$431,4,FALSE)</f>
        <v>RBEH MAHMOUD</v>
      </c>
      <c r="D134" s="14" t="s">
        <v>54</v>
      </c>
      <c r="E134" s="15">
        <v>45740</v>
      </c>
      <c r="F134" s="14" t="s">
        <v>18</v>
      </c>
      <c r="G134" s="16">
        <v>60</v>
      </c>
    </row>
    <row r="135" spans="1:7" x14ac:dyDescent="0.25">
      <c r="A135" s="13" t="s">
        <v>1110</v>
      </c>
      <c r="B135" s="13">
        <v>1764</v>
      </c>
      <c r="C135" s="14" t="str">
        <f>+VLOOKUP(B135,[1]LISTE!$A$1:$D$431,4,FALSE)</f>
        <v>RBEH MAHMOUD</v>
      </c>
      <c r="D135" s="15" t="s">
        <v>565</v>
      </c>
      <c r="E135" s="15">
        <v>45744</v>
      </c>
      <c r="F135" s="14" t="s">
        <v>18</v>
      </c>
      <c r="G135" s="16">
        <v>80</v>
      </c>
    </row>
    <row r="136" spans="1:7" x14ac:dyDescent="0.25">
      <c r="A136" s="13" t="s">
        <v>1110</v>
      </c>
      <c r="B136" s="13">
        <v>1764</v>
      </c>
      <c r="C136" s="14" t="str">
        <f>+VLOOKUP(B136,[1]LISTE!$A$1:$D$431,4,FALSE)</f>
        <v>RBEH MAHMOUD</v>
      </c>
      <c r="D136" s="15" t="s">
        <v>565</v>
      </c>
      <c r="E136" s="15">
        <v>45745</v>
      </c>
      <c r="F136" s="14" t="s">
        <v>20</v>
      </c>
      <c r="G136" s="16">
        <v>188.55500000000001</v>
      </c>
    </row>
    <row r="137" spans="1:7" x14ac:dyDescent="0.25">
      <c r="A137" s="13" t="s">
        <v>1129</v>
      </c>
      <c r="B137" s="13">
        <v>1764</v>
      </c>
      <c r="C137" s="14" t="str">
        <f>+VLOOKUP(B137,[1]LISTE!$A$1:$D$431,4,FALSE)</f>
        <v>RBEH MAHMOUD</v>
      </c>
      <c r="D137" s="14" t="s">
        <v>54</v>
      </c>
      <c r="E137" s="15">
        <v>45745</v>
      </c>
      <c r="F137" s="14" t="s">
        <v>18</v>
      </c>
      <c r="G137" s="16">
        <v>60</v>
      </c>
    </row>
    <row r="138" spans="1:7" x14ac:dyDescent="0.25">
      <c r="A138" s="13" t="s">
        <v>1173</v>
      </c>
      <c r="B138" s="13">
        <v>1764</v>
      </c>
      <c r="C138" s="14" t="str">
        <f>+VLOOKUP(B138,[1]LISTE!$A$1:$D$431,4,FALSE)</f>
        <v>RBEH MAHMOUD</v>
      </c>
      <c r="D138" s="14" t="s">
        <v>54</v>
      </c>
      <c r="E138" s="15">
        <v>45754</v>
      </c>
      <c r="F138" s="14" t="s">
        <v>18</v>
      </c>
      <c r="G138" s="16">
        <v>60</v>
      </c>
    </row>
    <row r="139" spans="1:7" x14ac:dyDescent="0.25">
      <c r="A139" s="13" t="s">
        <v>1086</v>
      </c>
      <c r="B139" s="13">
        <v>1767</v>
      </c>
      <c r="C139" s="14" t="str">
        <f>+VLOOKUP(B139,[1]LISTE!$A$1:$D$431,4,FALSE)</f>
        <v>B.H.SGHAIER NAOUFEL</v>
      </c>
      <c r="D139" s="14" t="s">
        <v>251</v>
      </c>
      <c r="E139" s="15">
        <v>45752</v>
      </c>
      <c r="F139" s="14" t="s">
        <v>18</v>
      </c>
      <c r="G139" s="16">
        <v>70</v>
      </c>
    </row>
    <row r="140" spans="1:7" x14ac:dyDescent="0.25">
      <c r="A140" s="13" t="s">
        <v>1086</v>
      </c>
      <c r="B140" s="13">
        <v>1767</v>
      </c>
      <c r="C140" s="14" t="str">
        <f>+VLOOKUP(B140,[1]LISTE!$A$1:$D$431,4,FALSE)</f>
        <v>B.H.SGHAIER NAOUFEL</v>
      </c>
      <c r="D140" s="14" t="s">
        <v>251</v>
      </c>
      <c r="E140" s="15">
        <v>45752</v>
      </c>
      <c r="F140" s="14" t="s">
        <v>20</v>
      </c>
      <c r="G140" s="16">
        <v>32.018000000000001</v>
      </c>
    </row>
    <row r="141" spans="1:7" x14ac:dyDescent="0.25">
      <c r="A141" s="13" t="s">
        <v>1040</v>
      </c>
      <c r="B141" s="13">
        <v>1768</v>
      </c>
      <c r="C141" s="14" t="str">
        <f>+VLOOKUP(B141,[1]LISTE!$A$1:$D$431,4,FALSE)</f>
        <v>LADJIMI MAHER</v>
      </c>
      <c r="D141" s="15" t="s">
        <v>455</v>
      </c>
      <c r="E141" s="15">
        <v>45737</v>
      </c>
      <c r="F141" s="14" t="s">
        <v>18</v>
      </c>
      <c r="G141" s="16">
        <v>80</v>
      </c>
    </row>
    <row r="142" spans="1:7" x14ac:dyDescent="0.25">
      <c r="A142" s="13" t="s">
        <v>1040</v>
      </c>
      <c r="B142" s="13">
        <v>1768</v>
      </c>
      <c r="C142" s="14" t="str">
        <f>+VLOOKUP(B142,[1]LISTE!$A$1:$D$431,4,FALSE)</f>
        <v>LADJIMI MAHER</v>
      </c>
      <c r="D142" s="14" t="s">
        <v>455</v>
      </c>
      <c r="E142" s="15">
        <v>45737</v>
      </c>
      <c r="F142" s="14" t="s">
        <v>20</v>
      </c>
      <c r="G142" s="16">
        <v>28.46</v>
      </c>
    </row>
    <row r="143" spans="1:7" x14ac:dyDescent="0.25">
      <c r="A143" s="13" t="s">
        <v>1040</v>
      </c>
      <c r="B143" s="13">
        <v>1768</v>
      </c>
      <c r="C143" s="14" t="str">
        <f>+VLOOKUP(B143,[1]LISTE!$A$1:$D$431,4,FALSE)</f>
        <v>LADJIMI MAHER</v>
      </c>
      <c r="D143" s="14" t="s">
        <v>455</v>
      </c>
      <c r="E143" s="15">
        <v>45737</v>
      </c>
      <c r="F143" s="14" t="s">
        <v>20</v>
      </c>
      <c r="G143" s="16">
        <v>90.08</v>
      </c>
    </row>
    <row r="144" spans="1:7" x14ac:dyDescent="0.25">
      <c r="A144" s="13" t="s">
        <v>1104</v>
      </c>
      <c r="B144" s="13">
        <v>1768</v>
      </c>
      <c r="C144" s="14" t="str">
        <f>+VLOOKUP(B144,[1]LISTE!$A$1:$D$431,4,FALSE)</f>
        <v>LADJIMI MAHER</v>
      </c>
      <c r="D144" s="15" t="s">
        <v>22</v>
      </c>
      <c r="E144" s="15">
        <v>45743</v>
      </c>
      <c r="F144" s="14" t="s">
        <v>18</v>
      </c>
      <c r="G144" s="16">
        <v>30</v>
      </c>
    </row>
    <row r="145" spans="1:7" x14ac:dyDescent="0.25">
      <c r="A145" s="13" t="s">
        <v>1104</v>
      </c>
      <c r="B145" s="13">
        <v>1768</v>
      </c>
      <c r="C145" s="14" t="str">
        <f>+VLOOKUP(B145,[1]LISTE!$A$1:$D$431,4,FALSE)</f>
        <v>LADJIMI MAHER</v>
      </c>
      <c r="D145" s="15" t="s">
        <v>22</v>
      </c>
      <c r="E145" s="15">
        <v>45743</v>
      </c>
      <c r="F145" s="14" t="s">
        <v>20</v>
      </c>
      <c r="G145" s="16">
        <v>56.25</v>
      </c>
    </row>
    <row r="146" spans="1:7" x14ac:dyDescent="0.25">
      <c r="A146" s="13" t="s">
        <v>1189</v>
      </c>
      <c r="B146" s="13">
        <v>1768</v>
      </c>
      <c r="C146" s="14" t="str">
        <f>+VLOOKUP(B146,[1]LISTE!$A$1:$D$431,4,FALSE)</f>
        <v>LADJIMI MAHER</v>
      </c>
      <c r="D146" s="14" t="s">
        <v>206</v>
      </c>
      <c r="E146" s="15">
        <v>45755</v>
      </c>
      <c r="F146" s="14" t="s">
        <v>18</v>
      </c>
      <c r="G146" s="16">
        <v>20</v>
      </c>
    </row>
    <row r="147" spans="1:7" x14ac:dyDescent="0.25">
      <c r="A147" s="13" t="s">
        <v>1189</v>
      </c>
      <c r="B147" s="13">
        <v>1768</v>
      </c>
      <c r="C147" s="14" t="str">
        <f>+VLOOKUP(B147,[1]LISTE!$A$1:$D$431,4,FALSE)</f>
        <v>LADJIMI MAHER</v>
      </c>
      <c r="D147" s="14" t="s">
        <v>206</v>
      </c>
      <c r="E147" s="15">
        <v>45758</v>
      </c>
      <c r="F147" s="14" t="s">
        <v>20</v>
      </c>
      <c r="G147" s="16">
        <v>52.45</v>
      </c>
    </row>
    <row r="148" spans="1:7" x14ac:dyDescent="0.25">
      <c r="A148" s="13" t="s">
        <v>1136</v>
      </c>
      <c r="B148" s="13">
        <v>1773</v>
      </c>
      <c r="C148" s="14" t="str">
        <f>+VLOOKUP(B148,[1]LISTE!$A$1:$D$431,4,FALSE)</f>
        <v>GAIEB SAMI</v>
      </c>
      <c r="D148" s="15" t="s">
        <v>768</v>
      </c>
      <c r="E148" s="15">
        <v>45722</v>
      </c>
      <c r="F148" s="14" t="s">
        <v>18</v>
      </c>
      <c r="G148" s="16">
        <v>60</v>
      </c>
    </row>
    <row r="149" spans="1:7" x14ac:dyDescent="0.25">
      <c r="A149" s="13" t="s">
        <v>1136</v>
      </c>
      <c r="B149" s="13">
        <v>1773</v>
      </c>
      <c r="C149" s="14" t="str">
        <f>+VLOOKUP(B149,[1]LISTE!$A$1:$D$431,4,FALSE)</f>
        <v>GAIEB SAMI</v>
      </c>
      <c r="D149" s="14" t="s">
        <v>768</v>
      </c>
      <c r="E149" s="15">
        <v>45722</v>
      </c>
      <c r="F149" s="14" t="s">
        <v>20</v>
      </c>
      <c r="G149" s="16">
        <v>38.231000000000002</v>
      </c>
    </row>
    <row r="150" spans="1:7" x14ac:dyDescent="0.25">
      <c r="A150" s="13" t="s">
        <v>1136</v>
      </c>
      <c r="B150" s="13">
        <v>1773</v>
      </c>
      <c r="C150" s="14" t="str">
        <f>+VLOOKUP(B150,[1]LISTE!$A$1:$D$431,4,FALSE)</f>
        <v>GAIEB SAMI</v>
      </c>
      <c r="D150" s="15" t="s">
        <v>768</v>
      </c>
      <c r="E150" s="15">
        <v>45731</v>
      </c>
      <c r="F150" s="14" t="s">
        <v>21</v>
      </c>
      <c r="G150" s="16">
        <v>70</v>
      </c>
    </row>
    <row r="151" spans="1:7" x14ac:dyDescent="0.25">
      <c r="A151" s="13" t="s">
        <v>1048</v>
      </c>
      <c r="B151" s="13">
        <v>1781</v>
      </c>
      <c r="C151" s="14" t="str">
        <f>+VLOOKUP(B151,[1]LISTE!$A$1:$D$431,4,FALSE)</f>
        <v>KEMIMECH MOHAMED</v>
      </c>
      <c r="D151" s="14" t="s">
        <v>217</v>
      </c>
      <c r="E151" s="15">
        <v>45721</v>
      </c>
      <c r="F151" s="14" t="s">
        <v>23</v>
      </c>
      <c r="G151" s="16">
        <v>50</v>
      </c>
    </row>
    <row r="152" spans="1:7" x14ac:dyDescent="0.25">
      <c r="A152" s="13" t="s">
        <v>1048</v>
      </c>
      <c r="B152" s="13">
        <v>1781</v>
      </c>
      <c r="C152" s="14" t="str">
        <f>+VLOOKUP(B152,[1]LISTE!$A$1:$D$431,4,FALSE)</f>
        <v>KEMIMECH MOHAMED</v>
      </c>
      <c r="D152" s="15" t="s">
        <v>217</v>
      </c>
      <c r="E152" s="15">
        <v>45721</v>
      </c>
      <c r="F152" s="14" t="s">
        <v>20</v>
      </c>
      <c r="G152" s="16">
        <v>32.390999999999998</v>
      </c>
    </row>
    <row r="153" spans="1:7" x14ac:dyDescent="0.25">
      <c r="A153" s="13" t="s">
        <v>1048</v>
      </c>
      <c r="B153" s="13">
        <v>1781</v>
      </c>
      <c r="C153" s="14" t="str">
        <f>+VLOOKUP(B153,[1]LISTE!$A$1:$D$431,4,FALSE)</f>
        <v>KEMIMECH MOHAMED</v>
      </c>
      <c r="D153" s="15" t="s">
        <v>217</v>
      </c>
      <c r="E153" s="15">
        <v>45735</v>
      </c>
      <c r="F153" s="14" t="s">
        <v>24</v>
      </c>
      <c r="G153" s="16">
        <v>120</v>
      </c>
    </row>
    <row r="154" spans="1:7" x14ac:dyDescent="0.25">
      <c r="A154" s="13" t="s">
        <v>1178</v>
      </c>
      <c r="B154" s="13">
        <v>1781</v>
      </c>
      <c r="C154" s="14" t="str">
        <f>+VLOOKUP(B154,[1]LISTE!$A$1:$D$431,4,FALSE)</f>
        <v>KEMIMECH MOHAMED</v>
      </c>
      <c r="D154" s="14" t="s">
        <v>22</v>
      </c>
      <c r="E154" s="15">
        <v>45750</v>
      </c>
      <c r="F154" s="14" t="s">
        <v>23</v>
      </c>
      <c r="G154" s="16">
        <v>50</v>
      </c>
    </row>
    <row r="155" spans="1:7" x14ac:dyDescent="0.25">
      <c r="A155" s="13" t="s">
        <v>1178</v>
      </c>
      <c r="B155" s="13">
        <v>1781</v>
      </c>
      <c r="C155" s="14" t="str">
        <f>+VLOOKUP(B155,[1]LISTE!$A$1:$D$431,4,FALSE)</f>
        <v>KEMIMECH MOHAMED</v>
      </c>
      <c r="D155" s="14" t="s">
        <v>22</v>
      </c>
      <c r="E155" s="15">
        <v>45750</v>
      </c>
      <c r="F155" s="14" t="s">
        <v>20</v>
      </c>
      <c r="G155" s="16">
        <v>28.091999999999999</v>
      </c>
    </row>
    <row r="156" spans="1:7" x14ac:dyDescent="0.25">
      <c r="A156" s="13" t="s">
        <v>1178</v>
      </c>
      <c r="B156" s="13">
        <v>1781</v>
      </c>
      <c r="C156" s="14" t="str">
        <f>+VLOOKUP(B156,[1]LISTE!$A$1:$D$431,4,FALSE)</f>
        <v>KEMIMECH MOHAMED</v>
      </c>
      <c r="D156" s="14" t="s">
        <v>22</v>
      </c>
      <c r="E156" s="15">
        <v>45752</v>
      </c>
      <c r="F156" s="14" t="s">
        <v>24</v>
      </c>
      <c r="G156" s="16">
        <v>60</v>
      </c>
    </row>
    <row r="157" spans="1:7" x14ac:dyDescent="0.25">
      <c r="A157" s="13" t="s">
        <v>1188</v>
      </c>
      <c r="B157" s="13">
        <v>1781</v>
      </c>
      <c r="C157" s="14" t="str">
        <f>+VLOOKUP(B157,[1]LISTE!$A$1:$D$431,4,FALSE)</f>
        <v>KEMIMECH MOHAMED</v>
      </c>
      <c r="D157" s="14" t="s">
        <v>160</v>
      </c>
      <c r="E157" s="15">
        <v>45754</v>
      </c>
      <c r="F157" s="14" t="s">
        <v>20</v>
      </c>
      <c r="G157" s="16">
        <v>143.04</v>
      </c>
    </row>
    <row r="158" spans="1:7" x14ac:dyDescent="0.25">
      <c r="A158" s="13" t="s">
        <v>1032</v>
      </c>
      <c r="B158" s="13">
        <v>1782</v>
      </c>
      <c r="C158" s="14" t="str">
        <f>+VLOOKUP(B158,[1]LISTE!$A$1:$D$431,4,FALSE)</f>
        <v>IBRAHIM JAMEL</v>
      </c>
      <c r="D158" s="14" t="s">
        <v>860</v>
      </c>
      <c r="E158" s="15">
        <v>45741</v>
      </c>
      <c r="F158" s="14" t="s">
        <v>23</v>
      </c>
      <c r="G158" s="16">
        <v>45</v>
      </c>
    </row>
    <row r="159" spans="1:7" x14ac:dyDescent="0.25">
      <c r="A159" s="13" t="s">
        <v>1032</v>
      </c>
      <c r="B159" s="13">
        <v>1782</v>
      </c>
      <c r="C159" s="14" t="str">
        <f>+VLOOKUP(B159,[1]LISTE!$A$1:$D$431,4,FALSE)</f>
        <v>IBRAHIM JAMEL</v>
      </c>
      <c r="D159" s="15" t="s">
        <v>860</v>
      </c>
      <c r="E159" s="15">
        <v>45741</v>
      </c>
      <c r="F159" s="14" t="s">
        <v>20</v>
      </c>
      <c r="G159" s="16">
        <v>25.35</v>
      </c>
    </row>
    <row r="160" spans="1:7" x14ac:dyDescent="0.25">
      <c r="A160" s="13" t="s">
        <v>1034</v>
      </c>
      <c r="B160" s="13">
        <v>1784</v>
      </c>
      <c r="C160" s="14" t="str">
        <f>+VLOOKUP(B160,[1]LISTE!$A$1:$D$431,4,FALSE)</f>
        <v>LAYOUNI KHALED</v>
      </c>
      <c r="D160" s="14" t="s">
        <v>1035</v>
      </c>
      <c r="E160" s="15">
        <v>45738</v>
      </c>
      <c r="F160" s="14" t="s">
        <v>23</v>
      </c>
      <c r="G160" s="16">
        <v>45</v>
      </c>
    </row>
    <row r="161" spans="1:7" x14ac:dyDescent="0.25">
      <c r="A161" s="13" t="s">
        <v>1034</v>
      </c>
      <c r="B161" s="13">
        <v>1784</v>
      </c>
      <c r="C161" s="14" t="str">
        <f>+VLOOKUP(B161,[1]LISTE!$A$1:$D$431,4,FALSE)</f>
        <v>LAYOUNI KHALED</v>
      </c>
      <c r="D161" s="15" t="s">
        <v>1035</v>
      </c>
      <c r="E161" s="15">
        <v>45738</v>
      </c>
      <c r="F161" s="14" t="s">
        <v>20</v>
      </c>
      <c r="G161" s="16">
        <v>42.6</v>
      </c>
    </row>
    <row r="162" spans="1:7" x14ac:dyDescent="0.25">
      <c r="A162" s="13" t="s">
        <v>1036</v>
      </c>
      <c r="B162" s="13">
        <v>1784</v>
      </c>
      <c r="C162" s="14" t="str">
        <f>+VLOOKUP(B162,[1]LISTE!$A$1:$D$431,4,FALSE)</f>
        <v>LAYOUNI KHALED</v>
      </c>
      <c r="D162" s="14" t="s">
        <v>22</v>
      </c>
      <c r="E162" s="15">
        <v>45736</v>
      </c>
      <c r="F162" s="14" t="s">
        <v>18</v>
      </c>
      <c r="G162" s="16">
        <v>60</v>
      </c>
    </row>
    <row r="163" spans="1:7" x14ac:dyDescent="0.25">
      <c r="A163" s="13" t="s">
        <v>1036</v>
      </c>
      <c r="B163" s="13">
        <v>1784</v>
      </c>
      <c r="C163" s="14" t="str">
        <f>+VLOOKUP(B163,[1]LISTE!$A$1:$D$431,4,FALSE)</f>
        <v>LAYOUNI KHALED</v>
      </c>
      <c r="D163" s="15" t="s">
        <v>22</v>
      </c>
      <c r="E163" s="15">
        <v>45736</v>
      </c>
      <c r="F163" s="14" t="s">
        <v>20</v>
      </c>
      <c r="G163" s="16">
        <v>109.235</v>
      </c>
    </row>
    <row r="164" spans="1:7" x14ac:dyDescent="0.25">
      <c r="A164" s="13" t="s">
        <v>1028</v>
      </c>
      <c r="B164" s="13">
        <v>1795</v>
      </c>
      <c r="C164" s="14" t="str">
        <f>+VLOOKUP(B164,[1]LISTE!$A$1:$D$431,4,FALSE)</f>
        <v>SOUA MOHAMED</v>
      </c>
      <c r="D164" s="14" t="s">
        <v>245</v>
      </c>
      <c r="E164" s="15">
        <v>45743</v>
      </c>
      <c r="F164" s="14" t="s">
        <v>18</v>
      </c>
      <c r="G164" s="16">
        <v>70</v>
      </c>
    </row>
    <row r="165" spans="1:7" x14ac:dyDescent="0.25">
      <c r="A165" s="13" t="s">
        <v>1028</v>
      </c>
      <c r="B165" s="13">
        <v>1795</v>
      </c>
      <c r="C165" s="14" t="str">
        <f>+VLOOKUP(B165,[1]LISTE!$A$1:$D$431,4,FALSE)</f>
        <v>SOUA MOHAMED</v>
      </c>
      <c r="D165" s="15" t="s">
        <v>245</v>
      </c>
      <c r="E165" s="15">
        <v>45743</v>
      </c>
      <c r="F165" s="14" t="s">
        <v>20</v>
      </c>
      <c r="G165" s="16">
        <v>48.195</v>
      </c>
    </row>
    <row r="166" spans="1:7" x14ac:dyDescent="0.25">
      <c r="A166" s="13" t="s">
        <v>1057</v>
      </c>
      <c r="B166" s="13">
        <v>1796</v>
      </c>
      <c r="C166" s="14" t="str">
        <f>+VLOOKUP(B166,[1]LISTE!$A$1:$D$431,4,FALSE)</f>
        <v>BEL HADJ HASSINE IMED</v>
      </c>
      <c r="D166" s="14" t="s">
        <v>22</v>
      </c>
      <c r="E166" s="15">
        <v>45730</v>
      </c>
      <c r="F166" s="14" t="s">
        <v>18</v>
      </c>
      <c r="G166" s="16">
        <v>70</v>
      </c>
    </row>
    <row r="167" spans="1:7" x14ac:dyDescent="0.25">
      <c r="A167" s="13" t="s">
        <v>1057</v>
      </c>
      <c r="B167" s="13">
        <v>1796</v>
      </c>
      <c r="C167" s="14" t="str">
        <f>+VLOOKUP(B167,[1]LISTE!$A$1:$D$431,4,FALSE)</f>
        <v>BEL HADJ HASSINE IMED</v>
      </c>
      <c r="D167" s="14" t="s">
        <v>22</v>
      </c>
      <c r="E167" s="15">
        <v>45749</v>
      </c>
      <c r="F167" s="14" t="s">
        <v>20</v>
      </c>
      <c r="G167" s="16">
        <v>114.07899999999999</v>
      </c>
    </row>
    <row r="168" spans="1:7" x14ac:dyDescent="0.25">
      <c r="A168" s="13" t="s">
        <v>1167</v>
      </c>
      <c r="B168" s="13">
        <v>1801</v>
      </c>
      <c r="C168" s="14" t="str">
        <f>+VLOOKUP(B168,[1]LISTE!$A$1:$D$431,4,FALSE)</f>
        <v>MAHJOUB MOHAMED</v>
      </c>
      <c r="D168" s="14" t="s">
        <v>306</v>
      </c>
      <c r="E168" s="15">
        <v>45754</v>
      </c>
      <c r="F168" s="14" t="s">
        <v>18</v>
      </c>
      <c r="G168" s="16">
        <v>70</v>
      </c>
    </row>
    <row r="169" spans="1:7" x14ac:dyDescent="0.25">
      <c r="A169" s="13" t="s">
        <v>1167</v>
      </c>
      <c r="B169" s="13">
        <v>1801</v>
      </c>
      <c r="C169" s="14" t="str">
        <f>+VLOOKUP(B169,[1]LISTE!$A$1:$D$431,4,FALSE)</f>
        <v>MAHJOUB MOHAMED</v>
      </c>
      <c r="D169" s="14" t="s">
        <v>306</v>
      </c>
      <c r="E169" s="15">
        <v>45754</v>
      </c>
      <c r="F169" s="14" t="s">
        <v>20</v>
      </c>
      <c r="G169" s="16">
        <v>26.899000000000001</v>
      </c>
    </row>
    <row r="170" spans="1:7" x14ac:dyDescent="0.25">
      <c r="A170" s="13" t="s">
        <v>1167</v>
      </c>
      <c r="B170" s="13">
        <v>1801</v>
      </c>
      <c r="C170" s="14" t="str">
        <f>+VLOOKUP(B170,[1]LISTE!$A$1:$D$431,4,FALSE)</f>
        <v>MAHJOUB MOHAMED</v>
      </c>
      <c r="D170" s="14" t="s">
        <v>306</v>
      </c>
      <c r="E170" s="15">
        <v>45754</v>
      </c>
      <c r="F170" s="14" t="s">
        <v>21</v>
      </c>
      <c r="G170" s="16">
        <v>70</v>
      </c>
    </row>
    <row r="171" spans="1:7" x14ac:dyDescent="0.25">
      <c r="A171" s="13" t="s">
        <v>1016</v>
      </c>
      <c r="B171" s="13">
        <v>1803</v>
      </c>
      <c r="C171" s="14" t="str">
        <f>+VLOOKUP(B171,[1]LISTE!$A$1:$D$431,4,FALSE)</f>
        <v>GAM HAMDI</v>
      </c>
      <c r="D171" s="15" t="s">
        <v>184</v>
      </c>
      <c r="E171" s="15">
        <v>45726</v>
      </c>
      <c r="F171" s="14" t="s">
        <v>23</v>
      </c>
      <c r="G171" s="16">
        <v>10</v>
      </c>
    </row>
    <row r="172" spans="1:7" x14ac:dyDescent="0.25">
      <c r="A172" s="13" t="s">
        <v>1016</v>
      </c>
      <c r="B172" s="13">
        <v>1803</v>
      </c>
      <c r="C172" s="14" t="str">
        <f>+VLOOKUP(B172,[1]LISTE!$A$1:$D$431,4,FALSE)</f>
        <v>GAM HAMDI</v>
      </c>
      <c r="D172" s="15" t="s">
        <v>184</v>
      </c>
      <c r="E172" s="15">
        <v>45726</v>
      </c>
      <c r="F172" s="14" t="s">
        <v>20</v>
      </c>
      <c r="G172" s="16">
        <v>13.3</v>
      </c>
    </row>
    <row r="173" spans="1:7" x14ac:dyDescent="0.25">
      <c r="A173" s="13" t="s">
        <v>1017</v>
      </c>
      <c r="B173" s="13">
        <v>1803</v>
      </c>
      <c r="C173" s="14" t="str">
        <f>+VLOOKUP(B173,[1]LISTE!$A$1:$D$431,4,FALSE)</f>
        <v>GAM HAMDI</v>
      </c>
      <c r="D173" s="15" t="s">
        <v>22</v>
      </c>
      <c r="E173" s="15">
        <v>45726</v>
      </c>
      <c r="F173" s="14" t="s">
        <v>23</v>
      </c>
      <c r="G173" s="16">
        <v>20</v>
      </c>
    </row>
    <row r="174" spans="1:7" x14ac:dyDescent="0.25">
      <c r="A174" s="13" t="s">
        <v>1017</v>
      </c>
      <c r="B174" s="13">
        <v>1803</v>
      </c>
      <c r="C174" s="14" t="str">
        <f>+VLOOKUP(B174,[1]LISTE!$A$1:$D$431,4,FALSE)</f>
        <v>GAM HAMDI</v>
      </c>
      <c r="D174" s="14" t="s">
        <v>22</v>
      </c>
      <c r="E174" s="15">
        <v>45726</v>
      </c>
      <c r="F174" s="14" t="s">
        <v>20</v>
      </c>
      <c r="G174" s="16">
        <v>3.11</v>
      </c>
    </row>
    <row r="175" spans="1:7" x14ac:dyDescent="0.25">
      <c r="A175" s="13" t="s">
        <v>1066</v>
      </c>
      <c r="B175" s="13">
        <v>1803</v>
      </c>
      <c r="C175" s="14" t="str">
        <f>+VLOOKUP(B175,[1]LISTE!$A$1:$D$431,4,FALSE)</f>
        <v>GAM HAMDI</v>
      </c>
      <c r="D175" s="15" t="s">
        <v>186</v>
      </c>
      <c r="E175" s="15">
        <v>45737</v>
      </c>
      <c r="F175" s="14" t="s">
        <v>18</v>
      </c>
      <c r="G175" s="16">
        <v>60</v>
      </c>
    </row>
    <row r="176" spans="1:7" x14ac:dyDescent="0.25">
      <c r="A176" s="13" t="s">
        <v>1067</v>
      </c>
      <c r="B176" s="13">
        <v>1803</v>
      </c>
      <c r="C176" s="14" t="str">
        <f>+VLOOKUP(B176,[1]LISTE!$A$1:$D$431,4,FALSE)</f>
        <v>GAM HAMDI</v>
      </c>
      <c r="D176" s="15" t="s">
        <v>22</v>
      </c>
      <c r="E176" s="15">
        <v>45745</v>
      </c>
      <c r="F176" s="14" t="s">
        <v>18</v>
      </c>
      <c r="G176" s="16">
        <v>70</v>
      </c>
    </row>
    <row r="177" spans="1:7" x14ac:dyDescent="0.25">
      <c r="A177" s="13" t="s">
        <v>1067</v>
      </c>
      <c r="B177" s="13">
        <v>1803</v>
      </c>
      <c r="C177" s="14" t="str">
        <f>+VLOOKUP(B177,[1]LISTE!$A$1:$D$431,4,FALSE)</f>
        <v>GAM HAMDI</v>
      </c>
      <c r="D177" s="14" t="s">
        <v>22</v>
      </c>
      <c r="E177" s="15">
        <v>45745</v>
      </c>
      <c r="F177" s="14" t="s">
        <v>20</v>
      </c>
      <c r="G177" s="16">
        <v>31.545000000000002</v>
      </c>
    </row>
    <row r="178" spans="1:7" x14ac:dyDescent="0.25">
      <c r="A178" s="13" t="s">
        <v>1108</v>
      </c>
      <c r="B178" s="13">
        <v>1809</v>
      </c>
      <c r="C178" s="14" t="str">
        <f>+VLOOKUP(B178,[1]LISTE!$A$1:$D$431,4,FALSE)</f>
        <v>JUILI AFIF</v>
      </c>
      <c r="D178" s="15" t="s">
        <v>144</v>
      </c>
      <c r="E178" s="15">
        <v>45745</v>
      </c>
      <c r="F178" s="14" t="s">
        <v>23</v>
      </c>
      <c r="G178" s="16">
        <v>20</v>
      </c>
    </row>
    <row r="179" spans="1:7" x14ac:dyDescent="0.25">
      <c r="A179" s="13" t="s">
        <v>1108</v>
      </c>
      <c r="B179" s="13">
        <v>1809</v>
      </c>
      <c r="C179" s="14" t="str">
        <f>+VLOOKUP(B179,[1]LISTE!$A$1:$D$431,4,FALSE)</f>
        <v>JUILI AFIF</v>
      </c>
      <c r="D179" s="14" t="s">
        <v>144</v>
      </c>
      <c r="E179" s="15">
        <v>45745</v>
      </c>
      <c r="F179" s="14" t="s">
        <v>20</v>
      </c>
      <c r="G179" s="16">
        <v>18.416</v>
      </c>
    </row>
    <row r="180" spans="1:7" x14ac:dyDescent="0.25">
      <c r="A180" s="13" t="s">
        <v>1092</v>
      </c>
      <c r="B180" s="13">
        <v>1813</v>
      </c>
      <c r="C180" s="14" t="str">
        <f>+VLOOKUP(B180,[1]LISTE!$A$1:$D$431,4,FALSE)</f>
        <v>YOUSSEF HICHEM</v>
      </c>
      <c r="D180" s="15" t="s">
        <v>604</v>
      </c>
      <c r="E180" s="15">
        <v>45748</v>
      </c>
      <c r="F180" s="14" t="s">
        <v>23</v>
      </c>
      <c r="G180" s="16">
        <v>45</v>
      </c>
    </row>
    <row r="181" spans="1:7" x14ac:dyDescent="0.25">
      <c r="A181" s="13" t="s">
        <v>1092</v>
      </c>
      <c r="B181" s="13">
        <v>1813</v>
      </c>
      <c r="C181" s="14" t="str">
        <f>+VLOOKUP(B181,[1]LISTE!$A$1:$D$431,4,FALSE)</f>
        <v>YOUSSEF HICHEM</v>
      </c>
      <c r="D181" s="14" t="s">
        <v>604</v>
      </c>
      <c r="E181" s="15">
        <v>45748</v>
      </c>
      <c r="F181" s="14" t="s">
        <v>20</v>
      </c>
      <c r="G181" s="16">
        <v>17.545999999999999</v>
      </c>
    </row>
    <row r="182" spans="1:7" x14ac:dyDescent="0.25">
      <c r="A182" s="13" t="s">
        <v>1103</v>
      </c>
      <c r="B182" s="13">
        <v>1814</v>
      </c>
      <c r="C182" s="14" t="str">
        <f>+VLOOKUP(B182,[1]LISTE!$A$1:$D$431,4,FALSE)</f>
        <v>BEL ARBIA SLAH</v>
      </c>
      <c r="D182" s="14" t="s">
        <v>860</v>
      </c>
      <c r="E182" s="15">
        <v>45733</v>
      </c>
      <c r="F182" s="14" t="s">
        <v>23</v>
      </c>
      <c r="G182" s="16">
        <v>20</v>
      </c>
    </row>
    <row r="183" spans="1:7" x14ac:dyDescent="0.25">
      <c r="A183" s="13" t="s">
        <v>1103</v>
      </c>
      <c r="B183" s="13">
        <v>1814</v>
      </c>
      <c r="C183" s="14" t="str">
        <f>+VLOOKUP(B183,[1]LISTE!$A$1:$D$431,4,FALSE)</f>
        <v>BEL ARBIA SLAH</v>
      </c>
      <c r="D183" s="15" t="s">
        <v>860</v>
      </c>
      <c r="E183" s="15">
        <v>45733</v>
      </c>
      <c r="F183" s="14" t="s">
        <v>20</v>
      </c>
      <c r="G183" s="16">
        <v>6.992</v>
      </c>
    </row>
    <row r="184" spans="1:7" x14ac:dyDescent="0.25">
      <c r="A184" s="13" t="s">
        <v>1154</v>
      </c>
      <c r="B184" s="13">
        <v>1814</v>
      </c>
      <c r="C184" s="14" t="str">
        <f>+VLOOKUP(B184,[1]LISTE!$A$1:$D$431,4,FALSE)</f>
        <v>BEL ARBIA SLAH</v>
      </c>
      <c r="D184" s="15" t="s">
        <v>22</v>
      </c>
      <c r="E184" s="15">
        <v>45752</v>
      </c>
      <c r="F184" s="14" t="s">
        <v>18</v>
      </c>
      <c r="G184" s="16">
        <v>70</v>
      </c>
    </row>
    <row r="185" spans="1:7" x14ac:dyDescent="0.25">
      <c r="A185" s="13" t="s">
        <v>1154</v>
      </c>
      <c r="B185" s="13">
        <v>1814</v>
      </c>
      <c r="C185" s="14" t="str">
        <f>+VLOOKUP(B185,[1]LISTE!$A$1:$D$431,4,FALSE)</f>
        <v>BEL ARBIA SLAH</v>
      </c>
      <c r="D185" s="15" t="s">
        <v>22</v>
      </c>
      <c r="E185" s="15">
        <v>45752</v>
      </c>
      <c r="F185" s="14" t="s">
        <v>19</v>
      </c>
      <c r="G185" s="16">
        <v>17.559999999999999</v>
      </c>
    </row>
    <row r="186" spans="1:7" x14ac:dyDescent="0.25">
      <c r="A186" s="13" t="s">
        <v>1154</v>
      </c>
      <c r="B186" s="13">
        <v>1814</v>
      </c>
      <c r="C186" s="14" t="str">
        <f>+VLOOKUP(B186,[1]LISTE!$A$1:$D$431,4,FALSE)</f>
        <v>BEL ARBIA SLAH</v>
      </c>
      <c r="D186" s="14" t="s">
        <v>22</v>
      </c>
      <c r="E186" s="15">
        <v>45752</v>
      </c>
      <c r="F186" s="14" t="s">
        <v>20</v>
      </c>
      <c r="G186" s="16">
        <v>26.087</v>
      </c>
    </row>
    <row r="187" spans="1:7" x14ac:dyDescent="0.25">
      <c r="A187" s="13" t="s">
        <v>1154</v>
      </c>
      <c r="B187" s="13">
        <v>1814</v>
      </c>
      <c r="C187" s="14" t="str">
        <f>+VLOOKUP(B187,[1]LISTE!$A$1:$D$431,4,FALSE)</f>
        <v>BEL ARBIA SLAH</v>
      </c>
      <c r="D187" s="15" t="s">
        <v>22</v>
      </c>
      <c r="E187" s="15">
        <v>45752</v>
      </c>
      <c r="F187" s="14" t="s">
        <v>21</v>
      </c>
      <c r="G187" s="16">
        <v>22</v>
      </c>
    </row>
    <row r="188" spans="1:7" x14ac:dyDescent="0.25">
      <c r="A188" s="13" t="s">
        <v>1026</v>
      </c>
      <c r="B188" s="13">
        <v>1819</v>
      </c>
      <c r="C188" s="14" t="str">
        <f>+VLOOKUP(B188,[1]LISTE!$A$1:$D$431,4,FALSE)</f>
        <v>SASSI MOHAMED WALID</v>
      </c>
      <c r="D188" s="14" t="s">
        <v>486</v>
      </c>
      <c r="E188" s="15">
        <v>45740</v>
      </c>
      <c r="F188" s="14" t="s">
        <v>18</v>
      </c>
      <c r="G188" s="16">
        <v>70</v>
      </c>
    </row>
    <row r="189" spans="1:7" x14ac:dyDescent="0.25">
      <c r="A189" s="13" t="s">
        <v>1026</v>
      </c>
      <c r="B189" s="13">
        <v>1819</v>
      </c>
      <c r="C189" s="14" t="str">
        <f>+VLOOKUP(B189,[1]LISTE!$A$1:$D$431,4,FALSE)</f>
        <v>SASSI MOHAMED WALID</v>
      </c>
      <c r="D189" s="14" t="s">
        <v>486</v>
      </c>
      <c r="E189" s="15">
        <v>45740</v>
      </c>
      <c r="F189" s="14" t="s">
        <v>20</v>
      </c>
      <c r="G189" s="16">
        <v>67.63</v>
      </c>
    </row>
    <row r="190" spans="1:7" x14ac:dyDescent="0.25">
      <c r="A190" s="13" t="s">
        <v>1112</v>
      </c>
      <c r="B190" s="13">
        <v>1819</v>
      </c>
      <c r="C190" s="14" t="str">
        <f>+VLOOKUP(B190,[1]LISTE!$A$1:$D$431,4,FALSE)</f>
        <v>SASSI MOHAMED WALID</v>
      </c>
      <c r="D190" s="15" t="s">
        <v>22</v>
      </c>
      <c r="E190" s="15">
        <v>45751</v>
      </c>
      <c r="F190" s="14" t="s">
        <v>23</v>
      </c>
      <c r="G190" s="16">
        <v>45</v>
      </c>
    </row>
    <row r="191" spans="1:7" x14ac:dyDescent="0.25">
      <c r="A191" s="13" t="s">
        <v>1112</v>
      </c>
      <c r="B191" s="13">
        <v>1819</v>
      </c>
      <c r="C191" s="14" t="str">
        <f>+VLOOKUP(B191,[1]LISTE!$A$1:$D$431,4,FALSE)</f>
        <v>SASSI MOHAMED WALID</v>
      </c>
      <c r="D191" s="14" t="s">
        <v>22</v>
      </c>
      <c r="E191" s="15">
        <v>45751</v>
      </c>
      <c r="F191" s="14" t="s">
        <v>20</v>
      </c>
      <c r="G191" s="16">
        <v>42.674999999999997</v>
      </c>
    </row>
    <row r="192" spans="1:7" x14ac:dyDescent="0.25">
      <c r="A192" s="13" t="s">
        <v>1112</v>
      </c>
      <c r="B192" s="13">
        <v>1819</v>
      </c>
      <c r="C192" s="14" t="str">
        <f>+VLOOKUP(B192,[1]LISTE!$A$1:$D$431,4,FALSE)</f>
        <v>SASSI MOHAMED WALID</v>
      </c>
      <c r="D192" s="14" t="s">
        <v>22</v>
      </c>
      <c r="E192" s="15">
        <v>45752</v>
      </c>
      <c r="F192" s="14" t="s">
        <v>21</v>
      </c>
      <c r="G192" s="16">
        <v>90</v>
      </c>
    </row>
    <row r="193" spans="1:7" x14ac:dyDescent="0.25">
      <c r="A193" s="13" t="s">
        <v>1115</v>
      </c>
      <c r="B193" s="13">
        <v>1819</v>
      </c>
      <c r="C193" s="14" t="str">
        <f>+VLOOKUP(B193,[1]LISTE!$A$1:$D$431,4,FALSE)</f>
        <v>SASSI MOHAMED WALID</v>
      </c>
      <c r="D193" s="15" t="s">
        <v>322</v>
      </c>
      <c r="E193" s="15">
        <v>45751</v>
      </c>
      <c r="F193" s="14" t="s">
        <v>23</v>
      </c>
      <c r="G193" s="16">
        <v>45</v>
      </c>
    </row>
    <row r="194" spans="1:7" x14ac:dyDescent="0.25">
      <c r="A194" s="13" t="s">
        <v>1115</v>
      </c>
      <c r="B194" s="13">
        <v>1819</v>
      </c>
      <c r="C194" s="14" t="str">
        <f>+VLOOKUP(B194,[1]LISTE!$A$1:$D$431,4,FALSE)</f>
        <v>SASSI MOHAMED WALID</v>
      </c>
      <c r="D194" s="14" t="s">
        <v>322</v>
      </c>
      <c r="E194" s="15">
        <v>45752</v>
      </c>
      <c r="F194" s="14" t="s">
        <v>19</v>
      </c>
      <c r="G194" s="16">
        <v>51.680999999999997</v>
      </c>
    </row>
    <row r="195" spans="1:7" x14ac:dyDescent="0.25">
      <c r="A195" s="13" t="s">
        <v>1115</v>
      </c>
      <c r="B195" s="13">
        <v>1819</v>
      </c>
      <c r="C195" s="14" t="str">
        <f>+VLOOKUP(B195,[1]LISTE!$A$1:$D$431,4,FALSE)</f>
        <v>SASSI MOHAMED WALID</v>
      </c>
      <c r="D195" s="15" t="s">
        <v>322</v>
      </c>
      <c r="E195" s="15">
        <v>45751</v>
      </c>
      <c r="F195" s="14" t="s">
        <v>20</v>
      </c>
      <c r="G195" s="16">
        <v>54.14</v>
      </c>
    </row>
    <row r="196" spans="1:7" x14ac:dyDescent="0.25">
      <c r="A196" s="13" t="s">
        <v>1116</v>
      </c>
      <c r="B196" s="13">
        <v>1819</v>
      </c>
      <c r="C196" s="14" t="str">
        <f>+VLOOKUP(B196,[1]LISTE!$A$1:$D$431,4,FALSE)</f>
        <v>SASSI MOHAMED WALID</v>
      </c>
      <c r="D196" s="14" t="s">
        <v>486</v>
      </c>
      <c r="E196" s="15">
        <v>45742</v>
      </c>
      <c r="F196" s="14" t="s">
        <v>23</v>
      </c>
      <c r="G196" s="16">
        <v>45</v>
      </c>
    </row>
    <row r="197" spans="1:7" x14ac:dyDescent="0.25">
      <c r="A197" s="13" t="s">
        <v>1116</v>
      </c>
      <c r="B197" s="13">
        <v>1819</v>
      </c>
      <c r="C197" s="14" t="str">
        <f>+VLOOKUP(B197,[1]LISTE!$A$1:$D$431,4,FALSE)</f>
        <v>SASSI MOHAMED WALID</v>
      </c>
      <c r="D197" s="14" t="s">
        <v>486</v>
      </c>
      <c r="E197" s="15">
        <v>45742</v>
      </c>
      <c r="F197" s="14" t="s">
        <v>20</v>
      </c>
      <c r="G197" s="16">
        <v>15.14</v>
      </c>
    </row>
    <row r="198" spans="1:7" x14ac:dyDescent="0.25">
      <c r="A198" s="13" t="s">
        <v>1186</v>
      </c>
      <c r="B198" s="13">
        <v>1819</v>
      </c>
      <c r="C198" s="14" t="str">
        <f>+VLOOKUP(B198,[1]LISTE!$A$1:$D$431,4,FALSE)</f>
        <v>SASSI MOHAMED WALID</v>
      </c>
      <c r="D198" s="14" t="s">
        <v>22</v>
      </c>
      <c r="E198" s="15">
        <v>45708</v>
      </c>
      <c r="F198" s="14" t="s">
        <v>18</v>
      </c>
      <c r="G198" s="16">
        <v>60</v>
      </c>
    </row>
    <row r="199" spans="1:7" x14ac:dyDescent="0.25">
      <c r="A199" s="13" t="s">
        <v>1186</v>
      </c>
      <c r="B199" s="13">
        <v>1819</v>
      </c>
      <c r="C199" s="14" t="str">
        <f>+VLOOKUP(B199,[1]LISTE!$A$1:$D$431,4,FALSE)</f>
        <v>SASSI MOHAMED WALID</v>
      </c>
      <c r="D199" s="14" t="s">
        <v>22</v>
      </c>
      <c r="E199" s="15">
        <v>45757</v>
      </c>
      <c r="F199" s="14" t="s">
        <v>65</v>
      </c>
      <c r="G199" s="16">
        <v>600</v>
      </c>
    </row>
    <row r="200" spans="1:7" x14ac:dyDescent="0.25">
      <c r="A200" s="13" t="s">
        <v>1021</v>
      </c>
      <c r="B200" s="13">
        <v>1827</v>
      </c>
      <c r="C200" s="14" t="str">
        <f>+VLOOKUP(B200,[1]LISTE!$A$1:$D$431,4,FALSE)</f>
        <v>CHTIOUI HAMADI</v>
      </c>
      <c r="D200" s="14" t="s">
        <v>22</v>
      </c>
      <c r="E200" s="15">
        <v>45738</v>
      </c>
      <c r="F200" s="14" t="s">
        <v>20</v>
      </c>
      <c r="G200" s="16">
        <v>30.631</v>
      </c>
    </row>
    <row r="201" spans="1:7" x14ac:dyDescent="0.25">
      <c r="A201" s="13" t="s">
        <v>1152</v>
      </c>
      <c r="B201" s="13">
        <v>1827</v>
      </c>
      <c r="C201" s="14" t="str">
        <f>+VLOOKUP(B201,[1]LISTE!$A$1:$D$431,4,FALSE)</f>
        <v>CHTIOUI HAMADI</v>
      </c>
      <c r="D201" s="15" t="s">
        <v>22</v>
      </c>
      <c r="E201" s="15">
        <v>45754</v>
      </c>
      <c r="F201" s="14" t="s">
        <v>23</v>
      </c>
      <c r="G201" s="16">
        <v>25</v>
      </c>
    </row>
    <row r="202" spans="1:7" x14ac:dyDescent="0.25">
      <c r="A202" s="13" t="s">
        <v>1152</v>
      </c>
      <c r="B202" s="13">
        <v>1827</v>
      </c>
      <c r="C202" s="14" t="str">
        <f>+VLOOKUP(B202,[1]LISTE!$A$1:$D$431,4,FALSE)</f>
        <v>CHTIOUI HAMADI</v>
      </c>
      <c r="D202" s="15" t="s">
        <v>22</v>
      </c>
      <c r="E202" s="15">
        <v>45755</v>
      </c>
      <c r="F202" s="14" t="s">
        <v>20</v>
      </c>
      <c r="G202" s="16">
        <v>7.34</v>
      </c>
    </row>
    <row r="203" spans="1:7" x14ac:dyDescent="0.25">
      <c r="A203" s="13" t="s">
        <v>1152</v>
      </c>
      <c r="B203" s="13">
        <v>1827</v>
      </c>
      <c r="C203" s="14" t="str">
        <f>+VLOOKUP(B203,[1]LISTE!$A$1:$D$431,4,FALSE)</f>
        <v>CHTIOUI HAMADI</v>
      </c>
      <c r="D203" s="15" t="s">
        <v>22</v>
      </c>
      <c r="E203" s="15">
        <v>45751</v>
      </c>
      <c r="F203" s="14" t="s">
        <v>21</v>
      </c>
      <c r="G203" s="16">
        <v>20</v>
      </c>
    </row>
    <row r="204" spans="1:7" x14ac:dyDescent="0.25">
      <c r="A204" s="13" t="s">
        <v>1177</v>
      </c>
      <c r="B204" s="13">
        <v>1827</v>
      </c>
      <c r="C204" s="14" t="str">
        <f>+VLOOKUP(B204,[1]LISTE!$A$1:$D$431,4,FALSE)</f>
        <v>CHTIOUI HAMADI</v>
      </c>
      <c r="D204" s="14" t="s">
        <v>22</v>
      </c>
      <c r="E204" s="15">
        <v>45750</v>
      </c>
      <c r="F204" s="14" t="s">
        <v>18</v>
      </c>
      <c r="G204" s="16">
        <v>70</v>
      </c>
    </row>
    <row r="205" spans="1:7" x14ac:dyDescent="0.25">
      <c r="A205" s="13" t="s">
        <v>1177</v>
      </c>
      <c r="B205" s="13">
        <v>1827</v>
      </c>
      <c r="C205" s="14" t="str">
        <f>+VLOOKUP(B205,[1]LISTE!$A$1:$D$431,4,FALSE)</f>
        <v>CHTIOUI HAMADI</v>
      </c>
      <c r="D205" s="14" t="s">
        <v>22</v>
      </c>
      <c r="E205" s="15">
        <v>45750</v>
      </c>
      <c r="F205" s="14" t="s">
        <v>20</v>
      </c>
      <c r="G205" s="16">
        <v>17.309999999999999</v>
      </c>
    </row>
    <row r="206" spans="1:7" x14ac:dyDescent="0.25">
      <c r="A206" s="13" t="s">
        <v>1054</v>
      </c>
      <c r="B206" s="13">
        <v>1828</v>
      </c>
      <c r="C206" s="14" t="str">
        <f>+VLOOKUP(B206,[1]LISTE!$A$1:$D$431,4,FALSE)</f>
        <v>FNAYOU MOHAMED</v>
      </c>
      <c r="D206" s="15" t="s">
        <v>22</v>
      </c>
      <c r="E206" s="15">
        <v>45727</v>
      </c>
      <c r="F206" s="14" t="s">
        <v>18</v>
      </c>
      <c r="G206" s="16">
        <v>30</v>
      </c>
    </row>
    <row r="207" spans="1:7" x14ac:dyDescent="0.25">
      <c r="A207" s="13" t="s">
        <v>1054</v>
      </c>
      <c r="B207" s="13">
        <v>1828</v>
      </c>
      <c r="C207" s="14" t="str">
        <f>+VLOOKUP(B207,[1]LISTE!$A$1:$D$431,4,FALSE)</f>
        <v>FNAYOU MOHAMED</v>
      </c>
      <c r="D207" s="14" t="s">
        <v>22</v>
      </c>
      <c r="E207" s="15">
        <v>45727</v>
      </c>
      <c r="F207" s="14" t="s">
        <v>69</v>
      </c>
      <c r="G207" s="16">
        <v>560</v>
      </c>
    </row>
    <row r="208" spans="1:7" x14ac:dyDescent="0.25">
      <c r="A208" s="13" t="s">
        <v>1072</v>
      </c>
      <c r="B208" s="13">
        <v>1830</v>
      </c>
      <c r="C208" s="14" t="str">
        <f>+VLOOKUP(B208,[1]LISTE!$A$1:$D$431,4,FALSE)</f>
        <v>LOURIMI ABDALLAH</v>
      </c>
      <c r="D208" s="14" t="s">
        <v>22</v>
      </c>
      <c r="E208" s="15">
        <v>45740</v>
      </c>
      <c r="F208" s="14" t="s">
        <v>65</v>
      </c>
      <c r="G208" s="16">
        <v>35</v>
      </c>
    </row>
    <row r="209" spans="1:7" x14ac:dyDescent="0.25">
      <c r="A209" s="13" t="s">
        <v>1072</v>
      </c>
      <c r="B209" s="13">
        <v>1830</v>
      </c>
      <c r="C209" s="14" t="str">
        <f>+VLOOKUP(B209,[1]LISTE!$A$1:$D$431,4,FALSE)</f>
        <v>LOURIMI ABDALLAH</v>
      </c>
      <c r="D209" s="15" t="s">
        <v>22</v>
      </c>
      <c r="E209" s="15">
        <v>45740</v>
      </c>
      <c r="F209" s="14" t="s">
        <v>20</v>
      </c>
      <c r="G209" s="16">
        <v>37.072000000000003</v>
      </c>
    </row>
    <row r="210" spans="1:7" x14ac:dyDescent="0.25">
      <c r="A210" s="13" t="s">
        <v>1072</v>
      </c>
      <c r="B210" s="13">
        <v>1830</v>
      </c>
      <c r="C210" s="14" t="str">
        <f>+VLOOKUP(B210,[1]LISTE!$A$1:$D$431,4,FALSE)</f>
        <v>LOURIMI ABDALLAH</v>
      </c>
      <c r="D210" s="14" t="s">
        <v>22</v>
      </c>
      <c r="E210" s="15">
        <v>45738</v>
      </c>
      <c r="F210" s="14" t="s">
        <v>21</v>
      </c>
      <c r="G210" s="16">
        <v>69.77</v>
      </c>
    </row>
    <row r="211" spans="1:7" x14ac:dyDescent="0.25">
      <c r="A211" s="13" t="s">
        <v>1187</v>
      </c>
      <c r="B211" s="13">
        <v>1836</v>
      </c>
      <c r="C211" s="14" t="str">
        <f>+VLOOKUP(B211,[1]LISTE!$A$1:$D$431,4,FALSE)</f>
        <v>BEN KALIA LOTFI</v>
      </c>
      <c r="D211" s="14" t="s">
        <v>22</v>
      </c>
      <c r="E211" s="15">
        <v>45757</v>
      </c>
      <c r="F211" s="14" t="s">
        <v>23</v>
      </c>
      <c r="G211" s="16">
        <v>45</v>
      </c>
    </row>
    <row r="212" spans="1:7" x14ac:dyDescent="0.25">
      <c r="A212" s="13" t="s">
        <v>1187</v>
      </c>
      <c r="B212" s="13">
        <v>1836</v>
      </c>
      <c r="C212" s="14" t="str">
        <f>+VLOOKUP(B212,[1]LISTE!$A$1:$D$431,4,FALSE)</f>
        <v>BEN KALIA LOTFI</v>
      </c>
      <c r="D212" s="14" t="s">
        <v>22</v>
      </c>
      <c r="E212" s="15">
        <v>45757</v>
      </c>
      <c r="F212" s="14" t="s">
        <v>20</v>
      </c>
      <c r="G212" s="16">
        <v>59.469000000000001</v>
      </c>
    </row>
    <row r="213" spans="1:7" x14ac:dyDescent="0.25">
      <c r="A213" s="13" t="s">
        <v>1151</v>
      </c>
      <c r="B213" s="13">
        <v>1849</v>
      </c>
      <c r="C213" s="14" t="str">
        <f>+VLOOKUP(B213,[1]LISTE!$A$1:$D$431,4,FALSE)</f>
        <v>GANHOUBA MEHDI</v>
      </c>
      <c r="D213" s="15" t="s">
        <v>325</v>
      </c>
      <c r="E213" s="15">
        <v>45756</v>
      </c>
      <c r="F213" s="14" t="s">
        <v>18</v>
      </c>
      <c r="G213" s="16">
        <v>60</v>
      </c>
    </row>
    <row r="214" spans="1:7" x14ac:dyDescent="0.25">
      <c r="A214" s="13" t="s">
        <v>1151</v>
      </c>
      <c r="B214" s="13">
        <v>1849</v>
      </c>
      <c r="C214" s="14" t="str">
        <f>+VLOOKUP(B214,[1]LISTE!$A$1:$D$431,4,FALSE)</f>
        <v>GANHOUBA MEHDI</v>
      </c>
      <c r="D214" s="15" t="s">
        <v>325</v>
      </c>
      <c r="E214" s="15">
        <v>45756</v>
      </c>
      <c r="F214" s="14" t="s">
        <v>20</v>
      </c>
      <c r="G214" s="16">
        <v>4.63</v>
      </c>
    </row>
    <row r="215" spans="1:7" x14ac:dyDescent="0.25">
      <c r="A215" s="13" t="s">
        <v>1170</v>
      </c>
      <c r="B215" s="13">
        <v>1856</v>
      </c>
      <c r="C215" s="14" t="str">
        <f>+VLOOKUP(B215,[1]LISTE!$A$1:$D$431,4,FALSE)</f>
        <v>ABDELLATIF MOHAMED ALI</v>
      </c>
      <c r="D215" s="14" t="s">
        <v>75</v>
      </c>
      <c r="E215" s="15">
        <v>45752</v>
      </c>
      <c r="F215" s="14" t="s">
        <v>23</v>
      </c>
      <c r="G215" s="16">
        <v>45</v>
      </c>
    </row>
    <row r="216" spans="1:7" x14ac:dyDescent="0.25">
      <c r="A216" s="13" t="s">
        <v>1170</v>
      </c>
      <c r="B216" s="13">
        <v>1856</v>
      </c>
      <c r="C216" s="14" t="str">
        <f>+VLOOKUP(B216,[1]LISTE!$A$1:$D$431,4,FALSE)</f>
        <v>ABDELLATIF MOHAMED ALI</v>
      </c>
      <c r="D216" s="14" t="s">
        <v>75</v>
      </c>
      <c r="E216" s="15">
        <v>45752</v>
      </c>
      <c r="F216" s="14" t="s">
        <v>20</v>
      </c>
      <c r="G216" s="16">
        <v>65.644999999999996</v>
      </c>
    </row>
    <row r="217" spans="1:7" x14ac:dyDescent="0.25">
      <c r="A217" s="13" t="s">
        <v>1171</v>
      </c>
      <c r="B217" s="13">
        <v>1856</v>
      </c>
      <c r="C217" s="14" t="str">
        <f>+VLOOKUP(B217,[1]LISTE!$A$1:$D$431,4,FALSE)</f>
        <v>ABDELLATIF MOHAMED ALI</v>
      </c>
      <c r="D217" s="14" t="s">
        <v>329</v>
      </c>
      <c r="E217" s="15">
        <v>45755</v>
      </c>
      <c r="F217" s="14" t="s">
        <v>23</v>
      </c>
      <c r="G217" s="16">
        <v>45</v>
      </c>
    </row>
    <row r="218" spans="1:7" x14ac:dyDescent="0.25">
      <c r="A218" s="13" t="s">
        <v>1171</v>
      </c>
      <c r="B218" s="13">
        <v>1856</v>
      </c>
      <c r="C218" s="14" t="str">
        <f>+VLOOKUP(B218,[1]LISTE!$A$1:$D$431,4,FALSE)</f>
        <v>ABDELLATIF MOHAMED ALI</v>
      </c>
      <c r="D218" s="14" t="s">
        <v>329</v>
      </c>
      <c r="E218" s="15">
        <v>45755</v>
      </c>
      <c r="F218" s="14" t="s">
        <v>20</v>
      </c>
      <c r="G218" s="16">
        <v>69.451999999999998</v>
      </c>
    </row>
    <row r="219" spans="1:7" x14ac:dyDescent="0.25">
      <c r="A219" s="13" t="s">
        <v>1149</v>
      </c>
      <c r="B219" s="13">
        <v>1857</v>
      </c>
      <c r="C219" s="14" t="str">
        <f>+VLOOKUP(B219,[1]LISTE!$A$1:$D$431,4,FALSE)</f>
        <v>NOUIRA BOUJEBHA RAMZI</v>
      </c>
      <c r="D219" s="15" t="s">
        <v>1150</v>
      </c>
      <c r="E219" s="15">
        <v>45757</v>
      </c>
      <c r="F219" s="14" t="s">
        <v>18</v>
      </c>
      <c r="G219" s="16">
        <v>70</v>
      </c>
    </row>
    <row r="220" spans="1:7" x14ac:dyDescent="0.25">
      <c r="A220" s="13" t="s">
        <v>1149</v>
      </c>
      <c r="B220" s="13">
        <v>1857</v>
      </c>
      <c r="C220" s="14" t="str">
        <f>+VLOOKUP(B220,[1]LISTE!$A$1:$D$431,4,FALSE)</f>
        <v>NOUIRA BOUJEBHA RAMZI</v>
      </c>
      <c r="D220" s="15" t="s">
        <v>1150</v>
      </c>
      <c r="E220" s="15">
        <v>45757</v>
      </c>
      <c r="F220" s="14" t="s">
        <v>20</v>
      </c>
      <c r="G220" s="16">
        <v>3.004</v>
      </c>
    </row>
    <row r="221" spans="1:7" x14ac:dyDescent="0.25">
      <c r="A221" s="13" t="s">
        <v>1149</v>
      </c>
      <c r="B221" s="13">
        <v>1857</v>
      </c>
      <c r="C221" s="14" t="str">
        <f>+VLOOKUP(B221,[1]LISTE!$A$1:$D$431,4,FALSE)</f>
        <v>NOUIRA BOUJEBHA RAMZI</v>
      </c>
      <c r="D221" s="15" t="s">
        <v>1150</v>
      </c>
      <c r="E221" s="15">
        <v>45757</v>
      </c>
      <c r="F221" s="14" t="s">
        <v>69</v>
      </c>
      <c r="G221" s="16">
        <v>121</v>
      </c>
    </row>
    <row r="222" spans="1:7" x14ac:dyDescent="0.25">
      <c r="A222" s="13" t="s">
        <v>1055</v>
      </c>
      <c r="B222" s="13">
        <v>1877</v>
      </c>
      <c r="C222" s="14" t="str">
        <f>+VLOOKUP(B222,[1]LISTE!$A$1:$D$431,4,FALSE)</f>
        <v>SOUSSI MAHER</v>
      </c>
      <c r="D222" s="14" t="s">
        <v>22</v>
      </c>
      <c r="E222" s="15">
        <v>45728</v>
      </c>
      <c r="F222" s="14" t="s">
        <v>23</v>
      </c>
      <c r="G222" s="16">
        <v>45</v>
      </c>
    </row>
    <row r="223" spans="1:7" x14ac:dyDescent="0.25">
      <c r="A223" s="13" t="s">
        <v>1055</v>
      </c>
      <c r="B223" s="13">
        <v>1877</v>
      </c>
      <c r="C223" s="14" t="str">
        <f>+VLOOKUP(B223,[1]LISTE!$A$1:$D$431,4,FALSE)</f>
        <v>SOUSSI MAHER</v>
      </c>
      <c r="D223" s="15" t="s">
        <v>22</v>
      </c>
      <c r="E223" s="15">
        <v>45728</v>
      </c>
      <c r="F223" s="14" t="s">
        <v>20</v>
      </c>
      <c r="G223" s="16">
        <v>86.32</v>
      </c>
    </row>
    <row r="224" spans="1:7" x14ac:dyDescent="0.25">
      <c r="A224" s="13" t="s">
        <v>1143</v>
      </c>
      <c r="B224" s="13">
        <v>1882</v>
      </c>
      <c r="C224" s="14" t="str">
        <f>+VLOOKUP(B224,[1]LISTE!$A$1:$D$431,4,FALSE)</f>
        <v>AMARA SOFIANE</v>
      </c>
      <c r="D224" s="15" t="s">
        <v>277</v>
      </c>
      <c r="E224" s="15">
        <v>45741</v>
      </c>
      <c r="F224" s="14" t="s">
        <v>23</v>
      </c>
      <c r="G224" s="16">
        <v>40</v>
      </c>
    </row>
    <row r="225" spans="1:7" x14ac:dyDescent="0.25">
      <c r="A225" s="13" t="s">
        <v>1143</v>
      </c>
      <c r="B225" s="13">
        <v>1882</v>
      </c>
      <c r="C225" s="14" t="str">
        <f>+VLOOKUP(B225,[1]LISTE!$A$1:$D$431,4,FALSE)</f>
        <v>AMARA SOFIANE</v>
      </c>
      <c r="D225" s="15" t="s">
        <v>277</v>
      </c>
      <c r="E225" s="15">
        <v>45741</v>
      </c>
      <c r="F225" s="14" t="s">
        <v>20</v>
      </c>
      <c r="G225" s="16">
        <v>42.186999999999998</v>
      </c>
    </row>
    <row r="226" spans="1:7" x14ac:dyDescent="0.25">
      <c r="A226" s="13" t="s">
        <v>1158</v>
      </c>
      <c r="B226" s="13">
        <v>1901</v>
      </c>
      <c r="C226" s="14" t="str">
        <f>+VLOOKUP(B226,[1]LISTE!$A$1:$D$431,4,FALSE)</f>
        <v>BACH ZOUHAIER</v>
      </c>
      <c r="D226" s="14" t="s">
        <v>792</v>
      </c>
      <c r="E226" s="15">
        <v>45734</v>
      </c>
      <c r="F226" s="14" t="s">
        <v>20</v>
      </c>
      <c r="G226" s="16">
        <v>19.395</v>
      </c>
    </row>
    <row r="227" spans="1:7" x14ac:dyDescent="0.25">
      <c r="A227" s="13" t="s">
        <v>1111</v>
      </c>
      <c r="B227" s="13">
        <v>1905</v>
      </c>
      <c r="C227" s="14" t="str">
        <f>+VLOOKUP(B227,[1]LISTE!$A$1:$D$431,4,FALSE)</f>
        <v>LADHARI MOHAMED</v>
      </c>
      <c r="D227" s="15" t="s">
        <v>22</v>
      </c>
      <c r="E227" s="15">
        <v>45755</v>
      </c>
      <c r="F227" s="14" t="s">
        <v>23</v>
      </c>
      <c r="G227" s="16">
        <v>45</v>
      </c>
    </row>
    <row r="228" spans="1:7" x14ac:dyDescent="0.25">
      <c r="A228" s="13" t="s">
        <v>1111</v>
      </c>
      <c r="B228" s="13">
        <v>1905</v>
      </c>
      <c r="C228" s="14" t="str">
        <f>+VLOOKUP(B228,[1]LISTE!$A$1:$D$431,4,FALSE)</f>
        <v>LADHARI MOHAMED</v>
      </c>
      <c r="D228" s="15" t="s">
        <v>22</v>
      </c>
      <c r="E228" s="15">
        <v>45755</v>
      </c>
      <c r="F228" s="14" t="s">
        <v>20</v>
      </c>
      <c r="G228" s="16">
        <v>28.071999999999999</v>
      </c>
    </row>
    <row r="229" spans="1:7" x14ac:dyDescent="0.25">
      <c r="A229" s="13" t="s">
        <v>1111</v>
      </c>
      <c r="B229" s="13">
        <v>1905</v>
      </c>
      <c r="C229" s="14" t="str">
        <f>+VLOOKUP(B229,[1]LISTE!$A$1:$D$431,4,FALSE)</f>
        <v>LADHARI MOHAMED</v>
      </c>
      <c r="D229" s="15" t="s">
        <v>22</v>
      </c>
      <c r="E229" s="15">
        <v>45755</v>
      </c>
      <c r="F229" s="14" t="s">
        <v>65</v>
      </c>
      <c r="G229" s="16">
        <v>100</v>
      </c>
    </row>
    <row r="230" spans="1:7" x14ac:dyDescent="0.25">
      <c r="A230" s="13" t="s">
        <v>1117</v>
      </c>
      <c r="B230" s="13">
        <v>1905</v>
      </c>
      <c r="C230" s="14" t="str">
        <f>+VLOOKUP(B230,[1]LISTE!$A$1:$D$431,4,FALSE)</f>
        <v>LADHARI MOHAMED</v>
      </c>
      <c r="D230" s="14" t="s">
        <v>1118</v>
      </c>
      <c r="E230" s="15">
        <v>45751</v>
      </c>
      <c r="F230" s="14" t="s">
        <v>18</v>
      </c>
      <c r="G230" s="16">
        <v>70</v>
      </c>
    </row>
    <row r="231" spans="1:7" x14ac:dyDescent="0.25">
      <c r="A231" s="13" t="s">
        <v>1117</v>
      </c>
      <c r="B231" s="13">
        <v>1905</v>
      </c>
      <c r="C231" s="14" t="str">
        <f>+VLOOKUP(B231,[1]LISTE!$A$1:$D$431,4,FALSE)</f>
        <v>LADHARI MOHAMED</v>
      </c>
      <c r="D231" s="14" t="s">
        <v>1118</v>
      </c>
      <c r="E231" s="15">
        <v>45751</v>
      </c>
      <c r="F231" s="14" t="s">
        <v>20</v>
      </c>
      <c r="G231" s="16">
        <v>287.30700000000002</v>
      </c>
    </row>
    <row r="232" spans="1:7" x14ac:dyDescent="0.25">
      <c r="A232" s="13" t="s">
        <v>1164</v>
      </c>
      <c r="B232" s="13">
        <v>1911</v>
      </c>
      <c r="C232" s="14" t="str">
        <f>+VLOOKUP(B232,[1]LISTE!$A$1:$D$431,4,FALSE)</f>
        <v>MEJRI KHELIL</v>
      </c>
      <c r="D232" s="14" t="s">
        <v>1165</v>
      </c>
      <c r="E232" s="15">
        <v>45755</v>
      </c>
      <c r="F232" s="14" t="s">
        <v>23</v>
      </c>
      <c r="G232" s="16">
        <v>45</v>
      </c>
    </row>
    <row r="233" spans="1:7" x14ac:dyDescent="0.25">
      <c r="A233" s="13" t="s">
        <v>1164</v>
      </c>
      <c r="B233" s="13">
        <v>1911</v>
      </c>
      <c r="C233" s="14" t="str">
        <f>+VLOOKUP(B233,[1]LISTE!$A$1:$D$431,4,FALSE)</f>
        <v>MEJRI KHELIL</v>
      </c>
      <c r="D233" s="14" t="s">
        <v>1165</v>
      </c>
      <c r="E233" s="15">
        <v>45755</v>
      </c>
      <c r="F233" s="14" t="s">
        <v>20</v>
      </c>
      <c r="G233" s="16">
        <v>51.311999999999998</v>
      </c>
    </row>
    <row r="234" spans="1:7" x14ac:dyDescent="0.25">
      <c r="A234" s="13" t="s">
        <v>1183</v>
      </c>
      <c r="B234" s="13">
        <v>1915</v>
      </c>
      <c r="C234" s="14" t="str">
        <f>+VLOOKUP(B234,[1]LISTE!$A$1:$D$431,4,FALSE)</f>
        <v>BEN ABDALLAH MOHAMED SALAH</v>
      </c>
      <c r="D234" s="14" t="s">
        <v>311</v>
      </c>
      <c r="E234" s="15">
        <v>45730</v>
      </c>
      <c r="F234" s="14" t="s">
        <v>18</v>
      </c>
      <c r="G234" s="16">
        <v>60</v>
      </c>
    </row>
    <row r="235" spans="1:7" x14ac:dyDescent="0.25">
      <c r="A235" s="13" t="s">
        <v>1183</v>
      </c>
      <c r="B235" s="13">
        <v>1915</v>
      </c>
      <c r="C235" s="14" t="str">
        <f>+VLOOKUP(B235,[1]LISTE!$A$1:$D$431,4,FALSE)</f>
        <v>BEN ABDALLAH MOHAMED SALAH</v>
      </c>
      <c r="D235" s="14" t="s">
        <v>311</v>
      </c>
      <c r="E235" s="15">
        <v>45730</v>
      </c>
      <c r="F235" s="14" t="s">
        <v>20</v>
      </c>
      <c r="G235" s="16">
        <v>6.35</v>
      </c>
    </row>
    <row r="236" spans="1:7" x14ac:dyDescent="0.25">
      <c r="A236" s="13" t="s">
        <v>1155</v>
      </c>
      <c r="B236" s="13">
        <v>1917</v>
      </c>
      <c r="C236" s="14" t="str">
        <f>+VLOOKUP(B236,[1]LISTE!$A$1:$D$431,4,FALSE)</f>
        <v>HAMILA JAMEL</v>
      </c>
      <c r="D236" s="14" t="s">
        <v>1156</v>
      </c>
      <c r="E236" s="15">
        <v>45755</v>
      </c>
      <c r="F236" s="14" t="s">
        <v>23</v>
      </c>
      <c r="G236" s="16">
        <v>40</v>
      </c>
    </row>
    <row r="237" spans="1:7" x14ac:dyDescent="0.25">
      <c r="A237" s="13" t="s">
        <v>1155</v>
      </c>
      <c r="B237" s="13">
        <v>1917</v>
      </c>
      <c r="C237" s="14" t="str">
        <f>+VLOOKUP(B237,[1]LISTE!$A$1:$D$431,4,FALSE)</f>
        <v>HAMILA JAMEL</v>
      </c>
      <c r="D237" s="14" t="s">
        <v>1156</v>
      </c>
      <c r="E237" s="15">
        <v>45755</v>
      </c>
      <c r="F237" s="14" t="s">
        <v>20</v>
      </c>
      <c r="G237" s="16">
        <v>49.354999999999997</v>
      </c>
    </row>
    <row r="238" spans="1:7" x14ac:dyDescent="0.25">
      <c r="A238" s="13" t="s">
        <v>1157</v>
      </c>
      <c r="B238" s="13">
        <v>1917</v>
      </c>
      <c r="C238" s="14" t="str">
        <f>+VLOOKUP(B238,[1]LISTE!$A$1:$D$431,4,FALSE)</f>
        <v>HAMILA JAMEL</v>
      </c>
      <c r="D238" s="14" t="s">
        <v>22</v>
      </c>
      <c r="E238" s="15">
        <v>45757</v>
      </c>
      <c r="F238" s="14" t="s">
        <v>23</v>
      </c>
      <c r="G238" s="16">
        <v>40</v>
      </c>
    </row>
    <row r="239" spans="1:7" x14ac:dyDescent="0.25">
      <c r="A239" s="13" t="s">
        <v>1157</v>
      </c>
      <c r="B239" s="13">
        <v>1917</v>
      </c>
      <c r="C239" s="14" t="str">
        <f>+VLOOKUP(B239,[1]LISTE!$A$1:$D$431,4,FALSE)</f>
        <v>HAMILA JAMEL</v>
      </c>
      <c r="D239" s="15" t="s">
        <v>22</v>
      </c>
      <c r="E239" s="15">
        <v>45757</v>
      </c>
      <c r="F239" s="14" t="s">
        <v>20</v>
      </c>
      <c r="G239" s="16">
        <v>101.717</v>
      </c>
    </row>
    <row r="240" spans="1:7" x14ac:dyDescent="0.25">
      <c r="A240" s="13" t="s">
        <v>1051</v>
      </c>
      <c r="B240" s="13">
        <v>1923</v>
      </c>
      <c r="C240" s="14" t="str">
        <f>+VLOOKUP(B240,[1]LISTE!$A$1:$D$431,4,FALSE)</f>
        <v>BOUAZZA WALID</v>
      </c>
      <c r="D240" s="14" t="s">
        <v>284</v>
      </c>
      <c r="E240" s="15">
        <v>45742</v>
      </c>
      <c r="F240" s="14" t="s">
        <v>23</v>
      </c>
      <c r="G240" s="16">
        <v>25</v>
      </c>
    </row>
    <row r="241" spans="1:7" x14ac:dyDescent="0.25">
      <c r="A241" s="13" t="s">
        <v>1051</v>
      </c>
      <c r="B241" s="13">
        <v>1923</v>
      </c>
      <c r="C241" s="14" t="str">
        <f>+VLOOKUP(B241,[1]LISTE!$A$1:$D$431,4,FALSE)</f>
        <v>BOUAZZA WALID</v>
      </c>
      <c r="D241" s="14" t="s">
        <v>284</v>
      </c>
      <c r="E241" s="15">
        <v>45745</v>
      </c>
      <c r="F241" s="14" t="s">
        <v>20</v>
      </c>
      <c r="G241" s="16">
        <v>15.084</v>
      </c>
    </row>
    <row r="242" spans="1:7" x14ac:dyDescent="0.25">
      <c r="A242" s="13" t="s">
        <v>1052</v>
      </c>
      <c r="B242" s="13">
        <v>1923</v>
      </c>
      <c r="C242" s="14" t="str">
        <f>+VLOOKUP(B242,[1]LISTE!$A$1:$D$431,4,FALSE)</f>
        <v>BOUAZZA WALID</v>
      </c>
      <c r="D242" s="15" t="s">
        <v>22</v>
      </c>
      <c r="E242" s="15">
        <v>45742</v>
      </c>
      <c r="F242" s="14" t="s">
        <v>23</v>
      </c>
      <c r="G242" s="16">
        <v>25</v>
      </c>
    </row>
    <row r="243" spans="1:7" x14ac:dyDescent="0.25">
      <c r="A243" s="13" t="s">
        <v>1052</v>
      </c>
      <c r="B243" s="13">
        <v>1923</v>
      </c>
      <c r="C243" s="14" t="str">
        <f>+VLOOKUP(B243,[1]LISTE!$A$1:$D$431,4,FALSE)</f>
        <v>BOUAZZA WALID</v>
      </c>
      <c r="D243" s="15" t="s">
        <v>22</v>
      </c>
      <c r="E243" s="15">
        <v>45742</v>
      </c>
      <c r="F243" s="14" t="s">
        <v>20</v>
      </c>
      <c r="G243" s="16">
        <v>54.02</v>
      </c>
    </row>
    <row r="244" spans="1:7" x14ac:dyDescent="0.25">
      <c r="A244" s="13" t="s">
        <v>1181</v>
      </c>
      <c r="B244" s="13">
        <v>1927</v>
      </c>
      <c r="C244" s="14" t="str">
        <f>+VLOOKUP(B244,[1]LISTE!$A$1:$D$431,4,FALSE)</f>
        <v>BEN HAMMOUDA AYMEN</v>
      </c>
      <c r="D244" s="14" t="s">
        <v>1182</v>
      </c>
      <c r="E244" s="15">
        <v>45757</v>
      </c>
      <c r="F244" s="14" t="s">
        <v>23</v>
      </c>
      <c r="G244" s="16">
        <v>35</v>
      </c>
    </row>
    <row r="245" spans="1:7" x14ac:dyDescent="0.25">
      <c r="A245" s="13" t="s">
        <v>1181</v>
      </c>
      <c r="B245" s="13">
        <v>1927</v>
      </c>
      <c r="C245" s="14" t="str">
        <f>+VLOOKUP(B245,[1]LISTE!$A$1:$D$431,4,FALSE)</f>
        <v>BEN HAMMOUDA AYMEN</v>
      </c>
      <c r="D245" s="14" t="s">
        <v>1182</v>
      </c>
      <c r="E245" s="15">
        <v>45757</v>
      </c>
      <c r="F245" s="14" t="s">
        <v>20</v>
      </c>
      <c r="G245" s="16">
        <v>609.70000000000005</v>
      </c>
    </row>
    <row r="246" spans="1:7" x14ac:dyDescent="0.25">
      <c r="A246" s="13" t="s">
        <v>1130</v>
      </c>
      <c r="B246" s="13">
        <v>1936</v>
      </c>
      <c r="C246" s="14" t="str">
        <f>+VLOOKUP(B246,[1]LISTE!$A$1:$D$431,4,FALSE)</f>
        <v>JLASSI KHALED</v>
      </c>
      <c r="D246" s="14" t="s">
        <v>22</v>
      </c>
      <c r="E246" s="15">
        <v>45749</v>
      </c>
      <c r="F246" s="14" t="s">
        <v>23</v>
      </c>
      <c r="G246" s="16">
        <v>45</v>
      </c>
    </row>
    <row r="247" spans="1:7" x14ac:dyDescent="0.25">
      <c r="A247" s="13" t="s">
        <v>1130</v>
      </c>
      <c r="B247" s="13">
        <v>1936</v>
      </c>
      <c r="C247" s="14" t="str">
        <f>+VLOOKUP(B247,[1]LISTE!$A$1:$D$431,4,FALSE)</f>
        <v>JLASSI KHALED</v>
      </c>
      <c r="D247" s="14" t="s">
        <v>22</v>
      </c>
      <c r="E247" s="15">
        <v>45749</v>
      </c>
      <c r="F247" s="14" t="s">
        <v>20</v>
      </c>
      <c r="G247" s="16">
        <v>33.134999999999998</v>
      </c>
    </row>
    <row r="248" spans="1:7" x14ac:dyDescent="0.25">
      <c r="A248" s="13" t="s">
        <v>1089</v>
      </c>
      <c r="B248" s="13">
        <v>1953</v>
      </c>
      <c r="C248" s="14" t="str">
        <f>+VLOOKUP(B248,[1]LISTE!$A$1:$D$431,4,FALSE)</f>
        <v>SGHAIER SAMI</v>
      </c>
      <c r="D248" s="14" t="s">
        <v>125</v>
      </c>
      <c r="E248" s="15">
        <v>45753</v>
      </c>
      <c r="F248" s="14" t="s">
        <v>23</v>
      </c>
      <c r="G248" s="16">
        <v>40</v>
      </c>
    </row>
    <row r="249" spans="1:7" x14ac:dyDescent="0.25">
      <c r="A249" s="13" t="s">
        <v>1089</v>
      </c>
      <c r="B249" s="13">
        <v>1953</v>
      </c>
      <c r="C249" s="14" t="str">
        <f>+VLOOKUP(B249,[1]LISTE!$A$1:$D$431,4,FALSE)</f>
        <v>SGHAIER SAMI</v>
      </c>
      <c r="D249" s="14" t="s">
        <v>125</v>
      </c>
      <c r="E249" s="15">
        <v>45753</v>
      </c>
      <c r="F249" s="14" t="s">
        <v>20</v>
      </c>
      <c r="G249" s="16">
        <v>17.588999999999999</v>
      </c>
    </row>
    <row r="250" spans="1:7" x14ac:dyDescent="0.25">
      <c r="A250" s="13" t="s">
        <v>1089</v>
      </c>
      <c r="B250" s="13">
        <v>1953</v>
      </c>
      <c r="C250" s="14" t="str">
        <f>+VLOOKUP(B250,[1]LISTE!$A$1:$D$431,4,FALSE)</f>
        <v>SGHAIER SAMI</v>
      </c>
      <c r="D250" s="15" t="s">
        <v>125</v>
      </c>
      <c r="E250" s="15">
        <v>45753</v>
      </c>
      <c r="F250" s="14" t="s">
        <v>364</v>
      </c>
      <c r="G250" s="16">
        <v>99.55</v>
      </c>
    </row>
    <row r="251" spans="1:7" x14ac:dyDescent="0.25">
      <c r="A251" s="13" t="s">
        <v>1106</v>
      </c>
      <c r="B251" s="13">
        <v>1953</v>
      </c>
      <c r="C251" s="14" t="str">
        <f>+VLOOKUP(B251,[1]LISTE!$A$1:$D$431,4,FALSE)</f>
        <v>SGHAIER SAMI</v>
      </c>
      <c r="D251" s="14" t="s">
        <v>1020</v>
      </c>
      <c r="E251" s="15">
        <v>45742</v>
      </c>
      <c r="F251" s="14" t="s">
        <v>23</v>
      </c>
      <c r="G251" s="16">
        <v>45</v>
      </c>
    </row>
    <row r="252" spans="1:7" x14ac:dyDescent="0.25">
      <c r="A252" s="13" t="s">
        <v>1106</v>
      </c>
      <c r="B252" s="13">
        <v>1953</v>
      </c>
      <c r="C252" s="14" t="str">
        <f>+VLOOKUP(B252,[1]LISTE!$A$1:$D$431,4,FALSE)</f>
        <v>SGHAIER SAMI</v>
      </c>
      <c r="D252" s="14" t="s">
        <v>1020</v>
      </c>
      <c r="E252" s="15">
        <v>45742</v>
      </c>
      <c r="F252" s="14" t="s">
        <v>20</v>
      </c>
      <c r="G252" s="16">
        <v>20.181000000000001</v>
      </c>
    </row>
    <row r="253" spans="1:7" x14ac:dyDescent="0.25">
      <c r="A253" s="13" t="s">
        <v>1159</v>
      </c>
      <c r="B253" s="13">
        <v>1953</v>
      </c>
      <c r="C253" s="14" t="str">
        <f>+VLOOKUP(B253,[1]LISTE!$A$1:$D$431,4,FALSE)</f>
        <v>SGHAIER SAMI</v>
      </c>
      <c r="D253" s="14" t="s">
        <v>1020</v>
      </c>
      <c r="E253" s="15">
        <v>45759</v>
      </c>
      <c r="F253" s="14" t="s">
        <v>23</v>
      </c>
      <c r="G253" s="16">
        <v>45</v>
      </c>
    </row>
    <row r="254" spans="1:7" x14ac:dyDescent="0.25">
      <c r="A254" s="13" t="s">
        <v>1159</v>
      </c>
      <c r="B254" s="13">
        <v>1953</v>
      </c>
      <c r="C254" s="14" t="str">
        <f>+VLOOKUP(B254,[1]LISTE!$A$1:$D$431,4,FALSE)</f>
        <v>SGHAIER SAMI</v>
      </c>
      <c r="D254" s="14" t="s">
        <v>1020</v>
      </c>
      <c r="E254" s="15">
        <v>45759</v>
      </c>
      <c r="F254" s="14" t="s">
        <v>20</v>
      </c>
      <c r="G254" s="16">
        <v>32.86</v>
      </c>
    </row>
    <row r="255" spans="1:7" x14ac:dyDescent="0.25">
      <c r="A255" s="13" t="s">
        <v>1087</v>
      </c>
      <c r="B255" s="13">
        <v>1961</v>
      </c>
      <c r="C255" s="14" t="str">
        <f>+VLOOKUP(B255,[1]LISTE!$A$1:$D$431,4,FALSE)</f>
        <v>HEDFI ANIS</v>
      </c>
      <c r="D255" s="15" t="s">
        <v>1088</v>
      </c>
      <c r="E255" s="15">
        <v>45752</v>
      </c>
      <c r="F255" s="14" t="s">
        <v>18</v>
      </c>
      <c r="G255" s="16">
        <v>70</v>
      </c>
    </row>
    <row r="256" spans="1:7" x14ac:dyDescent="0.25">
      <c r="A256" s="13" t="s">
        <v>1160</v>
      </c>
      <c r="B256" s="13">
        <v>1978</v>
      </c>
      <c r="C256" s="14" t="str">
        <f>+VLOOKUP(B256,[1]LISTE!$A$1:$D$431,4,FALSE)</f>
        <v>MAHJOUB AHMED</v>
      </c>
      <c r="D256" s="14" t="s">
        <v>202</v>
      </c>
      <c r="E256" s="15">
        <v>45738</v>
      </c>
      <c r="F256" s="14" t="s">
        <v>65</v>
      </c>
      <c r="G256" s="16">
        <v>75</v>
      </c>
    </row>
    <row r="257" spans="1:7" x14ac:dyDescent="0.25">
      <c r="A257" s="13" t="s">
        <v>1044</v>
      </c>
      <c r="B257" s="13">
        <v>1983</v>
      </c>
      <c r="C257" s="14" t="str">
        <f>+VLOOKUP(B257,[1]LISTE!$A$1:$D$431,4,FALSE)</f>
        <v>GOUIDER SLAHEDDINE</v>
      </c>
      <c r="D257" s="14" t="s">
        <v>63</v>
      </c>
      <c r="E257" s="15">
        <v>45749</v>
      </c>
      <c r="F257" s="14" t="s">
        <v>18</v>
      </c>
      <c r="G257" s="16">
        <v>60</v>
      </c>
    </row>
    <row r="258" spans="1:7" x14ac:dyDescent="0.25">
      <c r="A258" s="13" t="s">
        <v>1044</v>
      </c>
      <c r="B258" s="13">
        <v>1983</v>
      </c>
      <c r="C258" s="14" t="str">
        <f>+VLOOKUP(B258,[1]LISTE!$A$1:$D$431,4,FALSE)</f>
        <v>GOUIDER SLAHEDDINE</v>
      </c>
      <c r="D258" s="14" t="s">
        <v>63</v>
      </c>
      <c r="E258" s="15">
        <v>45749</v>
      </c>
      <c r="F258" s="14" t="s">
        <v>20</v>
      </c>
      <c r="G258" s="16">
        <v>55.395000000000003</v>
      </c>
    </row>
    <row r="259" spans="1:7" x14ac:dyDescent="0.25">
      <c r="A259" s="13" t="s">
        <v>1045</v>
      </c>
      <c r="B259" s="13">
        <v>1983</v>
      </c>
      <c r="C259" s="14" t="str">
        <f>+VLOOKUP(B259,[1]LISTE!$A$1:$D$431,4,FALSE)</f>
        <v>GOUIDER SLAHEDDINE</v>
      </c>
      <c r="D259" s="14" t="s">
        <v>63</v>
      </c>
      <c r="E259" s="15">
        <v>45726</v>
      </c>
      <c r="F259" s="14" t="s">
        <v>18</v>
      </c>
      <c r="G259" s="16">
        <v>60</v>
      </c>
    </row>
    <row r="260" spans="1:7" x14ac:dyDescent="0.25">
      <c r="A260" s="13" t="s">
        <v>1045</v>
      </c>
      <c r="B260" s="13">
        <v>1983</v>
      </c>
      <c r="C260" s="14" t="str">
        <f>+VLOOKUP(B260,[1]LISTE!$A$1:$D$431,4,FALSE)</f>
        <v>GOUIDER SLAHEDDINE</v>
      </c>
      <c r="D260" s="14" t="s">
        <v>63</v>
      </c>
      <c r="E260" s="15">
        <v>45726</v>
      </c>
      <c r="F260" s="14" t="s">
        <v>20</v>
      </c>
      <c r="G260" s="16">
        <v>6.5940000000000003</v>
      </c>
    </row>
    <row r="261" spans="1:7" x14ac:dyDescent="0.25">
      <c r="A261" s="13" t="s">
        <v>1162</v>
      </c>
      <c r="B261" s="13">
        <v>1983</v>
      </c>
      <c r="C261" s="14" t="str">
        <f>+VLOOKUP(B261,[1]LISTE!$A$1:$D$431,4,FALSE)</f>
        <v>GOUIDER SLAHEDDINE</v>
      </c>
      <c r="D261" s="14" t="s">
        <v>296</v>
      </c>
      <c r="E261" s="15">
        <v>45755</v>
      </c>
      <c r="F261" s="14" t="s">
        <v>23</v>
      </c>
      <c r="G261" s="16">
        <v>45</v>
      </c>
    </row>
    <row r="262" spans="1:7" x14ac:dyDescent="0.25">
      <c r="A262" s="13" t="s">
        <v>1162</v>
      </c>
      <c r="B262" s="13">
        <v>1983</v>
      </c>
      <c r="C262" s="14" t="str">
        <f>+VLOOKUP(B262,[1]LISTE!$A$1:$D$431,4,FALSE)</f>
        <v>GOUIDER SLAHEDDINE</v>
      </c>
      <c r="D262" s="14" t="s">
        <v>296</v>
      </c>
      <c r="E262" s="15">
        <v>45755</v>
      </c>
      <c r="F262" s="14" t="s">
        <v>20</v>
      </c>
      <c r="G262" s="16">
        <v>32.883000000000003</v>
      </c>
    </row>
    <row r="263" spans="1:7" x14ac:dyDescent="0.25">
      <c r="A263" s="13" t="s">
        <v>1163</v>
      </c>
      <c r="B263" s="13">
        <v>1983</v>
      </c>
      <c r="C263" s="14" t="str">
        <f>+VLOOKUP(B263,[1]LISTE!$A$1:$D$431,4,FALSE)</f>
        <v>GOUIDER SLAHEDDINE</v>
      </c>
      <c r="D263" s="14" t="s">
        <v>200</v>
      </c>
      <c r="E263" s="15">
        <v>45756</v>
      </c>
      <c r="F263" s="14" t="s">
        <v>23</v>
      </c>
      <c r="G263" s="16">
        <v>45</v>
      </c>
    </row>
    <row r="264" spans="1:7" x14ac:dyDescent="0.25">
      <c r="A264" s="13" t="s">
        <v>1163</v>
      </c>
      <c r="B264" s="13">
        <v>1983</v>
      </c>
      <c r="C264" s="14" t="str">
        <f>+VLOOKUP(B264,[1]LISTE!$A$1:$D$431,4,FALSE)</f>
        <v>GOUIDER SLAHEDDINE</v>
      </c>
      <c r="D264" s="14" t="s">
        <v>200</v>
      </c>
      <c r="E264" s="15">
        <v>45756</v>
      </c>
      <c r="F264" s="14" t="s">
        <v>20</v>
      </c>
      <c r="G264" s="16">
        <v>29.975000000000001</v>
      </c>
    </row>
    <row r="265" spans="1:7" x14ac:dyDescent="0.25">
      <c r="A265" s="13" t="s">
        <v>943</v>
      </c>
      <c r="B265" s="13">
        <v>1990</v>
      </c>
      <c r="C265" s="14" t="s">
        <v>360</v>
      </c>
      <c r="D265" s="14" t="s">
        <v>186</v>
      </c>
      <c r="E265" s="15">
        <v>45724</v>
      </c>
      <c r="F265" s="14" t="s">
        <v>18</v>
      </c>
      <c r="G265" s="16">
        <v>60</v>
      </c>
    </row>
    <row r="266" spans="1:7" x14ac:dyDescent="0.25">
      <c r="A266" s="13" t="s">
        <v>943</v>
      </c>
      <c r="B266" s="13">
        <v>1990</v>
      </c>
      <c r="C266" s="14" t="s">
        <v>360</v>
      </c>
      <c r="D266" s="14" t="s">
        <v>186</v>
      </c>
      <c r="E266" s="15">
        <v>45725</v>
      </c>
      <c r="F266" s="14" t="s">
        <v>20</v>
      </c>
      <c r="G266" s="16">
        <v>9.0399999999999991</v>
      </c>
    </row>
    <row r="267" spans="1:7" x14ac:dyDescent="0.25">
      <c r="A267" s="13" t="s">
        <v>1122</v>
      </c>
      <c r="B267" s="13">
        <v>1990</v>
      </c>
      <c r="C267" s="14" t="s">
        <v>360</v>
      </c>
      <c r="D267" s="14" t="s">
        <v>361</v>
      </c>
      <c r="E267" s="15">
        <v>45728</v>
      </c>
      <c r="F267" s="14" t="s">
        <v>23</v>
      </c>
      <c r="G267" s="16">
        <v>45</v>
      </c>
    </row>
    <row r="268" spans="1:7" x14ac:dyDescent="0.25">
      <c r="A268" s="13" t="s">
        <v>1122</v>
      </c>
      <c r="B268" s="13">
        <v>1990</v>
      </c>
      <c r="C268" s="14" t="s">
        <v>360</v>
      </c>
      <c r="D268" s="14" t="s">
        <v>361</v>
      </c>
      <c r="E268" s="15">
        <v>45728</v>
      </c>
      <c r="F268" s="14" t="s">
        <v>20</v>
      </c>
      <c r="G268" s="16">
        <v>25.895</v>
      </c>
    </row>
    <row r="269" spans="1:7" x14ac:dyDescent="0.25">
      <c r="A269" s="13" t="s">
        <v>1123</v>
      </c>
      <c r="B269" s="13">
        <v>1990</v>
      </c>
      <c r="C269" s="14" t="s">
        <v>360</v>
      </c>
      <c r="D269" s="15" t="s">
        <v>186</v>
      </c>
      <c r="E269" s="15">
        <v>45755</v>
      </c>
      <c r="F269" s="14" t="s">
        <v>18</v>
      </c>
      <c r="G269" s="16">
        <v>70</v>
      </c>
    </row>
    <row r="270" spans="1:7" x14ac:dyDescent="0.25">
      <c r="A270" s="13" t="s">
        <v>1123</v>
      </c>
      <c r="B270" s="13">
        <v>1990</v>
      </c>
      <c r="C270" s="14" t="s">
        <v>360</v>
      </c>
      <c r="D270" s="15" t="s">
        <v>186</v>
      </c>
      <c r="E270" s="15">
        <v>45755</v>
      </c>
      <c r="F270" s="14" t="s">
        <v>20</v>
      </c>
      <c r="G270" s="16">
        <v>20.600999999999999</v>
      </c>
    </row>
    <row r="271" spans="1:7" x14ac:dyDescent="0.25">
      <c r="A271" s="13" t="s">
        <v>1041</v>
      </c>
      <c r="B271" s="13">
        <v>1993</v>
      </c>
      <c r="C271" s="14" t="str">
        <f>+VLOOKUP(B271,[1]LISTE!$A$1:$D$431,4,FALSE)</f>
        <v>OUNI MEHDI</v>
      </c>
      <c r="D271" s="14" t="s">
        <v>22</v>
      </c>
      <c r="E271" s="15">
        <v>45696</v>
      </c>
      <c r="F271" s="14" t="s">
        <v>23</v>
      </c>
      <c r="G271" s="16">
        <v>50</v>
      </c>
    </row>
    <row r="272" spans="1:7" x14ac:dyDescent="0.25">
      <c r="A272" s="13" t="s">
        <v>1041</v>
      </c>
      <c r="B272" s="13">
        <v>1993</v>
      </c>
      <c r="C272" s="14" t="str">
        <f>+VLOOKUP(B272,[1]LISTE!$A$1:$D$431,4,FALSE)</f>
        <v>OUNI MEHDI</v>
      </c>
      <c r="D272" s="14" t="s">
        <v>22</v>
      </c>
      <c r="E272" s="15">
        <v>45700</v>
      </c>
      <c r="F272" s="14" t="s">
        <v>24</v>
      </c>
      <c r="G272" s="16">
        <v>600</v>
      </c>
    </row>
    <row r="273" spans="1:7" x14ac:dyDescent="0.25">
      <c r="A273" s="13" t="s">
        <v>1041</v>
      </c>
      <c r="B273" s="13">
        <v>1993</v>
      </c>
      <c r="C273" s="14" t="str">
        <f>+VLOOKUP(B273,[1]LISTE!$A$1:$D$431,4,FALSE)</f>
        <v>OUNI MEHDI</v>
      </c>
      <c r="D273" s="14" t="s">
        <v>22</v>
      </c>
      <c r="E273" s="15">
        <v>45708</v>
      </c>
      <c r="F273" s="14" t="s">
        <v>25</v>
      </c>
      <c r="G273" s="16">
        <v>1200</v>
      </c>
    </row>
    <row r="274" spans="1:7" x14ac:dyDescent="0.25">
      <c r="A274" s="13" t="s">
        <v>1037</v>
      </c>
      <c r="B274" s="13">
        <v>2004</v>
      </c>
      <c r="C274" s="14" t="str">
        <f>+VLOOKUP(B274,[1]LISTE!$A$1:$D$431,4,FALSE)</f>
        <v>LAAJILI LOTFI</v>
      </c>
      <c r="D274" s="15" t="s">
        <v>22</v>
      </c>
      <c r="E274" s="15">
        <v>45695</v>
      </c>
      <c r="F274" s="14" t="s">
        <v>18</v>
      </c>
      <c r="G274" s="16">
        <v>70</v>
      </c>
    </row>
    <row r="275" spans="1:7" x14ac:dyDescent="0.25">
      <c r="A275" s="13" t="s">
        <v>1037</v>
      </c>
      <c r="B275" s="13">
        <v>2004</v>
      </c>
      <c r="C275" s="14" t="str">
        <f>+VLOOKUP(B275,[1]LISTE!$A$1:$D$431,4,FALSE)</f>
        <v>LAAJILI LOTFI</v>
      </c>
      <c r="D275" s="14" t="s">
        <v>22</v>
      </c>
      <c r="E275" s="15">
        <v>45741</v>
      </c>
      <c r="F275" s="14" t="s">
        <v>69</v>
      </c>
      <c r="G275" s="16">
        <v>360</v>
      </c>
    </row>
    <row r="276" spans="1:7" x14ac:dyDescent="0.25">
      <c r="A276" s="13" t="s">
        <v>1125</v>
      </c>
      <c r="B276" s="13">
        <v>2005</v>
      </c>
      <c r="C276" s="14" t="str">
        <f>+VLOOKUP(B276,[1]LISTE!$A$1:$D$431,4,FALSE)</f>
        <v>ESSAFI FEHMI</v>
      </c>
      <c r="D276" s="15" t="s">
        <v>22</v>
      </c>
      <c r="E276" s="15">
        <v>45741</v>
      </c>
      <c r="F276" s="14" t="s">
        <v>23</v>
      </c>
      <c r="G276" s="16">
        <v>3</v>
      </c>
    </row>
    <row r="277" spans="1:7" x14ac:dyDescent="0.25">
      <c r="A277" s="13" t="s">
        <v>1125</v>
      </c>
      <c r="B277" s="13">
        <v>2005</v>
      </c>
      <c r="C277" s="14" t="str">
        <f>+VLOOKUP(B277,[1]LISTE!$A$1:$D$431,4,FALSE)</f>
        <v>ESSAFI FEHMI</v>
      </c>
      <c r="D277" s="14" t="s">
        <v>22</v>
      </c>
      <c r="E277" s="15">
        <v>45741</v>
      </c>
      <c r="F277" s="14" t="s">
        <v>20</v>
      </c>
      <c r="G277" s="16">
        <v>43.77</v>
      </c>
    </row>
    <row r="278" spans="1:7" x14ac:dyDescent="0.25">
      <c r="A278" s="13" t="s">
        <v>1176</v>
      </c>
      <c r="B278" s="13">
        <v>2036</v>
      </c>
      <c r="C278" s="14" t="s">
        <v>131</v>
      </c>
      <c r="D278" s="14" t="s">
        <v>22</v>
      </c>
      <c r="E278" s="15">
        <v>45742</v>
      </c>
      <c r="F278" s="14" t="s">
        <v>23</v>
      </c>
      <c r="G278" s="16">
        <v>50</v>
      </c>
    </row>
    <row r="279" spans="1:7" x14ac:dyDescent="0.25">
      <c r="A279" s="13" t="s">
        <v>1176</v>
      </c>
      <c r="B279" s="13">
        <v>2036</v>
      </c>
      <c r="C279" s="14" t="s">
        <v>131</v>
      </c>
      <c r="D279" s="14" t="s">
        <v>22</v>
      </c>
      <c r="E279" s="15">
        <v>45742</v>
      </c>
      <c r="F279" s="14" t="s">
        <v>20</v>
      </c>
      <c r="G279" s="16">
        <v>86.632000000000005</v>
      </c>
    </row>
    <row r="280" spans="1:7" x14ac:dyDescent="0.25">
      <c r="A280" s="13" t="s">
        <v>1184</v>
      </c>
      <c r="B280" s="13">
        <v>2040</v>
      </c>
      <c r="C280" s="14" t="str">
        <f>+VLOOKUP(B280,[1]LISTE!$A$1:$D$431,4,FALSE)</f>
        <v>GHEZAL YOUSSEF</v>
      </c>
      <c r="D280" s="14" t="s">
        <v>268</v>
      </c>
      <c r="E280" s="15">
        <v>45761</v>
      </c>
      <c r="F280" s="14" t="s">
        <v>18</v>
      </c>
      <c r="G280" s="16">
        <v>60</v>
      </c>
    </row>
    <row r="281" spans="1:7" x14ac:dyDescent="0.25">
      <c r="A281" s="13" t="s">
        <v>1184</v>
      </c>
      <c r="B281" s="13">
        <v>2040</v>
      </c>
      <c r="C281" s="14" t="str">
        <f>+VLOOKUP(B281,[1]LISTE!$A$1:$D$431,4,FALSE)</f>
        <v>GHEZAL YOUSSEF</v>
      </c>
      <c r="D281" s="14" t="s">
        <v>268</v>
      </c>
      <c r="E281" s="15">
        <v>45761</v>
      </c>
      <c r="F281" s="14" t="s">
        <v>20</v>
      </c>
      <c r="G281" s="16">
        <v>6.0650000000000004</v>
      </c>
    </row>
    <row r="282" spans="1:7" x14ac:dyDescent="0.25">
      <c r="A282" s="13" t="s">
        <v>1184</v>
      </c>
      <c r="B282" s="13">
        <v>2040</v>
      </c>
      <c r="C282" s="14" t="str">
        <f>+VLOOKUP(B282,[1]LISTE!$A$1:$D$431,4,FALSE)</f>
        <v>GHEZAL YOUSSEF</v>
      </c>
      <c r="D282" s="14" t="s">
        <v>268</v>
      </c>
      <c r="E282" s="15">
        <v>45761</v>
      </c>
      <c r="F282" s="14" t="s">
        <v>363</v>
      </c>
      <c r="G282" s="16">
        <v>250</v>
      </c>
    </row>
    <row r="283" spans="1:7" x14ac:dyDescent="0.25">
      <c r="A283" s="13" t="s">
        <v>1080</v>
      </c>
      <c r="B283" s="13">
        <v>2053</v>
      </c>
      <c r="C283" s="14" t="str">
        <f>+VLOOKUP(B283,[1]LISTE!$A$1:$D$431,4,FALSE)</f>
        <v>SAID YASSINE</v>
      </c>
      <c r="D283" s="14" t="s">
        <v>22</v>
      </c>
      <c r="E283" s="15">
        <v>45736</v>
      </c>
      <c r="F283" s="14" t="s">
        <v>18</v>
      </c>
      <c r="G283" s="16">
        <v>10</v>
      </c>
    </row>
    <row r="284" spans="1:7" x14ac:dyDescent="0.25">
      <c r="A284" s="13" t="s">
        <v>1080</v>
      </c>
      <c r="B284" s="13">
        <v>2053</v>
      </c>
      <c r="C284" s="14" t="str">
        <f>+VLOOKUP(B284,[1]LISTE!$A$1:$D$431,4,FALSE)</f>
        <v>SAID YASSINE</v>
      </c>
      <c r="D284" s="14" t="s">
        <v>22</v>
      </c>
      <c r="E284" s="15">
        <v>45736</v>
      </c>
      <c r="F284" s="14" t="s">
        <v>20</v>
      </c>
      <c r="G284" s="16">
        <v>9.1039999999999992</v>
      </c>
    </row>
    <row r="285" spans="1:7" x14ac:dyDescent="0.25">
      <c r="A285" s="13" t="s">
        <v>1080</v>
      </c>
      <c r="B285" s="13">
        <v>2053</v>
      </c>
      <c r="C285" s="14" t="str">
        <f>+VLOOKUP(B285,[1]LISTE!$A$1:$D$431,4,FALSE)</f>
        <v>SAID YASSINE</v>
      </c>
      <c r="D285" s="15" t="s">
        <v>22</v>
      </c>
      <c r="E285" s="15">
        <v>45736</v>
      </c>
      <c r="F285" s="14" t="s">
        <v>20</v>
      </c>
      <c r="G285" s="16">
        <v>37.826000000000001</v>
      </c>
    </row>
    <row r="286" spans="1:7" x14ac:dyDescent="0.25">
      <c r="A286" s="13" t="s">
        <v>1080</v>
      </c>
      <c r="B286" s="13">
        <v>2053</v>
      </c>
      <c r="C286" s="14" t="str">
        <f>+VLOOKUP(B286,[1]LISTE!$A$1:$D$431,4,FALSE)</f>
        <v>SAID YASSINE</v>
      </c>
      <c r="D286" s="15" t="s">
        <v>22</v>
      </c>
      <c r="E286" s="15">
        <v>45736</v>
      </c>
      <c r="F286" s="14" t="s">
        <v>18</v>
      </c>
      <c r="G286" s="16">
        <v>70.2</v>
      </c>
    </row>
    <row r="287" spans="1:7" x14ac:dyDescent="0.25">
      <c r="A287" s="13" t="s">
        <v>1080</v>
      </c>
      <c r="B287" s="13">
        <v>2053</v>
      </c>
      <c r="C287" s="14" t="str">
        <f>+VLOOKUP(B287,[1]LISTE!$A$1:$D$431,4,FALSE)</f>
        <v>SAID YASSINE</v>
      </c>
      <c r="D287" s="14" t="s">
        <v>22</v>
      </c>
      <c r="E287" s="15">
        <v>45736</v>
      </c>
      <c r="F287" s="14" t="s">
        <v>364</v>
      </c>
      <c r="G287" s="16">
        <v>228.648</v>
      </c>
    </row>
    <row r="288" spans="1:7" x14ac:dyDescent="0.25">
      <c r="A288" s="13" t="s">
        <v>1113</v>
      </c>
      <c r="B288" s="13">
        <v>2055</v>
      </c>
      <c r="C288" s="14" t="str">
        <f>+VLOOKUP(B288,[1]LISTE!$A$1:$D$431,4,FALSE)</f>
        <v>BEN YAHIA AHMED</v>
      </c>
      <c r="D288" s="15" t="s">
        <v>481</v>
      </c>
      <c r="E288" s="15">
        <v>45742</v>
      </c>
      <c r="F288" s="14" t="s">
        <v>21</v>
      </c>
      <c r="G288" s="16">
        <v>140</v>
      </c>
    </row>
    <row r="289" spans="1:7" x14ac:dyDescent="0.25">
      <c r="A289" s="13" t="s">
        <v>1131</v>
      </c>
      <c r="B289" s="13">
        <v>2055</v>
      </c>
      <c r="C289" s="14" t="str">
        <f>+VLOOKUP(B289,[1]LISTE!$A$1:$D$431,4,FALSE)</f>
        <v>BEN YAHIA AHMED</v>
      </c>
      <c r="D289" s="15" t="s">
        <v>481</v>
      </c>
      <c r="E289" s="15">
        <v>45729</v>
      </c>
      <c r="F289" s="14" t="s">
        <v>18</v>
      </c>
      <c r="G289" s="16">
        <v>70</v>
      </c>
    </row>
    <row r="290" spans="1:7" x14ac:dyDescent="0.25">
      <c r="A290" s="13" t="s">
        <v>1131</v>
      </c>
      <c r="B290" s="13">
        <v>2055</v>
      </c>
      <c r="C290" s="14" t="str">
        <f>+VLOOKUP(B290,[1]LISTE!$A$1:$D$431,4,FALSE)</f>
        <v>BEN YAHIA AHMED</v>
      </c>
      <c r="D290" s="15" t="s">
        <v>481</v>
      </c>
      <c r="E290" s="15">
        <v>45729</v>
      </c>
      <c r="F290" s="14" t="s">
        <v>20</v>
      </c>
      <c r="G290" s="16">
        <v>69.481999999999999</v>
      </c>
    </row>
    <row r="291" spans="1:7" x14ac:dyDescent="0.25">
      <c r="A291" s="13" t="s">
        <v>1105</v>
      </c>
      <c r="B291" s="13">
        <v>2065</v>
      </c>
      <c r="C291" s="14" t="str">
        <f>+VLOOKUP(B291,[1]LISTE!$A$1:$D$431,4,FALSE)</f>
        <v>CHIHAOUI ALAAEDDINE</v>
      </c>
      <c r="D291" s="15" t="s">
        <v>22</v>
      </c>
      <c r="E291" s="15">
        <v>45737</v>
      </c>
      <c r="F291" s="14" t="s">
        <v>23</v>
      </c>
      <c r="G291" s="16">
        <v>40</v>
      </c>
    </row>
    <row r="292" spans="1:7" x14ac:dyDescent="0.25">
      <c r="A292" s="13" t="s">
        <v>1105</v>
      </c>
      <c r="B292" s="13">
        <v>2065</v>
      </c>
      <c r="C292" s="14" t="str">
        <f>+VLOOKUP(B292,[1]LISTE!$A$1:$D$431,4,FALSE)</f>
        <v>CHIHAOUI ALAAEDDINE</v>
      </c>
      <c r="D292" s="15" t="s">
        <v>22</v>
      </c>
      <c r="E292" s="15">
        <v>45737</v>
      </c>
      <c r="F292" s="14" t="s">
        <v>20</v>
      </c>
      <c r="G292" s="16">
        <v>61.664999999999999</v>
      </c>
    </row>
    <row r="293" spans="1:7" x14ac:dyDescent="0.25">
      <c r="A293" s="13" t="s">
        <v>1142</v>
      </c>
      <c r="B293" s="13">
        <v>2065</v>
      </c>
      <c r="C293" s="14" t="str">
        <f>+VLOOKUP(B293,[1]LISTE!$A$1:$D$431,4,FALSE)</f>
        <v>CHIHAOUI ALAAEDDINE</v>
      </c>
      <c r="D293" s="15" t="s">
        <v>22</v>
      </c>
      <c r="E293" s="15">
        <v>45752</v>
      </c>
      <c r="F293" s="14" t="s">
        <v>23</v>
      </c>
      <c r="G293" s="16">
        <v>60</v>
      </c>
    </row>
    <row r="294" spans="1:7" x14ac:dyDescent="0.25">
      <c r="A294" s="13" t="s">
        <v>1142</v>
      </c>
      <c r="B294" s="13">
        <v>2065</v>
      </c>
      <c r="C294" s="14" t="str">
        <f>+VLOOKUP(B294,[1]LISTE!$A$1:$D$431,4,FALSE)</f>
        <v>CHIHAOUI ALAAEDDINE</v>
      </c>
      <c r="D294" s="15" t="s">
        <v>22</v>
      </c>
      <c r="E294" s="15">
        <v>45752</v>
      </c>
      <c r="F294" s="14" t="s">
        <v>20</v>
      </c>
      <c r="G294" s="16">
        <v>28.094999999999999</v>
      </c>
    </row>
    <row r="295" spans="1:7" x14ac:dyDescent="0.25">
      <c r="A295" s="13" t="s">
        <v>1161</v>
      </c>
      <c r="B295" s="13">
        <v>2084</v>
      </c>
      <c r="C295" s="14" t="str">
        <f>+VLOOKUP(B295,[1]LISTE!$A$1:$D$431,4,FALSE)</f>
        <v>HELALI Emna</v>
      </c>
      <c r="D295" s="14" t="s">
        <v>22</v>
      </c>
      <c r="E295" s="15">
        <v>45751</v>
      </c>
      <c r="F295" s="14" t="s">
        <v>18</v>
      </c>
      <c r="G295" s="16">
        <v>70</v>
      </c>
    </row>
    <row r="296" spans="1:7" x14ac:dyDescent="0.25">
      <c r="A296" s="13" t="s">
        <v>1161</v>
      </c>
      <c r="B296" s="13">
        <v>2084</v>
      </c>
      <c r="C296" s="14" t="str">
        <f>+VLOOKUP(B296,[1]LISTE!$A$1:$D$431,4,FALSE)</f>
        <v>HELALI Emna</v>
      </c>
      <c r="D296" s="14" t="s">
        <v>22</v>
      </c>
      <c r="E296" s="15">
        <v>45751</v>
      </c>
      <c r="F296" s="14" t="s">
        <v>20</v>
      </c>
      <c r="G296" s="16">
        <v>26.452999999999999</v>
      </c>
    </row>
    <row r="297" spans="1:7" x14ac:dyDescent="0.25">
      <c r="A297" s="13" t="s">
        <v>1161</v>
      </c>
      <c r="B297" s="13">
        <v>2084</v>
      </c>
      <c r="C297" s="14" t="str">
        <f>+VLOOKUP(B297,[1]LISTE!$A$1:$D$431,4,FALSE)</f>
        <v>HELALI Emna</v>
      </c>
      <c r="D297" s="14" t="s">
        <v>22</v>
      </c>
      <c r="E297" s="15">
        <v>45757</v>
      </c>
      <c r="F297" s="14" t="s">
        <v>19</v>
      </c>
      <c r="G297" s="16">
        <v>72.37</v>
      </c>
    </row>
    <row r="298" spans="1:7" x14ac:dyDescent="0.25">
      <c r="A298" s="13" t="s">
        <v>1097</v>
      </c>
      <c r="B298" s="13">
        <v>2100</v>
      </c>
      <c r="C298" s="14" t="str">
        <f>+VLOOKUP(B298,[1]LISTE!$A$1:$D$431,4,FALSE)</f>
        <v>MLAYEH NEZIHA</v>
      </c>
      <c r="D298" s="15" t="s">
        <v>22</v>
      </c>
      <c r="E298" s="15">
        <v>45746</v>
      </c>
      <c r="F298" s="14" t="s">
        <v>23</v>
      </c>
      <c r="G298" s="16">
        <v>3</v>
      </c>
    </row>
    <row r="299" spans="1:7" x14ac:dyDescent="0.25">
      <c r="A299" s="13" t="s">
        <v>1097</v>
      </c>
      <c r="B299" s="13">
        <v>2100</v>
      </c>
      <c r="C299" s="14" t="str">
        <f>+VLOOKUP(B299,[1]LISTE!$A$1:$D$431,4,FALSE)</f>
        <v>MLAYEH NEZIHA</v>
      </c>
      <c r="D299" s="15" t="s">
        <v>22</v>
      </c>
      <c r="E299" s="15">
        <v>45746</v>
      </c>
      <c r="F299" s="14" t="s">
        <v>20</v>
      </c>
      <c r="G299" s="16">
        <v>45.805999999999997</v>
      </c>
    </row>
    <row r="300" spans="1:7" x14ac:dyDescent="0.25">
      <c r="A300" s="13" t="s">
        <v>1098</v>
      </c>
      <c r="B300" s="13">
        <v>2102</v>
      </c>
      <c r="C300" s="14" t="str">
        <f>+VLOOKUP(B300,[1]LISTE!$A$1:$D$431,4,FALSE)</f>
        <v>BENAMER MARWA</v>
      </c>
      <c r="D300" s="15" t="s">
        <v>428</v>
      </c>
      <c r="E300" s="15">
        <v>45751</v>
      </c>
      <c r="F300" s="14" t="s">
        <v>18</v>
      </c>
      <c r="G300" s="16">
        <v>60</v>
      </c>
    </row>
    <row r="301" spans="1:7" x14ac:dyDescent="0.25">
      <c r="A301" s="13" t="s">
        <v>1098</v>
      </c>
      <c r="B301" s="13">
        <v>2102</v>
      </c>
      <c r="C301" s="14" t="str">
        <f>+VLOOKUP(B301,[1]LISTE!$A$1:$D$431,4,FALSE)</f>
        <v>BENAMER MARWA</v>
      </c>
      <c r="D301" s="15" t="s">
        <v>428</v>
      </c>
      <c r="E301" s="15">
        <v>45751</v>
      </c>
      <c r="F301" s="14" t="s">
        <v>20</v>
      </c>
      <c r="G301" s="16">
        <v>37.130000000000003</v>
      </c>
    </row>
    <row r="302" spans="1:7" x14ac:dyDescent="0.25">
      <c r="A302" s="13" t="s">
        <v>1099</v>
      </c>
      <c r="B302" s="13">
        <v>2102</v>
      </c>
      <c r="C302" s="14" t="str">
        <f>+VLOOKUP(B302,[1]LISTE!$A$1:$D$431,4,FALSE)</f>
        <v>BENAMER MARWA</v>
      </c>
      <c r="D302" s="14" t="s">
        <v>22</v>
      </c>
      <c r="E302" s="15">
        <v>45735</v>
      </c>
      <c r="F302" s="14" t="s">
        <v>18</v>
      </c>
      <c r="G302" s="16">
        <v>70</v>
      </c>
    </row>
    <row r="303" spans="1:7" x14ac:dyDescent="0.25">
      <c r="A303" s="13" t="s">
        <v>1099</v>
      </c>
      <c r="B303" s="13">
        <v>2102</v>
      </c>
      <c r="C303" s="14" t="str">
        <f>+VLOOKUP(B303,[1]LISTE!$A$1:$D$431,4,FALSE)</f>
        <v>BENAMER MARWA</v>
      </c>
      <c r="D303" s="15" t="s">
        <v>22</v>
      </c>
      <c r="E303" s="15">
        <v>45746</v>
      </c>
      <c r="F303" s="14" t="s">
        <v>20</v>
      </c>
      <c r="G303" s="16">
        <v>29.148</v>
      </c>
    </row>
    <row r="304" spans="1:7" x14ac:dyDescent="0.25">
      <c r="A304" s="13" t="s">
        <v>1043</v>
      </c>
      <c r="B304" s="13">
        <v>2124</v>
      </c>
      <c r="C304" s="14" t="str">
        <f>+VLOOKUP(B304,[1]LISTE!$A$1:$D$431,4,FALSE)</f>
        <v>AHMED BEN HADJ MESSAOUD</v>
      </c>
      <c r="D304" s="15" t="s">
        <v>22</v>
      </c>
      <c r="E304" s="15">
        <v>45724</v>
      </c>
      <c r="F304" s="14" t="s">
        <v>23</v>
      </c>
      <c r="G304" s="16">
        <v>50</v>
      </c>
    </row>
    <row r="305" spans="1:7" x14ac:dyDescent="0.25">
      <c r="A305" s="13" t="s">
        <v>1043</v>
      </c>
      <c r="B305" s="13">
        <v>2124</v>
      </c>
      <c r="C305" s="14" t="str">
        <f>+VLOOKUP(B305,[1]LISTE!$A$1:$D$431,4,FALSE)</f>
        <v>AHMED BEN HADJ MESSAOUD</v>
      </c>
      <c r="D305" s="14" t="s">
        <v>22</v>
      </c>
      <c r="E305" s="15">
        <v>45724</v>
      </c>
      <c r="F305" s="14" t="s">
        <v>20</v>
      </c>
      <c r="G305" s="16">
        <v>35.656999999999996</v>
      </c>
    </row>
    <row r="306" spans="1:7" x14ac:dyDescent="0.25">
      <c r="A306" s="13" t="s">
        <v>1030</v>
      </c>
      <c r="B306" s="13">
        <v>2145</v>
      </c>
      <c r="C306" s="14" t="str">
        <f>+VLOOKUP(B306,[1]LISTE!$A$1:$D$431,4,FALSE)</f>
        <v>MRIBAH HAMZA</v>
      </c>
      <c r="D306" s="14" t="s">
        <v>44</v>
      </c>
      <c r="E306" s="15">
        <v>45737</v>
      </c>
      <c r="F306" s="14" t="s">
        <v>18</v>
      </c>
      <c r="G306" s="16">
        <v>70</v>
      </c>
    </row>
    <row r="307" spans="1:7" x14ac:dyDescent="0.25">
      <c r="A307" s="13" t="s">
        <v>1030</v>
      </c>
      <c r="B307" s="13">
        <v>2145</v>
      </c>
      <c r="C307" s="14" t="str">
        <f>+VLOOKUP(B307,[1]LISTE!$A$1:$D$431,4,FALSE)</f>
        <v>MRIBAH HAMZA</v>
      </c>
      <c r="D307" s="14" t="s">
        <v>44</v>
      </c>
      <c r="E307" s="15">
        <v>45737</v>
      </c>
      <c r="F307" s="14" t="s">
        <v>20</v>
      </c>
      <c r="G307" s="16">
        <v>109.34</v>
      </c>
    </row>
    <row r="308" spans="1:7" x14ac:dyDescent="0.25">
      <c r="A308" s="13" t="s">
        <v>1073</v>
      </c>
      <c r="B308" s="13">
        <v>2153</v>
      </c>
      <c r="C308" s="14" t="str">
        <f>+VLOOKUP(B308,[1]LISTE!$A$1:$D$431,4,FALSE)</f>
        <v>BABAY ROUIS ANOIR</v>
      </c>
      <c r="D308" s="14" t="s">
        <v>361</v>
      </c>
      <c r="E308" s="15">
        <v>45744</v>
      </c>
      <c r="F308" s="14" t="s">
        <v>20</v>
      </c>
      <c r="G308" s="16">
        <v>173.88200000000001</v>
      </c>
    </row>
    <row r="309" spans="1:7" x14ac:dyDescent="0.25">
      <c r="A309" s="13" t="s">
        <v>1073</v>
      </c>
      <c r="B309" s="13">
        <v>2153</v>
      </c>
      <c r="C309" s="14" t="str">
        <f>+VLOOKUP(B309,[1]LISTE!$A$1:$D$431,4,FALSE)</f>
        <v>BABAY ROUIS ANOIR</v>
      </c>
      <c r="D309" s="14" t="s">
        <v>361</v>
      </c>
      <c r="E309" s="15">
        <v>45740</v>
      </c>
      <c r="F309" s="14" t="s">
        <v>20</v>
      </c>
      <c r="G309" s="16">
        <v>13.9</v>
      </c>
    </row>
    <row r="310" spans="1:7" x14ac:dyDescent="0.25">
      <c r="A310" s="13" t="s">
        <v>1073</v>
      </c>
      <c r="B310" s="13">
        <v>2153</v>
      </c>
      <c r="C310" s="14" t="str">
        <f>+VLOOKUP(B310,[1]LISTE!$A$1:$D$431,4,FALSE)</f>
        <v>BABAY ROUIS ANOIR</v>
      </c>
      <c r="D310" s="14" t="s">
        <v>361</v>
      </c>
      <c r="E310" s="15">
        <v>45740</v>
      </c>
      <c r="F310" s="14" t="s">
        <v>19</v>
      </c>
      <c r="G310" s="16">
        <v>42.8</v>
      </c>
    </row>
    <row r="311" spans="1:7" x14ac:dyDescent="0.25">
      <c r="A311" s="13" t="s">
        <v>1074</v>
      </c>
      <c r="B311" s="13">
        <v>2153</v>
      </c>
      <c r="C311" s="14" t="str">
        <f>+VLOOKUP(B311,[1]LISTE!$A$1:$D$431,4,FALSE)</f>
        <v>BABAY ROUIS ANOIR</v>
      </c>
      <c r="D311" s="14" t="s">
        <v>361</v>
      </c>
      <c r="E311" s="15">
        <v>45750</v>
      </c>
      <c r="F311" s="14" t="s">
        <v>18</v>
      </c>
      <c r="G311" s="16">
        <v>70</v>
      </c>
    </row>
    <row r="312" spans="1:7" x14ac:dyDescent="0.25">
      <c r="A312" s="13" t="s">
        <v>1074</v>
      </c>
      <c r="B312" s="13">
        <v>2153</v>
      </c>
      <c r="C312" s="14" t="str">
        <f>+VLOOKUP(B312,[1]LISTE!$A$1:$D$431,4,FALSE)</f>
        <v>BABAY ROUIS ANOIR</v>
      </c>
      <c r="D312" s="15" t="s">
        <v>361</v>
      </c>
      <c r="E312" s="15">
        <v>45750</v>
      </c>
      <c r="F312" s="14" t="s">
        <v>20</v>
      </c>
      <c r="G312" s="16">
        <v>4.2</v>
      </c>
    </row>
    <row r="313" spans="1:7" x14ac:dyDescent="0.25">
      <c r="A313" s="13" t="s">
        <v>1114</v>
      </c>
      <c r="B313" s="13">
        <v>2184</v>
      </c>
      <c r="C313" s="14" t="s">
        <v>386</v>
      </c>
      <c r="D313" s="15" t="s">
        <v>387</v>
      </c>
      <c r="E313" s="15">
        <v>45745</v>
      </c>
      <c r="F313" s="14" t="s">
        <v>18</v>
      </c>
      <c r="G313" s="16">
        <v>70</v>
      </c>
    </row>
    <row r="314" spans="1:7" x14ac:dyDescent="0.25">
      <c r="A314" s="13" t="s">
        <v>1114</v>
      </c>
      <c r="B314" s="13">
        <v>2184</v>
      </c>
      <c r="C314" s="14" t="s">
        <v>386</v>
      </c>
      <c r="D314" s="14" t="s">
        <v>387</v>
      </c>
      <c r="E314" s="15">
        <v>45745</v>
      </c>
      <c r="F314" s="14" t="s">
        <v>19</v>
      </c>
      <c r="G314" s="16">
        <v>7</v>
      </c>
    </row>
    <row r="315" spans="1:7" x14ac:dyDescent="0.25">
      <c r="A315" s="13" t="s">
        <v>1114</v>
      </c>
      <c r="B315" s="13">
        <v>2184</v>
      </c>
      <c r="C315" s="14" t="s">
        <v>386</v>
      </c>
      <c r="D315" s="14" t="s">
        <v>387</v>
      </c>
      <c r="E315" s="15">
        <v>45752</v>
      </c>
      <c r="F315" s="14" t="s">
        <v>19</v>
      </c>
      <c r="G315" s="16">
        <v>112.35</v>
      </c>
    </row>
    <row r="316" spans="1:7" x14ac:dyDescent="0.25">
      <c r="A316" s="13" t="s">
        <v>1119</v>
      </c>
      <c r="B316" s="13">
        <v>2184</v>
      </c>
      <c r="C316" s="14" t="s">
        <v>386</v>
      </c>
      <c r="D316" s="15" t="s">
        <v>387</v>
      </c>
      <c r="E316" s="15">
        <v>45733</v>
      </c>
      <c r="F316" s="14" t="s">
        <v>18</v>
      </c>
      <c r="G316" s="16">
        <v>70</v>
      </c>
    </row>
    <row r="317" spans="1:7" x14ac:dyDescent="0.25">
      <c r="A317" s="13" t="s">
        <v>1119</v>
      </c>
      <c r="B317" s="13">
        <v>2184</v>
      </c>
      <c r="C317" s="14" t="s">
        <v>386</v>
      </c>
      <c r="D317" s="14" t="s">
        <v>387</v>
      </c>
      <c r="E317" s="15">
        <v>45733</v>
      </c>
      <c r="F317" s="14" t="s">
        <v>20</v>
      </c>
      <c r="G317" s="16">
        <v>26.844000000000001</v>
      </c>
    </row>
    <row r="318" spans="1:7" x14ac:dyDescent="0.25">
      <c r="A318" s="13" t="s">
        <v>1064</v>
      </c>
      <c r="B318" s="13">
        <v>2203</v>
      </c>
      <c r="C318" s="14" t="s">
        <v>1065</v>
      </c>
      <c r="D318" s="15" t="s">
        <v>931</v>
      </c>
      <c r="E318" s="15">
        <v>45750</v>
      </c>
      <c r="F318" s="14" t="s">
        <v>18</v>
      </c>
      <c r="G318" s="16">
        <v>60</v>
      </c>
    </row>
    <row r="319" spans="1:7" x14ac:dyDescent="0.25">
      <c r="A319" s="13" t="s">
        <v>1064</v>
      </c>
      <c r="B319" s="13">
        <v>2203</v>
      </c>
      <c r="C319" s="14" t="s">
        <v>1065</v>
      </c>
      <c r="D319" s="15" t="s">
        <v>931</v>
      </c>
      <c r="E319" s="15">
        <v>45750</v>
      </c>
      <c r="F319" s="14" t="s">
        <v>20</v>
      </c>
      <c r="G319" s="16">
        <v>43.5</v>
      </c>
    </row>
    <row r="320" spans="1:7" x14ac:dyDescent="0.25">
      <c r="A320" s="13" t="s">
        <v>1126</v>
      </c>
      <c r="B320" s="13">
        <v>2246</v>
      </c>
      <c r="C320" s="14" t="s">
        <v>664</v>
      </c>
      <c r="D320" s="15" t="s">
        <v>665</v>
      </c>
      <c r="E320" s="15">
        <v>45733</v>
      </c>
      <c r="F320" s="14" t="s">
        <v>18</v>
      </c>
      <c r="G320" s="16">
        <v>70</v>
      </c>
    </row>
    <row r="321" spans="1:7" x14ac:dyDescent="0.25">
      <c r="A321" s="13" t="s">
        <v>1126</v>
      </c>
      <c r="B321" s="13">
        <v>2246</v>
      </c>
      <c r="C321" s="14" t="s">
        <v>664</v>
      </c>
      <c r="D321" s="14" t="s">
        <v>665</v>
      </c>
      <c r="E321" s="15">
        <v>45733</v>
      </c>
      <c r="F321" s="14" t="s">
        <v>20</v>
      </c>
      <c r="G321" s="16">
        <v>59.23</v>
      </c>
    </row>
    <row r="322" spans="1:7" x14ac:dyDescent="0.25">
      <c r="A322" s="13" t="s">
        <v>1126</v>
      </c>
      <c r="B322" s="13">
        <v>2246</v>
      </c>
      <c r="C322" s="14" t="s">
        <v>664</v>
      </c>
      <c r="D322" s="15" t="s">
        <v>665</v>
      </c>
      <c r="E322" s="15">
        <v>45741</v>
      </c>
      <c r="F322" s="14" t="s">
        <v>20</v>
      </c>
      <c r="G322" s="16">
        <v>41.844999999999999</v>
      </c>
    </row>
    <row r="323" spans="1:7" x14ac:dyDescent="0.25">
      <c r="A323" s="13" t="s">
        <v>1127</v>
      </c>
      <c r="B323" s="13">
        <v>2246</v>
      </c>
      <c r="C323" s="14" t="s">
        <v>664</v>
      </c>
      <c r="D323" s="14" t="s">
        <v>1128</v>
      </c>
      <c r="E323" s="15">
        <v>45753</v>
      </c>
      <c r="F323" s="14" t="s">
        <v>23</v>
      </c>
      <c r="G323" s="16">
        <v>40</v>
      </c>
    </row>
    <row r="324" spans="1:7" x14ac:dyDescent="0.25">
      <c r="A324" s="13" t="s">
        <v>1127</v>
      </c>
      <c r="B324" s="13">
        <v>2246</v>
      </c>
      <c r="C324" s="14" t="s">
        <v>664</v>
      </c>
      <c r="D324" s="14" t="s">
        <v>1128</v>
      </c>
      <c r="E324" s="15">
        <v>45753</v>
      </c>
      <c r="F324" s="14" t="s">
        <v>20</v>
      </c>
      <c r="G324" s="16">
        <v>83.936999999999998</v>
      </c>
    </row>
    <row r="325" spans="1:7" x14ac:dyDescent="0.25">
      <c r="A325" s="13" t="s">
        <v>1100</v>
      </c>
      <c r="B325" s="13">
        <v>2275</v>
      </c>
      <c r="C325" s="14" t="s">
        <v>916</v>
      </c>
      <c r="D325" s="14" t="s">
        <v>22</v>
      </c>
      <c r="E325" s="15">
        <v>45750</v>
      </c>
      <c r="F325" s="14" t="s">
        <v>23</v>
      </c>
      <c r="G325" s="16">
        <v>50</v>
      </c>
    </row>
    <row r="326" spans="1:7" x14ac:dyDescent="0.25">
      <c r="A326" s="13" t="s">
        <v>1100</v>
      </c>
      <c r="B326" s="13">
        <v>2275</v>
      </c>
      <c r="C326" s="14" t="s">
        <v>916</v>
      </c>
      <c r="D326" s="14" t="s">
        <v>22</v>
      </c>
      <c r="E326" s="15">
        <v>45750</v>
      </c>
      <c r="F326" s="14" t="s">
        <v>20</v>
      </c>
      <c r="G326" s="16">
        <v>9.1999999999999993</v>
      </c>
    </row>
    <row r="327" spans="1:7" x14ac:dyDescent="0.25">
      <c r="A327" s="13" t="s">
        <v>1144</v>
      </c>
      <c r="B327" s="13">
        <v>2319</v>
      </c>
      <c r="C327" s="14" t="s">
        <v>1145</v>
      </c>
      <c r="D327" s="15" t="s">
        <v>22</v>
      </c>
      <c r="E327" s="15">
        <v>45754</v>
      </c>
      <c r="F327" s="14" t="s">
        <v>18</v>
      </c>
      <c r="G327" s="16">
        <v>70</v>
      </c>
    </row>
    <row r="328" spans="1:7" x14ac:dyDescent="0.25">
      <c r="A328" s="13" t="s">
        <v>1144</v>
      </c>
      <c r="B328" s="13">
        <v>2319</v>
      </c>
      <c r="C328" s="14" t="s">
        <v>1145</v>
      </c>
      <c r="D328" s="15" t="s">
        <v>22</v>
      </c>
      <c r="E328" s="15">
        <v>45754</v>
      </c>
      <c r="F328" s="14" t="s">
        <v>20</v>
      </c>
      <c r="G328" s="16">
        <v>18.885000000000002</v>
      </c>
    </row>
    <row r="329" spans="1:7" x14ac:dyDescent="0.25">
      <c r="A329" s="13" t="s">
        <v>1056</v>
      </c>
      <c r="B329" s="13">
        <v>2337</v>
      </c>
      <c r="C329" s="14" t="s">
        <v>210</v>
      </c>
      <c r="D329" s="14" t="s">
        <v>353</v>
      </c>
      <c r="E329" s="15">
        <v>45745</v>
      </c>
      <c r="F329" s="14" t="s">
        <v>18</v>
      </c>
      <c r="G329" s="16">
        <v>70</v>
      </c>
    </row>
    <row r="330" spans="1:7" x14ac:dyDescent="0.25">
      <c r="A330" s="13" t="s">
        <v>1056</v>
      </c>
      <c r="B330" s="13">
        <v>2337</v>
      </c>
      <c r="C330" s="14" t="s">
        <v>210</v>
      </c>
      <c r="D330" s="14" t="s">
        <v>353</v>
      </c>
      <c r="E330" s="15">
        <v>45745</v>
      </c>
      <c r="F330" s="14" t="s">
        <v>20</v>
      </c>
      <c r="G330" s="16">
        <v>38.146999999999998</v>
      </c>
    </row>
    <row r="331" spans="1:7" x14ac:dyDescent="0.25">
      <c r="A331" s="13" t="s">
        <v>1137</v>
      </c>
      <c r="B331" s="13">
        <v>2337</v>
      </c>
      <c r="C331" s="14" t="s">
        <v>210</v>
      </c>
      <c r="D331" s="15" t="s">
        <v>22</v>
      </c>
      <c r="E331" s="15">
        <v>45754</v>
      </c>
      <c r="F331" s="14" t="s">
        <v>23</v>
      </c>
      <c r="G331" s="16">
        <v>50</v>
      </c>
    </row>
    <row r="332" spans="1:7" x14ac:dyDescent="0.25">
      <c r="A332" s="13" t="s">
        <v>1137</v>
      </c>
      <c r="B332" s="13">
        <v>2337</v>
      </c>
      <c r="C332" s="14" t="s">
        <v>210</v>
      </c>
      <c r="D332" s="14" t="s">
        <v>22</v>
      </c>
      <c r="E332" s="15">
        <v>45754</v>
      </c>
      <c r="F332" s="14" t="s">
        <v>20</v>
      </c>
      <c r="G332" s="16">
        <v>12.914999999999999</v>
      </c>
    </row>
    <row r="333" spans="1:7" x14ac:dyDescent="0.25">
      <c r="A333" s="13" t="s">
        <v>1132</v>
      </c>
      <c r="B333" s="13">
        <v>2414</v>
      </c>
      <c r="C333" s="14" t="s">
        <v>256</v>
      </c>
      <c r="D333" s="15" t="s">
        <v>22</v>
      </c>
      <c r="E333" s="15">
        <v>45727</v>
      </c>
      <c r="F333" s="14" t="s">
        <v>23</v>
      </c>
      <c r="G333" s="16">
        <v>50</v>
      </c>
    </row>
    <row r="334" spans="1:7" x14ac:dyDescent="0.25">
      <c r="A334" s="13" t="s">
        <v>1132</v>
      </c>
      <c r="B334" s="13">
        <v>2414</v>
      </c>
      <c r="C334" s="14" t="s">
        <v>256</v>
      </c>
      <c r="D334" s="15" t="s">
        <v>22</v>
      </c>
      <c r="E334" s="15">
        <v>45727</v>
      </c>
      <c r="F334" s="14" t="s">
        <v>20</v>
      </c>
      <c r="G334" s="16">
        <v>44.390999999999998</v>
      </c>
    </row>
    <row r="335" spans="1:7" x14ac:dyDescent="0.25">
      <c r="A335" s="13" t="s">
        <v>1133</v>
      </c>
      <c r="B335" s="13">
        <v>2414</v>
      </c>
      <c r="C335" s="14" t="s">
        <v>256</v>
      </c>
      <c r="D335" s="14" t="s">
        <v>22</v>
      </c>
      <c r="E335" s="15">
        <v>45716</v>
      </c>
      <c r="F335" s="14" t="s">
        <v>23</v>
      </c>
      <c r="G335" s="16">
        <v>50</v>
      </c>
    </row>
    <row r="336" spans="1:7" x14ac:dyDescent="0.25">
      <c r="A336" s="13" t="s">
        <v>1133</v>
      </c>
      <c r="B336" s="13">
        <v>2414</v>
      </c>
      <c r="C336" s="14" t="s">
        <v>256</v>
      </c>
      <c r="D336" s="14" t="s">
        <v>22</v>
      </c>
      <c r="E336" s="15">
        <v>45716</v>
      </c>
      <c r="F336" s="14" t="s">
        <v>20</v>
      </c>
      <c r="G336" s="16">
        <v>24.686</v>
      </c>
    </row>
    <row r="337" spans="1:7" x14ac:dyDescent="0.25">
      <c r="A337" s="13" t="s">
        <v>1031</v>
      </c>
      <c r="B337" s="13">
        <v>2444</v>
      </c>
      <c r="C337" s="14" t="s">
        <v>271</v>
      </c>
      <c r="D337" s="14" t="s">
        <v>236</v>
      </c>
      <c r="E337" s="15">
        <v>45740</v>
      </c>
      <c r="F337" s="14" t="s">
        <v>18</v>
      </c>
      <c r="G337" s="16">
        <v>70</v>
      </c>
    </row>
    <row r="338" spans="1:7" x14ac:dyDescent="0.25">
      <c r="A338" s="13" t="s">
        <v>1031</v>
      </c>
      <c r="B338" s="13">
        <v>2444</v>
      </c>
      <c r="C338" s="14" t="s">
        <v>271</v>
      </c>
      <c r="D338" s="14" t="s">
        <v>236</v>
      </c>
      <c r="E338" s="15">
        <v>45740</v>
      </c>
      <c r="F338" s="14" t="s">
        <v>20</v>
      </c>
      <c r="G338" s="16">
        <v>64.495000000000005</v>
      </c>
    </row>
    <row r="339" spans="1:7" x14ac:dyDescent="0.25">
      <c r="A339" s="13" t="s">
        <v>1058</v>
      </c>
      <c r="B339" s="13">
        <v>2504</v>
      </c>
      <c r="C339" s="14" t="s">
        <v>550</v>
      </c>
      <c r="D339" s="14" t="s">
        <v>22</v>
      </c>
      <c r="E339" s="15">
        <v>45726</v>
      </c>
      <c r="F339" s="14" t="s">
        <v>23</v>
      </c>
      <c r="G339" s="16">
        <v>40</v>
      </c>
    </row>
    <row r="340" spans="1:7" x14ac:dyDescent="0.25">
      <c r="A340" s="13" t="s">
        <v>1058</v>
      </c>
      <c r="B340" s="13">
        <v>2504</v>
      </c>
      <c r="C340" s="14" t="s">
        <v>550</v>
      </c>
      <c r="D340" s="14" t="s">
        <v>22</v>
      </c>
      <c r="E340" s="15">
        <v>45726</v>
      </c>
      <c r="F340" s="14" t="s">
        <v>20</v>
      </c>
      <c r="G340" s="16">
        <v>41.795000000000002</v>
      </c>
    </row>
    <row r="341" spans="1:7" x14ac:dyDescent="0.25">
      <c r="A341" s="13" t="s">
        <v>1018</v>
      </c>
      <c r="B341" s="13">
        <v>2517</v>
      </c>
      <c r="C341" s="14" t="s">
        <v>97</v>
      </c>
      <c r="D341" s="15" t="s">
        <v>98</v>
      </c>
      <c r="E341" s="15">
        <v>45740</v>
      </c>
      <c r="F341" s="14" t="s">
        <v>18</v>
      </c>
      <c r="G341" s="16">
        <v>70</v>
      </c>
    </row>
    <row r="342" spans="1:7" x14ac:dyDescent="0.25">
      <c r="A342" s="13" t="s">
        <v>1018</v>
      </c>
      <c r="B342" s="13">
        <v>2517</v>
      </c>
      <c r="C342" s="14" t="s">
        <v>97</v>
      </c>
      <c r="D342" s="15" t="s">
        <v>98</v>
      </c>
      <c r="E342" s="15">
        <v>45748</v>
      </c>
      <c r="F342" s="14" t="s">
        <v>18</v>
      </c>
      <c r="G342" s="16">
        <v>70</v>
      </c>
    </row>
    <row r="343" spans="1:7" x14ac:dyDescent="0.25">
      <c r="A343" s="13" t="s">
        <v>1018</v>
      </c>
      <c r="B343" s="13">
        <v>2517</v>
      </c>
      <c r="C343" s="14" t="s">
        <v>97</v>
      </c>
      <c r="D343" s="15" t="s">
        <v>98</v>
      </c>
      <c r="E343" s="15">
        <v>45748</v>
      </c>
      <c r="F343" s="14" t="s">
        <v>20</v>
      </c>
      <c r="G343" s="16">
        <v>17.712</v>
      </c>
    </row>
    <row r="344" spans="1:7" x14ac:dyDescent="0.25">
      <c r="A344" s="13" t="s">
        <v>1068</v>
      </c>
      <c r="B344" s="13">
        <v>2519</v>
      </c>
      <c r="C344" s="14" t="s">
        <v>1069</v>
      </c>
      <c r="D344" s="14" t="s">
        <v>1070</v>
      </c>
      <c r="E344" s="15">
        <v>45742</v>
      </c>
      <c r="F344" s="14" t="s">
        <v>23</v>
      </c>
      <c r="G344" s="16">
        <v>40</v>
      </c>
    </row>
    <row r="345" spans="1:7" x14ac:dyDescent="0.25">
      <c r="A345" s="13" t="s">
        <v>1068</v>
      </c>
      <c r="B345" s="13">
        <v>2519</v>
      </c>
      <c r="C345" s="14" t="s">
        <v>1069</v>
      </c>
      <c r="D345" s="15" t="s">
        <v>1070</v>
      </c>
      <c r="E345" s="15">
        <v>45749</v>
      </c>
      <c r="F345" s="14" t="s">
        <v>23</v>
      </c>
      <c r="G345" s="16">
        <v>20</v>
      </c>
    </row>
    <row r="346" spans="1:7" x14ac:dyDescent="0.25">
      <c r="A346" s="13" t="s">
        <v>1068</v>
      </c>
      <c r="B346" s="13">
        <v>2519</v>
      </c>
      <c r="C346" s="14" t="s">
        <v>1069</v>
      </c>
      <c r="D346" s="14" t="s">
        <v>1070</v>
      </c>
      <c r="E346" s="15">
        <v>45743</v>
      </c>
      <c r="F346" s="14" t="s">
        <v>20</v>
      </c>
      <c r="G346" s="16">
        <v>24.873999999999999</v>
      </c>
    </row>
    <row r="347" spans="1:7" x14ac:dyDescent="0.25">
      <c r="A347" s="13" t="s">
        <v>1068</v>
      </c>
      <c r="B347" s="13">
        <v>2519</v>
      </c>
      <c r="C347" s="14" t="s">
        <v>1069</v>
      </c>
      <c r="D347" s="14" t="s">
        <v>1070</v>
      </c>
      <c r="E347" s="15">
        <v>45749</v>
      </c>
      <c r="F347" s="14" t="s">
        <v>20</v>
      </c>
      <c r="G347" s="16">
        <v>13.518000000000001</v>
      </c>
    </row>
    <row r="348" spans="1:7" x14ac:dyDescent="0.25">
      <c r="A348" s="13" t="s">
        <v>1075</v>
      </c>
      <c r="B348" s="13">
        <v>2572</v>
      </c>
      <c r="C348" s="14" t="s">
        <v>462</v>
      </c>
      <c r="D348" s="15" t="s">
        <v>503</v>
      </c>
      <c r="E348" s="15">
        <v>45750</v>
      </c>
      <c r="F348" s="14" t="s">
        <v>18</v>
      </c>
      <c r="G348" s="16">
        <v>70</v>
      </c>
    </row>
    <row r="349" spans="1:7" x14ac:dyDescent="0.25">
      <c r="A349" s="13" t="s">
        <v>1075</v>
      </c>
      <c r="B349" s="13">
        <v>2572</v>
      </c>
      <c r="C349" s="14" t="s">
        <v>462</v>
      </c>
      <c r="D349" s="15" t="s">
        <v>503</v>
      </c>
      <c r="E349" s="15">
        <v>45750</v>
      </c>
      <c r="F349" s="14" t="s">
        <v>20</v>
      </c>
      <c r="G349" s="16">
        <v>65.7</v>
      </c>
    </row>
    <row r="350" spans="1:7" x14ac:dyDescent="0.25">
      <c r="A350" s="13" t="s">
        <v>1179</v>
      </c>
      <c r="B350" s="13">
        <v>2592</v>
      </c>
      <c r="C350" s="14" t="s">
        <v>317</v>
      </c>
      <c r="D350" s="14" t="s">
        <v>22</v>
      </c>
      <c r="E350" s="15">
        <v>45752</v>
      </c>
      <c r="F350" s="14" t="s">
        <v>23</v>
      </c>
      <c r="G350" s="16">
        <v>30</v>
      </c>
    </row>
    <row r="351" spans="1:7" x14ac:dyDescent="0.25">
      <c r="A351" s="13" t="s">
        <v>1179</v>
      </c>
      <c r="B351" s="13">
        <v>2592</v>
      </c>
      <c r="C351" s="14" t="s">
        <v>317</v>
      </c>
      <c r="D351" s="14" t="s">
        <v>22</v>
      </c>
      <c r="E351" s="15">
        <v>45755</v>
      </c>
      <c r="F351" s="14" t="s">
        <v>20</v>
      </c>
      <c r="G351" s="16">
        <v>5.0949999999999998</v>
      </c>
    </row>
    <row r="352" spans="1:7" x14ac:dyDescent="0.25">
      <c r="A352" s="13" t="s">
        <v>1146</v>
      </c>
      <c r="B352" s="13">
        <v>2633</v>
      </c>
      <c r="C352" s="14" t="s">
        <v>157</v>
      </c>
      <c r="D352" s="15" t="s">
        <v>22</v>
      </c>
      <c r="E352" s="15">
        <v>45751</v>
      </c>
      <c r="F352" s="14" t="s">
        <v>20</v>
      </c>
      <c r="G352" s="16">
        <v>34.298000000000002</v>
      </c>
    </row>
    <row r="353" spans="1:7" x14ac:dyDescent="0.25">
      <c r="A353" s="13" t="s">
        <v>1146</v>
      </c>
      <c r="B353" s="13">
        <v>2633</v>
      </c>
      <c r="C353" s="14" t="s">
        <v>157</v>
      </c>
      <c r="D353" s="15" t="s">
        <v>22</v>
      </c>
      <c r="E353" s="15">
        <v>45751</v>
      </c>
      <c r="F353" s="14" t="s">
        <v>24</v>
      </c>
      <c r="G353" s="16">
        <v>200</v>
      </c>
    </row>
    <row r="354" spans="1:7" ht="18.75" x14ac:dyDescent="0.3">
      <c r="A354" s="14"/>
      <c r="B354" s="28"/>
      <c r="C354" s="29"/>
      <c r="D354" s="14"/>
      <c r="E354" s="28"/>
      <c r="F354" s="17" t="s">
        <v>11</v>
      </c>
      <c r="G354" s="17">
        <f>SUM(G10:G353)</f>
        <v>24448.428000000011</v>
      </c>
    </row>
    <row r="355" spans="1:7" ht="18.75" x14ac:dyDescent="0.3">
      <c r="A355" s="38"/>
      <c r="B355" s="39"/>
      <c r="C355" s="40"/>
      <c r="D355" s="41"/>
      <c r="E355" s="19"/>
      <c r="F355" s="18"/>
      <c r="G355" s="34"/>
    </row>
    <row r="356" spans="1:7" ht="18.75" x14ac:dyDescent="0.3">
      <c r="A356" s="35"/>
      <c r="B356" s="36"/>
      <c r="C356" s="37"/>
      <c r="D356" s="42"/>
      <c r="E356" s="43"/>
      <c r="F356" s="44"/>
      <c r="G356" s="44"/>
    </row>
    <row r="357" spans="1:7" ht="15.75" x14ac:dyDescent="0.25">
      <c r="A357" s="35"/>
      <c r="B357" s="36" t="s">
        <v>12</v>
      </c>
      <c r="C357" s="37"/>
      <c r="E357" s="36" t="s">
        <v>13</v>
      </c>
      <c r="F357" s="18"/>
      <c r="G357" s="18"/>
    </row>
    <row r="358" spans="1:7" ht="15.75" x14ac:dyDescent="0.25">
      <c r="A358" s="45"/>
      <c r="B358" s="46" t="s">
        <v>14</v>
      </c>
      <c r="C358" s="47"/>
      <c r="E358" s="36" t="s">
        <v>15</v>
      </c>
      <c r="F358" s="18"/>
      <c r="G358" s="18"/>
    </row>
    <row r="359" spans="1:7" ht="15.75" x14ac:dyDescent="0.25">
      <c r="A359" s="23"/>
      <c r="B359" s="24"/>
      <c r="C359" s="25"/>
      <c r="E359" s="27"/>
      <c r="F359" s="18"/>
      <c r="G359" s="18"/>
    </row>
    <row r="360" spans="1:7" ht="18.75" x14ac:dyDescent="0.3">
      <c r="B360" s="19"/>
      <c r="C360" s="20"/>
      <c r="D360" s="21"/>
      <c r="E360" s="22"/>
      <c r="F360" s="19"/>
      <c r="G360" s="22"/>
    </row>
    <row r="361" spans="1:7" ht="15.75" x14ac:dyDescent="0.25">
      <c r="A361" s="23"/>
      <c r="B361" s="24"/>
      <c r="C361" s="25"/>
      <c r="D361" s="26"/>
      <c r="E361" s="22"/>
      <c r="F361" s="27"/>
      <c r="G361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1"/>
  <sheetViews>
    <sheetView workbookViewId="0">
      <pane ySplit="9" topLeftCell="A10" activePane="bottomLeft" state="frozen"/>
      <selection pane="bottomLeft" sqref="A1:A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1192</v>
      </c>
      <c r="C5" s="7"/>
      <c r="D5" s="4"/>
    </row>
    <row r="6" spans="1:7" ht="22.5" customHeight="1" x14ac:dyDescent="0.25">
      <c r="A6" s="6"/>
      <c r="B6" s="8" t="s">
        <v>1328</v>
      </c>
      <c r="C6" s="9"/>
      <c r="D6" s="4"/>
    </row>
    <row r="7" spans="1:7" ht="22.5" customHeight="1" x14ac:dyDescent="0.35">
      <c r="A7" s="4"/>
      <c r="B7" s="10"/>
      <c r="C7" s="11" t="s">
        <v>1329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1200</v>
      </c>
      <c r="B10" s="13">
        <v>923</v>
      </c>
      <c r="C10" s="14" t="str">
        <f>+VLOOKUP(B10,[1]LISTE!$A$1:$D$431,4,FALSE)</f>
        <v>BEN AZIZA SLAH</v>
      </c>
      <c r="D10" s="14" t="s">
        <v>1201</v>
      </c>
      <c r="E10" s="15">
        <v>45757</v>
      </c>
      <c r="F10" s="14" t="s">
        <v>23</v>
      </c>
      <c r="G10" s="16">
        <v>50</v>
      </c>
    </row>
    <row r="11" spans="1:7" x14ac:dyDescent="0.25">
      <c r="A11" s="13" t="s">
        <v>1200</v>
      </c>
      <c r="B11" s="13">
        <v>923</v>
      </c>
      <c r="C11" s="14" t="str">
        <f>+VLOOKUP(B11,[1]LISTE!$A$1:$D$431,4,FALSE)</f>
        <v>BEN AZIZA SLAH</v>
      </c>
      <c r="D11" s="15" t="s">
        <v>1201</v>
      </c>
      <c r="E11" s="15">
        <v>45762</v>
      </c>
      <c r="F11" s="14" t="s">
        <v>20</v>
      </c>
      <c r="G11" s="16">
        <v>2.605</v>
      </c>
    </row>
    <row r="12" spans="1:7" x14ac:dyDescent="0.25">
      <c r="A12" s="13" t="s">
        <v>1200</v>
      </c>
      <c r="B12" s="13">
        <v>923</v>
      </c>
      <c r="C12" s="14" t="str">
        <f>+VLOOKUP(B12,[1]LISTE!$A$1:$D$431,4,FALSE)</f>
        <v>BEN AZIZA SLAH</v>
      </c>
      <c r="D12" s="14" t="s">
        <v>1201</v>
      </c>
      <c r="E12" s="15">
        <v>45762</v>
      </c>
      <c r="F12" s="14" t="s">
        <v>24</v>
      </c>
      <c r="G12" s="16">
        <v>1050</v>
      </c>
    </row>
    <row r="13" spans="1:7" x14ac:dyDescent="0.25">
      <c r="A13" s="13" t="s">
        <v>1221</v>
      </c>
      <c r="B13" s="13">
        <v>927</v>
      </c>
      <c r="C13" s="14" t="str">
        <f>+VLOOKUP(B13,[1]LISTE!$A$1:$D$431,4,FALSE)</f>
        <v>ZIDI SAAFI MUSTAPHA</v>
      </c>
      <c r="D13" s="15" t="s">
        <v>298</v>
      </c>
      <c r="E13" s="15">
        <v>45766</v>
      </c>
      <c r="F13" s="14" t="s">
        <v>18</v>
      </c>
      <c r="G13" s="16">
        <v>70</v>
      </c>
    </row>
    <row r="14" spans="1:7" x14ac:dyDescent="0.25">
      <c r="A14" s="13" t="s">
        <v>1221</v>
      </c>
      <c r="B14" s="13">
        <v>927</v>
      </c>
      <c r="C14" s="14" t="str">
        <f>+VLOOKUP(B14,[1]LISTE!$A$1:$D$431,4,FALSE)</f>
        <v>ZIDI SAAFI MUSTAPHA</v>
      </c>
      <c r="D14" s="15" t="s">
        <v>298</v>
      </c>
      <c r="E14" s="15">
        <v>45766</v>
      </c>
      <c r="F14" s="14" t="s">
        <v>20</v>
      </c>
      <c r="G14" s="16">
        <v>170.625</v>
      </c>
    </row>
    <row r="15" spans="1:7" x14ac:dyDescent="0.25">
      <c r="A15" s="13" t="s">
        <v>1305</v>
      </c>
      <c r="B15" s="13">
        <v>965</v>
      </c>
      <c r="C15" s="14" t="str">
        <f>+VLOOKUP(B15,[1]LISTE!$A$1:$D$431,4,FALSE)</f>
        <v>BEN FREDJ ABDELKARIM</v>
      </c>
      <c r="D15" s="15" t="s">
        <v>1306</v>
      </c>
      <c r="E15" s="15">
        <v>45769</v>
      </c>
      <c r="F15" s="14" t="s">
        <v>23</v>
      </c>
      <c r="G15" s="16">
        <v>40</v>
      </c>
    </row>
    <row r="16" spans="1:7" x14ac:dyDescent="0.25">
      <c r="A16" s="13" t="s">
        <v>1305</v>
      </c>
      <c r="B16" s="13">
        <v>965</v>
      </c>
      <c r="C16" s="14" t="str">
        <f>+VLOOKUP(B16,[1]LISTE!$A$1:$D$431,4,FALSE)</f>
        <v>BEN FREDJ ABDELKARIM</v>
      </c>
      <c r="D16" s="14" t="s">
        <v>1306</v>
      </c>
      <c r="E16" s="15">
        <v>45769</v>
      </c>
      <c r="F16" s="14" t="s">
        <v>20</v>
      </c>
      <c r="G16" s="16">
        <v>35.840000000000003</v>
      </c>
    </row>
    <row r="17" spans="1:7" x14ac:dyDescent="0.25">
      <c r="A17" s="13" t="s">
        <v>1228</v>
      </c>
      <c r="B17" s="13">
        <v>990</v>
      </c>
      <c r="C17" s="14" t="str">
        <f>+VLOOKUP(B17,[1]LISTE!$A$1:$D$431,4,FALSE)</f>
        <v>GARDALLOU SAMIR</v>
      </c>
      <c r="D17" s="15" t="s">
        <v>22</v>
      </c>
      <c r="E17" s="15">
        <v>45755</v>
      </c>
      <c r="F17" s="14" t="s">
        <v>23</v>
      </c>
      <c r="G17" s="16">
        <v>40</v>
      </c>
    </row>
    <row r="18" spans="1:7" x14ac:dyDescent="0.25">
      <c r="A18" s="13" t="s">
        <v>1228</v>
      </c>
      <c r="B18" s="13">
        <v>990</v>
      </c>
      <c r="C18" s="14" t="str">
        <f>+VLOOKUP(B18,[1]LISTE!$A$1:$D$431,4,FALSE)</f>
        <v>GARDALLOU SAMIR</v>
      </c>
      <c r="D18" s="15" t="s">
        <v>22</v>
      </c>
      <c r="E18" s="15">
        <v>45755</v>
      </c>
      <c r="F18" s="14" t="s">
        <v>20</v>
      </c>
      <c r="G18" s="16">
        <v>54.845999999999997</v>
      </c>
    </row>
    <row r="19" spans="1:7" x14ac:dyDescent="0.25">
      <c r="A19" s="13" t="s">
        <v>1228</v>
      </c>
      <c r="B19" s="13">
        <v>990</v>
      </c>
      <c r="C19" s="14" t="str">
        <f>+VLOOKUP(B19,[1]LISTE!$A$1:$D$431,4,FALSE)</f>
        <v>GARDALLOU SAMIR</v>
      </c>
      <c r="D19" s="15" t="s">
        <v>22</v>
      </c>
      <c r="E19" s="15">
        <v>45758</v>
      </c>
      <c r="F19" s="14" t="s">
        <v>20</v>
      </c>
      <c r="G19" s="16">
        <v>48.027000000000001</v>
      </c>
    </row>
    <row r="20" spans="1:7" x14ac:dyDescent="0.25">
      <c r="A20" s="13" t="s">
        <v>1229</v>
      </c>
      <c r="B20" s="13">
        <v>990</v>
      </c>
      <c r="C20" s="14" t="str">
        <f>+VLOOKUP(B20,[1]LISTE!$A$1:$D$431,4,FALSE)</f>
        <v>GARDALLOU SAMIR</v>
      </c>
      <c r="D20" s="14" t="s">
        <v>303</v>
      </c>
      <c r="E20" s="15">
        <v>45741</v>
      </c>
      <c r="F20" s="14" t="s">
        <v>65</v>
      </c>
      <c r="G20" s="16">
        <v>225</v>
      </c>
    </row>
    <row r="21" spans="1:7" x14ac:dyDescent="0.25">
      <c r="A21" s="13" t="s">
        <v>1243</v>
      </c>
      <c r="B21" s="13">
        <v>1553</v>
      </c>
      <c r="C21" s="14" t="str">
        <f>+VLOOKUP(B21,[1]LISTE!$A$1:$D$431,4,FALSE)</f>
        <v>BOUNEB MOHAMED</v>
      </c>
      <c r="D21" s="15" t="s">
        <v>22</v>
      </c>
      <c r="E21" s="15">
        <v>45764</v>
      </c>
      <c r="F21" s="14" t="s">
        <v>23</v>
      </c>
      <c r="G21" s="16">
        <v>45</v>
      </c>
    </row>
    <row r="22" spans="1:7" x14ac:dyDescent="0.25">
      <c r="A22" s="13" t="s">
        <v>1243</v>
      </c>
      <c r="B22" s="13">
        <v>1553</v>
      </c>
      <c r="C22" s="14" t="str">
        <f>+VLOOKUP(B22,[1]LISTE!$A$1:$D$431,4,FALSE)</f>
        <v>BOUNEB MOHAMED</v>
      </c>
      <c r="D22" s="15" t="s">
        <v>22</v>
      </c>
      <c r="E22" s="15">
        <v>45764</v>
      </c>
      <c r="F22" s="14" t="s">
        <v>20</v>
      </c>
      <c r="G22" s="16">
        <v>54.656999999999996</v>
      </c>
    </row>
    <row r="23" spans="1:7" x14ac:dyDescent="0.25">
      <c r="A23" s="13" t="s">
        <v>1256</v>
      </c>
      <c r="B23" s="13">
        <v>1553</v>
      </c>
      <c r="C23" s="14" t="str">
        <f>+VLOOKUP(B23,[1]LISTE!$A$1:$D$431,4,FALSE)</f>
        <v>BOUNEB MOHAMED</v>
      </c>
      <c r="D23" s="14" t="s">
        <v>1020</v>
      </c>
      <c r="E23" s="15">
        <v>45764</v>
      </c>
      <c r="F23" s="14" t="s">
        <v>23</v>
      </c>
      <c r="G23" s="16">
        <v>45</v>
      </c>
    </row>
    <row r="24" spans="1:7" x14ac:dyDescent="0.25">
      <c r="A24" s="13" t="s">
        <v>1257</v>
      </c>
      <c r="B24" s="13">
        <v>1553</v>
      </c>
      <c r="C24" s="14" t="str">
        <f>+VLOOKUP(B24,[1]LISTE!$A$1:$D$431,4,FALSE)</f>
        <v>BOUNEB MOHAMED</v>
      </c>
      <c r="D24" s="14" t="s">
        <v>1020</v>
      </c>
      <c r="E24" s="15">
        <v>45764</v>
      </c>
      <c r="F24" s="14" t="s">
        <v>20</v>
      </c>
      <c r="G24" s="16">
        <v>22.645</v>
      </c>
    </row>
    <row r="25" spans="1:7" x14ac:dyDescent="0.25">
      <c r="A25" s="13" t="s">
        <v>1313</v>
      </c>
      <c r="B25" s="13">
        <v>1602</v>
      </c>
      <c r="C25" s="14" t="str">
        <f>+VLOOKUP(B25,[1]LISTE!$A$1:$D$431,4,FALSE)</f>
        <v>MAMIA RAMZI</v>
      </c>
      <c r="D25" s="15" t="s">
        <v>22</v>
      </c>
      <c r="E25" s="15">
        <v>45772</v>
      </c>
      <c r="F25" s="14" t="s">
        <v>18</v>
      </c>
      <c r="G25" s="16">
        <v>70</v>
      </c>
    </row>
    <row r="26" spans="1:7" x14ac:dyDescent="0.25">
      <c r="A26" s="13" t="s">
        <v>1313</v>
      </c>
      <c r="B26" s="13">
        <v>1602</v>
      </c>
      <c r="C26" s="14" t="str">
        <f>+VLOOKUP(B26,[1]LISTE!$A$1:$D$431,4,FALSE)</f>
        <v>MAMIA RAMZI</v>
      </c>
      <c r="D26" s="14" t="s">
        <v>22</v>
      </c>
      <c r="E26" s="15">
        <v>45772</v>
      </c>
      <c r="F26" s="14" t="s">
        <v>20</v>
      </c>
      <c r="G26" s="16">
        <v>18.895</v>
      </c>
    </row>
    <row r="27" spans="1:7" x14ac:dyDescent="0.25">
      <c r="A27" s="13" t="s">
        <v>1314</v>
      </c>
      <c r="B27" s="13">
        <v>1602</v>
      </c>
      <c r="C27" s="14" t="str">
        <f>+VLOOKUP(B27,[1]LISTE!$A$1:$D$431,4,FALSE)</f>
        <v>MAMIA RAMZI</v>
      </c>
      <c r="D27" s="15" t="s">
        <v>221</v>
      </c>
      <c r="E27" s="15">
        <v>45775</v>
      </c>
      <c r="F27" s="14" t="s">
        <v>23</v>
      </c>
      <c r="G27" s="16">
        <v>1.5</v>
      </c>
    </row>
    <row r="28" spans="1:7" x14ac:dyDescent="0.25">
      <c r="A28" s="13" t="s">
        <v>1314</v>
      </c>
      <c r="B28" s="13">
        <v>1602</v>
      </c>
      <c r="C28" s="14" t="str">
        <f>+VLOOKUP(B28,[1]LISTE!$A$1:$D$431,4,FALSE)</f>
        <v>MAMIA RAMZI</v>
      </c>
      <c r="D28" s="15" t="s">
        <v>221</v>
      </c>
      <c r="E28" s="15">
        <v>45775</v>
      </c>
      <c r="F28" s="14" t="s">
        <v>20</v>
      </c>
      <c r="G28" s="16">
        <v>46.354999999999997</v>
      </c>
    </row>
    <row r="29" spans="1:7" x14ac:dyDescent="0.25">
      <c r="A29" s="13" t="s">
        <v>1293</v>
      </c>
      <c r="B29" s="13">
        <v>1625</v>
      </c>
      <c r="C29" s="14" t="str">
        <f>+VLOOKUP(B29,[1]LISTE!$A$1:$D$431,4,FALSE)</f>
        <v>HAMILA SAMIR</v>
      </c>
      <c r="D29" s="15" t="s">
        <v>22</v>
      </c>
      <c r="E29" s="15">
        <v>45771</v>
      </c>
      <c r="F29" s="14" t="s">
        <v>23</v>
      </c>
      <c r="G29" s="16">
        <v>20</v>
      </c>
    </row>
    <row r="30" spans="1:7" x14ac:dyDescent="0.25">
      <c r="A30" s="13" t="s">
        <v>1293</v>
      </c>
      <c r="B30" s="13">
        <v>1625</v>
      </c>
      <c r="C30" s="14" t="str">
        <f>+VLOOKUP(B30,[1]LISTE!$A$1:$D$431,4,FALSE)</f>
        <v>HAMILA SAMIR</v>
      </c>
      <c r="D30" s="14" t="s">
        <v>22</v>
      </c>
      <c r="E30" s="15">
        <v>45771</v>
      </c>
      <c r="F30" s="14" t="s">
        <v>20</v>
      </c>
      <c r="G30" s="16">
        <v>5.508</v>
      </c>
    </row>
    <row r="31" spans="1:7" x14ac:dyDescent="0.25">
      <c r="A31" s="13" t="s">
        <v>1323</v>
      </c>
      <c r="B31" s="13">
        <v>1651</v>
      </c>
      <c r="C31" s="14" t="str">
        <f>+VLOOKUP(B31,[1]LISTE!$A$1:$D$431,4,FALSE)</f>
        <v>BEL HADJ MOHAMED</v>
      </c>
      <c r="D31" s="15" t="s">
        <v>742</v>
      </c>
      <c r="E31" s="15">
        <v>45757</v>
      </c>
      <c r="F31" s="14" t="s">
        <v>23</v>
      </c>
      <c r="G31" s="16">
        <v>50</v>
      </c>
    </row>
    <row r="32" spans="1:7" x14ac:dyDescent="0.25">
      <c r="A32" s="13" t="s">
        <v>1323</v>
      </c>
      <c r="B32" s="13">
        <v>1651</v>
      </c>
      <c r="C32" s="14" t="str">
        <f>+VLOOKUP(B32,[1]LISTE!$A$1:$D$431,4,FALSE)</f>
        <v>BEL HADJ MOHAMED</v>
      </c>
      <c r="D32" s="14" t="s">
        <v>742</v>
      </c>
      <c r="E32" s="15">
        <v>45757</v>
      </c>
      <c r="F32" s="14" t="s">
        <v>20</v>
      </c>
      <c r="G32" s="16">
        <v>23.13</v>
      </c>
    </row>
    <row r="33" spans="1:7" x14ac:dyDescent="0.25">
      <c r="A33" s="13" t="s">
        <v>1323</v>
      </c>
      <c r="B33" s="13">
        <v>1651</v>
      </c>
      <c r="C33" s="14" t="str">
        <f>+VLOOKUP(B33,[1]LISTE!$A$1:$D$431,4,FALSE)</f>
        <v>BEL HADJ MOHAMED</v>
      </c>
      <c r="D33" s="14" t="s">
        <v>742</v>
      </c>
      <c r="E33" s="15">
        <v>45771</v>
      </c>
      <c r="F33" s="14" t="s">
        <v>21</v>
      </c>
      <c r="G33" s="16">
        <v>60</v>
      </c>
    </row>
    <row r="34" spans="1:7" x14ac:dyDescent="0.25">
      <c r="A34" s="13" t="s">
        <v>1212</v>
      </c>
      <c r="B34" s="13">
        <v>1671</v>
      </c>
      <c r="C34" s="14" t="str">
        <f>+VLOOKUP(B34,[1]LISTE!$A$1:$D$431,4,FALSE)</f>
        <v>EL BACH ADEL</v>
      </c>
      <c r="D34" s="14" t="s">
        <v>151</v>
      </c>
      <c r="E34" s="15">
        <v>45751</v>
      </c>
      <c r="F34" s="14" t="s">
        <v>23</v>
      </c>
      <c r="G34" s="16">
        <v>40</v>
      </c>
    </row>
    <row r="35" spans="1:7" x14ac:dyDescent="0.25">
      <c r="A35" s="13" t="s">
        <v>1212</v>
      </c>
      <c r="B35" s="13">
        <v>1671</v>
      </c>
      <c r="C35" s="14" t="str">
        <f>+VLOOKUP(B35,[1]LISTE!$A$1:$D$431,4,FALSE)</f>
        <v>EL BACH ADEL</v>
      </c>
      <c r="D35" s="14" t="s">
        <v>151</v>
      </c>
      <c r="E35" s="15">
        <v>45751</v>
      </c>
      <c r="F35" s="14" t="s">
        <v>20</v>
      </c>
      <c r="G35" s="16">
        <v>74.28</v>
      </c>
    </row>
    <row r="36" spans="1:7" x14ac:dyDescent="0.25">
      <c r="A36" s="13" t="s">
        <v>1307</v>
      </c>
      <c r="B36" s="13">
        <v>1671</v>
      </c>
      <c r="C36" s="14" t="str">
        <f>+VLOOKUP(B36,[1]LISTE!$A$1:$D$431,4,FALSE)</f>
        <v>EL BACH ADEL</v>
      </c>
      <c r="D36" s="14" t="s">
        <v>22</v>
      </c>
      <c r="E36" s="15">
        <v>45766</v>
      </c>
      <c r="F36" s="14" t="s">
        <v>23</v>
      </c>
      <c r="G36" s="16">
        <v>40</v>
      </c>
    </row>
    <row r="37" spans="1:7" x14ac:dyDescent="0.25">
      <c r="A37" s="13" t="s">
        <v>1307</v>
      </c>
      <c r="B37" s="13">
        <v>1671</v>
      </c>
      <c r="C37" s="14" t="str">
        <f>+VLOOKUP(B37,[1]LISTE!$A$1:$D$431,4,FALSE)</f>
        <v>EL BACH ADEL</v>
      </c>
      <c r="D37" s="15" t="s">
        <v>22</v>
      </c>
      <c r="E37" s="15">
        <v>45766</v>
      </c>
      <c r="F37" s="14" t="s">
        <v>20</v>
      </c>
      <c r="G37" s="16">
        <v>37.079000000000001</v>
      </c>
    </row>
    <row r="38" spans="1:7" x14ac:dyDescent="0.25">
      <c r="A38" s="13" t="s">
        <v>1246</v>
      </c>
      <c r="B38" s="13">
        <v>1687</v>
      </c>
      <c r="C38" s="14" t="str">
        <f>+VLOOKUP(B38,[1]LISTE!$A$1:$D$431,4,FALSE)</f>
        <v>LACHHAB SAHBI</v>
      </c>
      <c r="D38" s="15" t="s">
        <v>26</v>
      </c>
      <c r="E38" s="15">
        <v>45763</v>
      </c>
      <c r="F38" s="14" t="s">
        <v>23</v>
      </c>
      <c r="G38" s="16">
        <v>45</v>
      </c>
    </row>
    <row r="39" spans="1:7" x14ac:dyDescent="0.25">
      <c r="A39" s="13" t="s">
        <v>1246</v>
      </c>
      <c r="B39" s="13">
        <v>1687</v>
      </c>
      <c r="C39" s="14" t="str">
        <f>+VLOOKUP(B39,[1]LISTE!$A$1:$D$431,4,FALSE)</f>
        <v>LACHHAB SAHBI</v>
      </c>
      <c r="D39" s="15" t="s">
        <v>26</v>
      </c>
      <c r="E39" s="15">
        <v>45763</v>
      </c>
      <c r="F39" s="14" t="s">
        <v>20</v>
      </c>
      <c r="G39" s="16">
        <v>36.896000000000001</v>
      </c>
    </row>
    <row r="40" spans="1:7" x14ac:dyDescent="0.25">
      <c r="A40" s="13" t="s">
        <v>1292</v>
      </c>
      <c r="B40" s="13">
        <v>1687</v>
      </c>
      <c r="C40" s="14" t="str">
        <f>+VLOOKUP(B40,[1]LISTE!$A$1:$D$431,4,FALSE)</f>
        <v>LACHHAB SAHBI</v>
      </c>
      <c r="D40" s="15" t="s">
        <v>54</v>
      </c>
      <c r="E40" s="15">
        <v>45770</v>
      </c>
      <c r="F40" s="14" t="s">
        <v>23</v>
      </c>
      <c r="G40" s="16">
        <v>1.5</v>
      </c>
    </row>
    <row r="41" spans="1:7" x14ac:dyDescent="0.25">
      <c r="A41" s="13" t="s">
        <v>1292</v>
      </c>
      <c r="B41" s="13">
        <v>1687</v>
      </c>
      <c r="C41" s="14" t="str">
        <f>+VLOOKUP(B41,[1]LISTE!$A$1:$D$431,4,FALSE)</f>
        <v>LACHHAB SAHBI</v>
      </c>
      <c r="D41" s="15" t="s">
        <v>54</v>
      </c>
      <c r="E41" s="15">
        <v>45770</v>
      </c>
      <c r="F41" s="14" t="s">
        <v>20</v>
      </c>
      <c r="G41" s="16">
        <v>27.05</v>
      </c>
    </row>
    <row r="42" spans="1:7" x14ac:dyDescent="0.25">
      <c r="A42" s="13" t="s">
        <v>1217</v>
      </c>
      <c r="B42" s="13">
        <v>1693</v>
      </c>
      <c r="C42" s="14" t="str">
        <f>+VLOOKUP(B42,[1]LISTE!$A$1:$D$431,4,FALSE)</f>
        <v>REBAI MOHAMED</v>
      </c>
      <c r="D42" s="14" t="s">
        <v>349</v>
      </c>
      <c r="E42" s="15">
        <v>45757</v>
      </c>
      <c r="F42" s="14" t="s">
        <v>23</v>
      </c>
      <c r="G42" s="16">
        <v>40</v>
      </c>
    </row>
    <row r="43" spans="1:7" x14ac:dyDescent="0.25">
      <c r="A43" s="13" t="s">
        <v>1217</v>
      </c>
      <c r="B43" s="13">
        <v>1693</v>
      </c>
      <c r="C43" s="14" t="str">
        <f>+VLOOKUP(B43,[1]LISTE!$A$1:$D$431,4,FALSE)</f>
        <v>REBAI MOHAMED</v>
      </c>
      <c r="D43" s="14" t="s">
        <v>349</v>
      </c>
      <c r="E43" s="15">
        <v>45757</v>
      </c>
      <c r="F43" s="14" t="s">
        <v>20</v>
      </c>
      <c r="G43" s="16">
        <v>67.741</v>
      </c>
    </row>
    <row r="44" spans="1:7" x14ac:dyDescent="0.25">
      <c r="A44" s="13" t="s">
        <v>1282</v>
      </c>
      <c r="B44" s="13">
        <v>1693</v>
      </c>
      <c r="C44" s="14" t="str">
        <f>+VLOOKUP(B44,[1]LISTE!$A$1:$D$431,4,FALSE)</f>
        <v>REBAI MOHAMED</v>
      </c>
      <c r="D44" s="14" t="s">
        <v>349</v>
      </c>
      <c r="E44" s="15">
        <v>45769</v>
      </c>
      <c r="F44" s="14" t="s">
        <v>18</v>
      </c>
      <c r="G44" s="16">
        <v>70</v>
      </c>
    </row>
    <row r="45" spans="1:7" x14ac:dyDescent="0.25">
      <c r="A45" s="13" t="s">
        <v>1282</v>
      </c>
      <c r="B45" s="13">
        <v>1693</v>
      </c>
      <c r="C45" s="14" t="str">
        <f>+VLOOKUP(B45,[1]LISTE!$A$1:$D$431,4,FALSE)</f>
        <v>REBAI MOHAMED</v>
      </c>
      <c r="D45" s="14" t="s">
        <v>349</v>
      </c>
      <c r="E45" s="15">
        <v>45770</v>
      </c>
      <c r="F45" s="14" t="s">
        <v>19</v>
      </c>
      <c r="G45" s="16">
        <v>301.69</v>
      </c>
    </row>
    <row r="46" spans="1:7" x14ac:dyDescent="0.25">
      <c r="A46" s="13" t="s">
        <v>1282</v>
      </c>
      <c r="B46" s="13">
        <v>1693</v>
      </c>
      <c r="C46" s="14" t="str">
        <f>+VLOOKUP(B46,[1]LISTE!$A$1:$D$431,4,FALSE)</f>
        <v>REBAI MOHAMED</v>
      </c>
      <c r="D46" s="14" t="s">
        <v>349</v>
      </c>
      <c r="E46" s="15">
        <v>45769</v>
      </c>
      <c r="F46" s="14" t="s">
        <v>20</v>
      </c>
      <c r="G46" s="16">
        <v>17.358000000000001</v>
      </c>
    </row>
    <row r="47" spans="1:7" x14ac:dyDescent="0.25">
      <c r="A47" s="13" t="s">
        <v>1289</v>
      </c>
      <c r="B47" s="13">
        <v>1695</v>
      </c>
      <c r="C47" s="14" t="str">
        <f>+VLOOKUP(B47,[1]LISTE!$A$1:$D$431,4,FALSE)</f>
        <v>BEN AROUS FOUED</v>
      </c>
      <c r="D47" s="15" t="s">
        <v>1020</v>
      </c>
      <c r="E47" s="15">
        <v>45749</v>
      </c>
      <c r="F47" s="14" t="s">
        <v>23</v>
      </c>
      <c r="G47" s="16">
        <v>50</v>
      </c>
    </row>
    <row r="48" spans="1:7" x14ac:dyDescent="0.25">
      <c r="A48" s="13" t="s">
        <v>1289</v>
      </c>
      <c r="B48" s="13">
        <v>1695</v>
      </c>
      <c r="C48" s="14" t="str">
        <f>+VLOOKUP(B48,[1]LISTE!$A$1:$D$431,4,FALSE)</f>
        <v>BEN AROUS FOUED</v>
      </c>
      <c r="D48" s="14" t="s">
        <v>1020</v>
      </c>
      <c r="E48" s="15">
        <v>45764</v>
      </c>
      <c r="F48" s="14" t="s">
        <v>20</v>
      </c>
      <c r="G48" s="16">
        <v>3.71</v>
      </c>
    </row>
    <row r="49" spans="1:7" x14ac:dyDescent="0.25">
      <c r="A49" s="13" t="s">
        <v>1289</v>
      </c>
      <c r="B49" s="13">
        <v>1695</v>
      </c>
      <c r="C49" s="14" t="str">
        <f>+VLOOKUP(B49,[1]LISTE!$A$1:$D$431,4,FALSE)</f>
        <v>BEN AROUS FOUED</v>
      </c>
      <c r="D49" s="15" t="s">
        <v>1020</v>
      </c>
      <c r="E49" s="15">
        <v>45763</v>
      </c>
      <c r="F49" s="14" t="s">
        <v>24</v>
      </c>
      <c r="G49" s="16">
        <v>180</v>
      </c>
    </row>
    <row r="50" spans="1:7" x14ac:dyDescent="0.25">
      <c r="A50" s="13" t="s">
        <v>1271</v>
      </c>
      <c r="B50" s="13">
        <v>1701</v>
      </c>
      <c r="C50" s="14" t="str">
        <f>+VLOOKUP(B50,[1]LISTE!$A$1:$D$431,4,FALSE)</f>
        <v>SASSI KARIM</v>
      </c>
      <c r="D50" s="15" t="s">
        <v>236</v>
      </c>
      <c r="E50" s="15">
        <v>45768</v>
      </c>
      <c r="F50" s="14" t="s">
        <v>23</v>
      </c>
      <c r="G50" s="16">
        <v>40</v>
      </c>
    </row>
    <row r="51" spans="1:7" x14ac:dyDescent="0.25">
      <c r="A51" s="13" t="s">
        <v>1271</v>
      </c>
      <c r="B51" s="13">
        <v>1701</v>
      </c>
      <c r="C51" s="14" t="str">
        <f>+VLOOKUP(B51,[1]LISTE!$A$1:$D$431,4,FALSE)</f>
        <v>SASSI KARIM</v>
      </c>
      <c r="D51" s="14" t="s">
        <v>236</v>
      </c>
      <c r="E51" s="15">
        <v>45768</v>
      </c>
      <c r="F51" s="14" t="s">
        <v>20</v>
      </c>
      <c r="G51" s="16">
        <v>70.040000000000006</v>
      </c>
    </row>
    <row r="52" spans="1:7" x14ac:dyDescent="0.25">
      <c r="A52" s="13" t="s">
        <v>1244</v>
      </c>
      <c r="B52" s="13">
        <v>1702</v>
      </c>
      <c r="C52" s="14" t="str">
        <f>+VLOOKUP(B52,[1]LISTE!$A$1:$D$431,4,FALSE)</f>
        <v>JAIET WALID</v>
      </c>
      <c r="D52" s="15" t="s">
        <v>22</v>
      </c>
      <c r="E52" s="15">
        <v>45761</v>
      </c>
      <c r="F52" s="14" t="s">
        <v>23</v>
      </c>
      <c r="G52" s="16">
        <v>45</v>
      </c>
    </row>
    <row r="53" spans="1:7" x14ac:dyDescent="0.25">
      <c r="A53" s="13" t="s">
        <v>1244</v>
      </c>
      <c r="B53" s="13">
        <v>1702</v>
      </c>
      <c r="C53" s="14" t="str">
        <f>+VLOOKUP(B53,[1]LISTE!$A$1:$D$431,4,FALSE)</f>
        <v>JAIET WALID</v>
      </c>
      <c r="D53" s="15" t="s">
        <v>22</v>
      </c>
      <c r="E53" s="15">
        <v>45761</v>
      </c>
      <c r="F53" s="14" t="s">
        <v>20</v>
      </c>
      <c r="G53" s="16">
        <v>78.260999999999996</v>
      </c>
    </row>
    <row r="54" spans="1:7" x14ac:dyDescent="0.25">
      <c r="A54" s="13" t="s">
        <v>1245</v>
      </c>
      <c r="B54" s="13">
        <v>1702</v>
      </c>
      <c r="C54" s="14" t="str">
        <f>+VLOOKUP(B54,[1]LISTE!$A$1:$D$431,4,FALSE)</f>
        <v>JAIET WALID</v>
      </c>
      <c r="D54" s="14" t="s">
        <v>1206</v>
      </c>
      <c r="E54" s="15">
        <v>45764</v>
      </c>
      <c r="F54" s="14" t="s">
        <v>23</v>
      </c>
      <c r="G54" s="16">
        <v>45</v>
      </c>
    </row>
    <row r="55" spans="1:7" x14ac:dyDescent="0.25">
      <c r="A55" s="13" t="s">
        <v>1245</v>
      </c>
      <c r="B55" s="13">
        <v>1702</v>
      </c>
      <c r="C55" s="14" t="str">
        <f>+VLOOKUP(B55,[1]LISTE!$A$1:$D$431,4,FALSE)</f>
        <v>JAIET WALID</v>
      </c>
      <c r="D55" s="14" t="s">
        <v>1206</v>
      </c>
      <c r="E55" s="15">
        <v>45764</v>
      </c>
      <c r="F55" s="14" t="s">
        <v>20</v>
      </c>
      <c r="G55" s="16">
        <v>76.653000000000006</v>
      </c>
    </row>
    <row r="56" spans="1:7" x14ac:dyDescent="0.25">
      <c r="A56" s="13" t="s">
        <v>1298</v>
      </c>
      <c r="B56" s="13">
        <v>1702</v>
      </c>
      <c r="C56" s="14" t="str">
        <f>+VLOOKUP(B56,[1]LISTE!$A$1:$D$431,4,FALSE)</f>
        <v>JAIET WALID</v>
      </c>
      <c r="D56" s="14" t="s">
        <v>151</v>
      </c>
      <c r="E56" s="15">
        <v>45757</v>
      </c>
      <c r="F56" s="14" t="s">
        <v>23</v>
      </c>
      <c r="G56" s="16">
        <v>45</v>
      </c>
    </row>
    <row r="57" spans="1:7" x14ac:dyDescent="0.25">
      <c r="A57" s="13" t="s">
        <v>1298</v>
      </c>
      <c r="B57" s="13">
        <v>1702</v>
      </c>
      <c r="C57" s="14" t="str">
        <f>+VLOOKUP(B57,[1]LISTE!$A$1:$D$431,4,FALSE)</f>
        <v>JAIET WALID</v>
      </c>
      <c r="D57" s="14" t="s">
        <v>151</v>
      </c>
      <c r="E57" s="15">
        <v>45757</v>
      </c>
      <c r="F57" s="14" t="s">
        <v>20</v>
      </c>
      <c r="G57" s="16">
        <v>61.77</v>
      </c>
    </row>
    <row r="58" spans="1:7" x14ac:dyDescent="0.25">
      <c r="A58" s="13" t="s">
        <v>1258</v>
      </c>
      <c r="B58" s="13">
        <v>1704</v>
      </c>
      <c r="C58" s="14" t="str">
        <f>+VLOOKUP(B58,[1]LISTE!$A$1:$D$431,4,FALSE)</f>
        <v>EL GAZZAH RIADH</v>
      </c>
      <c r="D58" s="15" t="s">
        <v>472</v>
      </c>
      <c r="E58" s="15">
        <v>45743</v>
      </c>
      <c r="F58" s="14" t="s">
        <v>23</v>
      </c>
      <c r="G58" s="16">
        <v>20</v>
      </c>
    </row>
    <row r="59" spans="1:7" x14ac:dyDescent="0.25">
      <c r="A59" s="13" t="s">
        <v>1258</v>
      </c>
      <c r="B59" s="13">
        <v>1704</v>
      </c>
      <c r="C59" s="14" t="str">
        <f>+VLOOKUP(B59,[1]LISTE!$A$1:$D$431,4,FALSE)</f>
        <v>EL GAZZAH RIADH</v>
      </c>
      <c r="D59" s="14" t="s">
        <v>472</v>
      </c>
      <c r="E59" s="15">
        <v>45743</v>
      </c>
      <c r="F59" s="14" t="s">
        <v>20</v>
      </c>
      <c r="G59" s="16">
        <v>14.347</v>
      </c>
    </row>
    <row r="60" spans="1:7" x14ac:dyDescent="0.25">
      <c r="A60" s="13" t="s">
        <v>1284</v>
      </c>
      <c r="B60" s="13">
        <v>1704</v>
      </c>
      <c r="C60" s="14" t="str">
        <f>+VLOOKUP(B60,[1]LISTE!$A$1:$D$431,4,FALSE)</f>
        <v>EL GAZZAH RIADH</v>
      </c>
      <c r="D60" s="15" t="s">
        <v>22</v>
      </c>
      <c r="E60" s="15">
        <v>45767</v>
      </c>
      <c r="F60" s="14" t="s">
        <v>23</v>
      </c>
      <c r="G60" s="16">
        <v>40</v>
      </c>
    </row>
    <row r="61" spans="1:7" x14ac:dyDescent="0.25">
      <c r="A61" s="13" t="s">
        <v>1284</v>
      </c>
      <c r="B61" s="13">
        <v>1704</v>
      </c>
      <c r="C61" s="14" t="str">
        <f>+VLOOKUP(B61,[1]LISTE!$A$1:$D$431,4,FALSE)</f>
        <v>EL GAZZAH RIADH</v>
      </c>
      <c r="D61" s="15" t="s">
        <v>22</v>
      </c>
      <c r="E61" s="15">
        <v>45771</v>
      </c>
      <c r="F61" s="14" t="s">
        <v>25</v>
      </c>
      <c r="G61" s="16">
        <v>700</v>
      </c>
    </row>
    <row r="62" spans="1:7" x14ac:dyDescent="0.25">
      <c r="A62" s="13" t="s">
        <v>1225</v>
      </c>
      <c r="B62" s="13">
        <v>1706</v>
      </c>
      <c r="C62" s="14" t="str">
        <f>+VLOOKUP(B62,[1]LISTE!$A$1:$D$431,4,FALSE)</f>
        <v>GRIRA LOKHDHIRI FREDJ</v>
      </c>
      <c r="D62" s="14" t="s">
        <v>563</v>
      </c>
      <c r="E62" s="15">
        <v>45736</v>
      </c>
      <c r="F62" s="14" t="s">
        <v>18</v>
      </c>
      <c r="G62" s="16">
        <v>70</v>
      </c>
    </row>
    <row r="63" spans="1:7" x14ac:dyDescent="0.25">
      <c r="A63" s="13" t="s">
        <v>1225</v>
      </c>
      <c r="B63" s="13">
        <v>1706</v>
      </c>
      <c r="C63" s="14" t="str">
        <f>+VLOOKUP(B63,[1]LISTE!$A$1:$D$431,4,FALSE)</f>
        <v>GRIRA LOKHDHIRI FREDJ</v>
      </c>
      <c r="D63" s="14" t="s">
        <v>563</v>
      </c>
      <c r="E63" s="15">
        <v>45736</v>
      </c>
      <c r="F63" s="14" t="s">
        <v>20</v>
      </c>
      <c r="G63" s="16">
        <v>314.12700000000001</v>
      </c>
    </row>
    <row r="64" spans="1:7" x14ac:dyDescent="0.25">
      <c r="A64" s="13" t="s">
        <v>1226</v>
      </c>
      <c r="B64" s="13">
        <v>1706</v>
      </c>
      <c r="C64" s="14" t="str">
        <f>+VLOOKUP(B64,[1]LISTE!$A$1:$D$431,4,FALSE)</f>
        <v>GRIRA LOKHDHIRI FREDJ</v>
      </c>
      <c r="D64" s="14" t="s">
        <v>82</v>
      </c>
      <c r="E64" s="15">
        <v>45736</v>
      </c>
      <c r="F64" s="14" t="s">
        <v>18</v>
      </c>
      <c r="G64" s="16">
        <v>70</v>
      </c>
    </row>
    <row r="65" spans="1:7" x14ac:dyDescent="0.25">
      <c r="A65" s="13" t="s">
        <v>1226</v>
      </c>
      <c r="B65" s="13">
        <v>1706</v>
      </c>
      <c r="C65" s="14" t="str">
        <f>+VLOOKUP(B65,[1]LISTE!$A$1:$D$431,4,FALSE)</f>
        <v>GRIRA LOKHDHIRI FREDJ</v>
      </c>
      <c r="D65" s="15" t="s">
        <v>82</v>
      </c>
      <c r="E65" s="15">
        <v>45736</v>
      </c>
      <c r="F65" s="14" t="s">
        <v>20</v>
      </c>
      <c r="G65" s="16">
        <v>160.971</v>
      </c>
    </row>
    <row r="66" spans="1:7" x14ac:dyDescent="0.25">
      <c r="A66" s="13" t="s">
        <v>1227</v>
      </c>
      <c r="B66" s="13">
        <v>1706</v>
      </c>
      <c r="C66" s="14" t="str">
        <f>+VLOOKUP(B66,[1]LISTE!$A$1:$D$431,4,FALSE)</f>
        <v>GRIRA LOKHDHIRI FREDJ</v>
      </c>
      <c r="D66" s="15" t="s">
        <v>186</v>
      </c>
      <c r="E66" s="15">
        <v>45764</v>
      </c>
      <c r="F66" s="14" t="s">
        <v>23</v>
      </c>
      <c r="G66" s="16">
        <v>40</v>
      </c>
    </row>
    <row r="67" spans="1:7" x14ac:dyDescent="0.25">
      <c r="A67" s="13" t="s">
        <v>1227</v>
      </c>
      <c r="B67" s="13">
        <v>1706</v>
      </c>
      <c r="C67" s="14" t="str">
        <f>+VLOOKUP(B67,[1]LISTE!$A$1:$D$431,4,FALSE)</f>
        <v>GRIRA LOKHDHIRI FREDJ</v>
      </c>
      <c r="D67" s="15" t="s">
        <v>186</v>
      </c>
      <c r="E67" s="15">
        <v>45764</v>
      </c>
      <c r="F67" s="14" t="s">
        <v>20</v>
      </c>
      <c r="G67" s="16">
        <v>27.805</v>
      </c>
    </row>
    <row r="68" spans="1:7" x14ac:dyDescent="0.25">
      <c r="A68" s="13" t="s">
        <v>1238</v>
      </c>
      <c r="B68" s="13">
        <v>1708</v>
      </c>
      <c r="C68" s="14" t="str">
        <f>+VLOOKUP(B68,[1]LISTE!$A$1:$D$431,4,FALSE)</f>
        <v>EL HOTMANI SAMI</v>
      </c>
      <c r="D68" s="14" t="s">
        <v>1239</v>
      </c>
      <c r="E68" s="15">
        <v>45757</v>
      </c>
      <c r="F68" s="14" t="s">
        <v>23</v>
      </c>
      <c r="G68" s="16">
        <v>4.5</v>
      </c>
    </row>
    <row r="69" spans="1:7" x14ac:dyDescent="0.25">
      <c r="A69" s="13" t="s">
        <v>1238</v>
      </c>
      <c r="B69" s="13">
        <v>1708</v>
      </c>
      <c r="C69" s="14" t="str">
        <f>+VLOOKUP(B69,[1]LISTE!$A$1:$D$431,4,FALSE)</f>
        <v>EL HOTMANI SAMI</v>
      </c>
      <c r="D69" s="14" t="s">
        <v>1239</v>
      </c>
      <c r="E69" s="15">
        <v>45758</v>
      </c>
      <c r="F69" s="14" t="s">
        <v>20</v>
      </c>
      <c r="G69" s="16">
        <v>88.68</v>
      </c>
    </row>
    <row r="70" spans="1:7" x14ac:dyDescent="0.25">
      <c r="A70" s="13" t="s">
        <v>1311</v>
      </c>
      <c r="B70" s="13">
        <v>1711</v>
      </c>
      <c r="C70" s="14" t="str">
        <f>+VLOOKUP(B70,[1]LISTE!$A$1:$D$431,4,FALSE)</f>
        <v>BEN ISMAIL HOSNI</v>
      </c>
      <c r="D70" s="14" t="s">
        <v>284</v>
      </c>
      <c r="E70" s="15">
        <v>45765</v>
      </c>
      <c r="F70" s="14" t="s">
        <v>18</v>
      </c>
      <c r="G70" s="16">
        <v>70</v>
      </c>
    </row>
    <row r="71" spans="1:7" x14ac:dyDescent="0.25">
      <c r="A71" s="13" t="s">
        <v>1311</v>
      </c>
      <c r="B71" s="13">
        <v>1711</v>
      </c>
      <c r="C71" s="14" t="str">
        <f>+VLOOKUP(B71,[1]LISTE!$A$1:$D$431,4,FALSE)</f>
        <v>BEN ISMAIL HOSNI</v>
      </c>
      <c r="D71" s="14" t="s">
        <v>284</v>
      </c>
      <c r="E71" s="15">
        <v>45765</v>
      </c>
      <c r="F71" s="14" t="s">
        <v>20</v>
      </c>
      <c r="G71" s="16">
        <v>2.4550000000000001</v>
      </c>
    </row>
    <row r="72" spans="1:7" x14ac:dyDescent="0.25">
      <c r="A72" s="13" t="s">
        <v>1311</v>
      </c>
      <c r="B72" s="13">
        <v>1711</v>
      </c>
      <c r="C72" s="14" t="str">
        <f>+VLOOKUP(B72,[1]LISTE!$A$1:$D$431,4,FALSE)</f>
        <v>BEN ISMAIL HOSNI</v>
      </c>
      <c r="D72" s="14" t="s">
        <v>284</v>
      </c>
      <c r="E72" s="15">
        <v>45766</v>
      </c>
      <c r="F72" s="14" t="s">
        <v>69</v>
      </c>
      <c r="G72" s="16">
        <v>530</v>
      </c>
    </row>
    <row r="73" spans="1:7" x14ac:dyDescent="0.25">
      <c r="A73" s="13" t="s">
        <v>1247</v>
      </c>
      <c r="B73" s="13">
        <v>1738</v>
      </c>
      <c r="C73" s="14" t="str">
        <f>+VLOOKUP(B73,[1]LISTE!$A$1:$D$431,4,FALSE)</f>
        <v>GAMHA KHALED</v>
      </c>
      <c r="D73" s="14" t="s">
        <v>22</v>
      </c>
      <c r="E73" s="15">
        <v>45761</v>
      </c>
      <c r="F73" s="14" t="s">
        <v>18</v>
      </c>
      <c r="G73" s="16">
        <v>60</v>
      </c>
    </row>
    <row r="74" spans="1:7" x14ac:dyDescent="0.25">
      <c r="A74" s="13" t="s">
        <v>1247</v>
      </c>
      <c r="B74" s="13">
        <v>1738</v>
      </c>
      <c r="C74" s="14" t="str">
        <f>+VLOOKUP(B74,[1]LISTE!$A$1:$D$431,4,FALSE)</f>
        <v>GAMHA KHALED</v>
      </c>
      <c r="D74" s="15" t="s">
        <v>22</v>
      </c>
      <c r="E74" s="15">
        <v>45761</v>
      </c>
      <c r="F74" s="14" t="s">
        <v>20</v>
      </c>
      <c r="G74" s="16">
        <v>109.56</v>
      </c>
    </row>
    <row r="75" spans="1:7" x14ac:dyDescent="0.25">
      <c r="A75" s="13" t="s">
        <v>1248</v>
      </c>
      <c r="B75" s="13">
        <v>1738</v>
      </c>
      <c r="C75" s="14" t="str">
        <f>+VLOOKUP(B75,[1]LISTE!$A$1:$D$431,4,FALSE)</f>
        <v>GAMHA KHALED</v>
      </c>
      <c r="D75" s="14" t="s">
        <v>82</v>
      </c>
      <c r="E75" s="15">
        <v>45759</v>
      </c>
      <c r="F75" s="14" t="s">
        <v>18</v>
      </c>
      <c r="G75" s="16">
        <v>60</v>
      </c>
    </row>
    <row r="76" spans="1:7" x14ac:dyDescent="0.25">
      <c r="A76" s="13" t="s">
        <v>1248</v>
      </c>
      <c r="B76" s="13">
        <v>1738</v>
      </c>
      <c r="C76" s="14" t="str">
        <f>+VLOOKUP(B76,[1]LISTE!$A$1:$D$431,4,FALSE)</f>
        <v>GAMHA KHALED</v>
      </c>
      <c r="D76" s="14" t="s">
        <v>82</v>
      </c>
      <c r="E76" s="15">
        <v>45759</v>
      </c>
      <c r="F76" s="14" t="s">
        <v>20</v>
      </c>
      <c r="G76" s="16">
        <v>124.655</v>
      </c>
    </row>
    <row r="77" spans="1:7" x14ac:dyDescent="0.25">
      <c r="A77" s="13" t="s">
        <v>1249</v>
      </c>
      <c r="B77" s="13">
        <v>1738</v>
      </c>
      <c r="C77" s="14" t="str">
        <f>+VLOOKUP(B77,[1]LISTE!$A$1:$D$431,4,FALSE)</f>
        <v>GAMHA KHALED</v>
      </c>
      <c r="D77" s="15" t="s">
        <v>421</v>
      </c>
      <c r="E77" s="15">
        <v>45757</v>
      </c>
      <c r="F77" s="14" t="s">
        <v>18</v>
      </c>
      <c r="G77" s="16">
        <v>60</v>
      </c>
    </row>
    <row r="78" spans="1:7" x14ac:dyDescent="0.25">
      <c r="A78" s="13" t="s">
        <v>1249</v>
      </c>
      <c r="B78" s="13">
        <v>1738</v>
      </c>
      <c r="C78" s="14" t="str">
        <f>+VLOOKUP(B78,[1]LISTE!$A$1:$D$431,4,FALSE)</f>
        <v>GAMHA KHALED</v>
      </c>
      <c r="D78" s="14" t="s">
        <v>421</v>
      </c>
      <c r="E78" s="15">
        <v>45757</v>
      </c>
      <c r="F78" s="14" t="s">
        <v>20</v>
      </c>
      <c r="G78" s="16">
        <v>114.19</v>
      </c>
    </row>
    <row r="79" spans="1:7" x14ac:dyDescent="0.25">
      <c r="A79" s="13" t="s">
        <v>1237</v>
      </c>
      <c r="B79" s="13">
        <v>1746</v>
      </c>
      <c r="C79" s="14" t="str">
        <f>+VLOOKUP(B79,[1]LISTE!$A$1:$D$431,4,FALSE)</f>
        <v>BEL ARBIA KAMEL</v>
      </c>
      <c r="D79" s="15" t="s">
        <v>22</v>
      </c>
      <c r="E79" s="15">
        <v>45766</v>
      </c>
      <c r="F79" s="14" t="s">
        <v>18</v>
      </c>
      <c r="G79" s="16">
        <v>70</v>
      </c>
    </row>
    <row r="80" spans="1:7" x14ac:dyDescent="0.25">
      <c r="A80" s="13" t="s">
        <v>1237</v>
      </c>
      <c r="B80" s="13">
        <v>1746</v>
      </c>
      <c r="C80" s="14" t="str">
        <f>+VLOOKUP(B80,[1]LISTE!$A$1:$D$431,4,FALSE)</f>
        <v>BEL ARBIA KAMEL</v>
      </c>
      <c r="D80" s="14" t="s">
        <v>22</v>
      </c>
      <c r="E80" s="15">
        <v>45766</v>
      </c>
      <c r="F80" s="14" t="s">
        <v>20</v>
      </c>
      <c r="G80" s="16">
        <v>140.90600000000001</v>
      </c>
    </row>
    <row r="81" spans="1:7" x14ac:dyDescent="0.25">
      <c r="A81" s="13" t="s">
        <v>1193</v>
      </c>
      <c r="B81" s="13">
        <v>1747</v>
      </c>
      <c r="C81" s="14" t="str">
        <f>+VLOOKUP(B81,[1]LISTE!$A$1:$D$431,4,FALSE)</f>
        <v>BRAHIM THEMEUR</v>
      </c>
      <c r="D81" s="14" t="s">
        <v>379</v>
      </c>
      <c r="E81" s="15">
        <v>45744</v>
      </c>
      <c r="F81" s="14" t="s">
        <v>18</v>
      </c>
      <c r="G81" s="16">
        <v>60</v>
      </c>
    </row>
    <row r="82" spans="1:7" x14ac:dyDescent="0.25">
      <c r="A82" s="13" t="s">
        <v>1193</v>
      </c>
      <c r="B82" s="13">
        <v>1747</v>
      </c>
      <c r="C82" s="14" t="str">
        <f>+VLOOKUP(B82,[1]LISTE!$A$1:$D$431,4,FALSE)</f>
        <v>BRAHIM THEMEUR</v>
      </c>
      <c r="D82" s="15" t="s">
        <v>379</v>
      </c>
      <c r="E82" s="15">
        <v>45744</v>
      </c>
      <c r="F82" s="14" t="s">
        <v>20</v>
      </c>
      <c r="G82" s="16">
        <v>26.670999999999999</v>
      </c>
    </row>
    <row r="83" spans="1:7" x14ac:dyDescent="0.25">
      <c r="A83" s="13" t="s">
        <v>1194</v>
      </c>
      <c r="B83" s="13">
        <v>1747</v>
      </c>
      <c r="C83" s="14" t="str">
        <f>+VLOOKUP(B83,[1]LISTE!$A$1:$D$431,4,FALSE)</f>
        <v>BRAHIM THEMEUR</v>
      </c>
      <c r="D83" s="14" t="s">
        <v>286</v>
      </c>
      <c r="E83" s="15">
        <v>45761</v>
      </c>
      <c r="F83" s="14" t="s">
        <v>23</v>
      </c>
      <c r="G83" s="16">
        <v>50</v>
      </c>
    </row>
    <row r="84" spans="1:7" x14ac:dyDescent="0.25">
      <c r="A84" s="13" t="s">
        <v>1194</v>
      </c>
      <c r="B84" s="13">
        <v>1747</v>
      </c>
      <c r="C84" s="14" t="str">
        <f>+VLOOKUP(B84,[1]LISTE!$A$1:$D$431,4,FALSE)</f>
        <v>BRAHIM THEMEUR</v>
      </c>
      <c r="D84" s="14" t="s">
        <v>286</v>
      </c>
      <c r="E84" s="15">
        <v>45761</v>
      </c>
      <c r="F84" s="14" t="s">
        <v>20</v>
      </c>
      <c r="G84" s="16">
        <v>81.045000000000002</v>
      </c>
    </row>
    <row r="85" spans="1:7" x14ac:dyDescent="0.25">
      <c r="A85" s="13" t="s">
        <v>1223</v>
      </c>
      <c r="B85" s="13">
        <v>1755</v>
      </c>
      <c r="C85" s="14" t="str">
        <f>+VLOOKUP(B85,[1]LISTE!$A$1:$D$431,4,FALSE)</f>
        <v>REJEB NEJIB</v>
      </c>
      <c r="D85" s="15" t="s">
        <v>245</v>
      </c>
      <c r="E85" s="15">
        <v>45763</v>
      </c>
      <c r="F85" s="14" t="s">
        <v>18</v>
      </c>
      <c r="G85" s="16">
        <v>60</v>
      </c>
    </row>
    <row r="86" spans="1:7" x14ac:dyDescent="0.25">
      <c r="A86" s="13" t="s">
        <v>1223</v>
      </c>
      <c r="B86" s="13">
        <v>1755</v>
      </c>
      <c r="C86" s="14" t="str">
        <f>+VLOOKUP(B86,[1]LISTE!$A$1:$D$431,4,FALSE)</f>
        <v>REJEB NEJIB</v>
      </c>
      <c r="D86" s="15" t="s">
        <v>245</v>
      </c>
      <c r="E86" s="15">
        <v>45763</v>
      </c>
      <c r="F86" s="14" t="s">
        <v>20</v>
      </c>
      <c r="G86" s="16">
        <v>104.27500000000001</v>
      </c>
    </row>
    <row r="87" spans="1:7" x14ac:dyDescent="0.25">
      <c r="A87" s="13" t="s">
        <v>1224</v>
      </c>
      <c r="B87" s="13">
        <v>1755</v>
      </c>
      <c r="C87" s="14" t="str">
        <f>+VLOOKUP(B87,[1]LISTE!$A$1:$D$431,4,FALSE)</f>
        <v>REJEB NEJIB</v>
      </c>
      <c r="D87" s="14" t="s">
        <v>703</v>
      </c>
      <c r="E87" s="15">
        <v>45762</v>
      </c>
      <c r="F87" s="14" t="s">
        <v>18</v>
      </c>
      <c r="G87" s="16">
        <v>60</v>
      </c>
    </row>
    <row r="88" spans="1:7" x14ac:dyDescent="0.25">
      <c r="A88" s="13" t="s">
        <v>1224</v>
      </c>
      <c r="B88" s="13">
        <v>1755</v>
      </c>
      <c r="C88" s="14" t="str">
        <f>+VLOOKUP(B88,[1]LISTE!$A$1:$D$431,4,FALSE)</f>
        <v>REJEB NEJIB</v>
      </c>
      <c r="D88" s="14" t="s">
        <v>703</v>
      </c>
      <c r="E88" s="15">
        <v>45762</v>
      </c>
      <c r="F88" s="14" t="s">
        <v>20</v>
      </c>
      <c r="G88" s="16">
        <v>130.05000000000001</v>
      </c>
    </row>
    <row r="89" spans="1:7" x14ac:dyDescent="0.25">
      <c r="A89" s="13" t="s">
        <v>1280</v>
      </c>
      <c r="B89" s="13">
        <v>1760</v>
      </c>
      <c r="C89" s="14" t="str">
        <f>+VLOOKUP(B89,[1]LISTE!$A$1:$D$431,4,FALSE)</f>
        <v>SASSI SAMIR</v>
      </c>
      <c r="D89" s="15" t="s">
        <v>22</v>
      </c>
      <c r="E89" s="15">
        <v>45771</v>
      </c>
      <c r="F89" s="14" t="s">
        <v>23</v>
      </c>
      <c r="G89" s="16">
        <v>40</v>
      </c>
    </row>
    <row r="90" spans="1:7" x14ac:dyDescent="0.25">
      <c r="A90" s="13" t="s">
        <v>1280</v>
      </c>
      <c r="B90" s="13">
        <v>1760</v>
      </c>
      <c r="C90" s="14" t="str">
        <f>+VLOOKUP(B90,[1]LISTE!$A$1:$D$431,4,FALSE)</f>
        <v>SASSI SAMIR</v>
      </c>
      <c r="D90" s="14" t="s">
        <v>22</v>
      </c>
      <c r="E90" s="15">
        <v>45771</v>
      </c>
      <c r="F90" s="14" t="s">
        <v>20</v>
      </c>
      <c r="G90" s="16">
        <v>61.718000000000004</v>
      </c>
    </row>
    <row r="91" spans="1:7" x14ac:dyDescent="0.25">
      <c r="A91" s="13" t="s">
        <v>1299</v>
      </c>
      <c r="B91" s="13">
        <v>1760</v>
      </c>
      <c r="C91" s="14" t="str">
        <f>+VLOOKUP(B91,[1]LISTE!$A$1:$D$431,4,FALSE)</f>
        <v>SASSI SAMIR</v>
      </c>
      <c r="D91" s="14" t="s">
        <v>75</v>
      </c>
      <c r="E91" s="15">
        <v>45768</v>
      </c>
      <c r="F91" s="14" t="s">
        <v>23</v>
      </c>
      <c r="G91" s="16">
        <v>40</v>
      </c>
    </row>
    <row r="92" spans="1:7" x14ac:dyDescent="0.25">
      <c r="A92" s="13" t="s">
        <v>1299</v>
      </c>
      <c r="B92" s="13">
        <v>1760</v>
      </c>
      <c r="C92" s="14" t="str">
        <f>+VLOOKUP(B92,[1]LISTE!$A$1:$D$431,4,FALSE)</f>
        <v>SASSI SAMIR</v>
      </c>
      <c r="D92" s="14" t="s">
        <v>75</v>
      </c>
      <c r="E92" s="15">
        <v>45768</v>
      </c>
      <c r="F92" s="14" t="s">
        <v>20</v>
      </c>
      <c r="G92" s="16">
        <v>36.691000000000003</v>
      </c>
    </row>
    <row r="93" spans="1:7" x14ac:dyDescent="0.25">
      <c r="A93" s="13" t="s">
        <v>1235</v>
      </c>
      <c r="B93" s="13">
        <v>1764</v>
      </c>
      <c r="C93" s="14" t="str">
        <f>+VLOOKUP(B93,[1]LISTE!$A$1:$D$431,4,FALSE)</f>
        <v>RBEH MAHMOUD</v>
      </c>
      <c r="D93" s="14" t="s">
        <v>54</v>
      </c>
      <c r="E93" s="15">
        <v>45759</v>
      </c>
      <c r="F93" s="14" t="s">
        <v>18</v>
      </c>
      <c r="G93" s="16">
        <v>60</v>
      </c>
    </row>
    <row r="94" spans="1:7" x14ac:dyDescent="0.25">
      <c r="A94" s="13" t="s">
        <v>1269</v>
      </c>
      <c r="B94" s="13">
        <v>1764</v>
      </c>
      <c r="C94" s="14" t="str">
        <f>+VLOOKUP(B94,[1]LISTE!$A$1:$D$431,4,FALSE)</f>
        <v>RBEH MAHMOUD</v>
      </c>
      <c r="D94" s="15" t="s">
        <v>54</v>
      </c>
      <c r="E94" s="15">
        <v>45766</v>
      </c>
      <c r="F94" s="14" t="s">
        <v>18</v>
      </c>
      <c r="G94" s="16">
        <v>60</v>
      </c>
    </row>
    <row r="95" spans="1:7" x14ac:dyDescent="0.25">
      <c r="A95" s="13" t="s">
        <v>1232</v>
      </c>
      <c r="B95" s="13">
        <v>1784</v>
      </c>
      <c r="C95" s="14" t="str">
        <f>+VLOOKUP(B95,[1]LISTE!$A$1:$D$431,4,FALSE)</f>
        <v>LAYOUNI KHALED</v>
      </c>
      <c r="D95" s="14" t="s">
        <v>907</v>
      </c>
      <c r="E95" s="15">
        <v>45764</v>
      </c>
      <c r="F95" s="14" t="s">
        <v>23</v>
      </c>
      <c r="G95" s="16">
        <v>45</v>
      </c>
    </row>
    <row r="96" spans="1:7" x14ac:dyDescent="0.25">
      <c r="A96" s="13" t="s">
        <v>1232</v>
      </c>
      <c r="B96" s="13">
        <v>1784</v>
      </c>
      <c r="C96" s="14" t="str">
        <f>+VLOOKUP(B96,[1]LISTE!$A$1:$D$431,4,FALSE)</f>
        <v>LAYOUNI KHALED</v>
      </c>
      <c r="D96" s="14" t="s">
        <v>907</v>
      </c>
      <c r="E96" s="15">
        <v>45764</v>
      </c>
      <c r="F96" s="14" t="s">
        <v>20</v>
      </c>
      <c r="G96" s="16">
        <v>33.970999999999997</v>
      </c>
    </row>
    <row r="97" spans="1:7" x14ac:dyDescent="0.25">
      <c r="A97" s="13" t="s">
        <v>1236</v>
      </c>
      <c r="B97" s="13">
        <v>1795</v>
      </c>
      <c r="C97" s="14" t="str">
        <f>+VLOOKUP(B97,[1]LISTE!$A$1:$D$431,4,FALSE)</f>
        <v>SOUA MOHAMED</v>
      </c>
      <c r="D97" s="14" t="s">
        <v>245</v>
      </c>
      <c r="E97" s="15">
        <v>45766</v>
      </c>
      <c r="F97" s="14" t="s">
        <v>18</v>
      </c>
      <c r="G97" s="16">
        <v>70</v>
      </c>
    </row>
    <row r="98" spans="1:7" x14ac:dyDescent="0.25">
      <c r="A98" s="13" t="s">
        <v>1236</v>
      </c>
      <c r="B98" s="13">
        <v>1795</v>
      </c>
      <c r="C98" s="14" t="str">
        <f>+VLOOKUP(B98,[1]LISTE!$A$1:$D$431,4,FALSE)</f>
        <v>SOUA MOHAMED</v>
      </c>
      <c r="D98" s="15" t="s">
        <v>245</v>
      </c>
      <c r="E98" s="15">
        <v>45766</v>
      </c>
      <c r="F98" s="14" t="s">
        <v>20</v>
      </c>
      <c r="G98" s="16">
        <v>68.34</v>
      </c>
    </row>
    <row r="99" spans="1:7" x14ac:dyDescent="0.25">
      <c r="A99" s="13" t="s">
        <v>1283</v>
      </c>
      <c r="B99" s="13">
        <v>1796</v>
      </c>
      <c r="C99" s="14" t="str">
        <f>+VLOOKUP(B99,[1]LISTE!$A$1:$D$431,4,FALSE)</f>
        <v>BEL HADJ HASSINE IMED</v>
      </c>
      <c r="D99" s="14" t="s">
        <v>22</v>
      </c>
      <c r="E99" s="15">
        <v>45761</v>
      </c>
      <c r="F99" s="14" t="s">
        <v>18</v>
      </c>
      <c r="G99" s="16">
        <v>70</v>
      </c>
    </row>
    <row r="100" spans="1:7" x14ac:dyDescent="0.25">
      <c r="A100" s="13" t="s">
        <v>1283</v>
      </c>
      <c r="B100" s="13">
        <v>1796</v>
      </c>
      <c r="C100" s="14" t="str">
        <f>+VLOOKUP(B100,[1]LISTE!$A$1:$D$431,4,FALSE)</f>
        <v>BEL HADJ HASSINE IMED</v>
      </c>
      <c r="D100" s="14" t="s">
        <v>22</v>
      </c>
      <c r="E100" s="15">
        <v>45771</v>
      </c>
      <c r="F100" s="14" t="s">
        <v>20</v>
      </c>
      <c r="G100" s="16">
        <v>74.040000000000006</v>
      </c>
    </row>
    <row r="101" spans="1:7" x14ac:dyDescent="0.25">
      <c r="A101" s="13" t="s">
        <v>1241</v>
      </c>
      <c r="B101" s="13">
        <v>1814</v>
      </c>
      <c r="C101" s="14" t="str">
        <f>+VLOOKUP(B101,[1]LISTE!$A$1:$D$431,4,FALSE)</f>
        <v>BEL ARBIA SLAH</v>
      </c>
      <c r="D101" s="14" t="s">
        <v>641</v>
      </c>
      <c r="E101" s="15">
        <v>45764</v>
      </c>
      <c r="F101" s="14" t="s">
        <v>19</v>
      </c>
      <c r="G101" s="16">
        <v>20.71</v>
      </c>
    </row>
    <row r="102" spans="1:7" x14ac:dyDescent="0.25">
      <c r="A102" s="13" t="s">
        <v>1241</v>
      </c>
      <c r="B102" s="13">
        <v>1814</v>
      </c>
      <c r="C102" s="14" t="str">
        <f>+VLOOKUP(B102,[1]LISTE!$A$1:$D$431,4,FALSE)</f>
        <v>BEL ARBIA SLAH</v>
      </c>
      <c r="D102" s="14" t="s">
        <v>641</v>
      </c>
      <c r="E102" s="15">
        <v>45764</v>
      </c>
      <c r="F102" s="14" t="s">
        <v>20</v>
      </c>
      <c r="G102" s="16">
        <v>10.462</v>
      </c>
    </row>
    <row r="103" spans="1:7" x14ac:dyDescent="0.25">
      <c r="A103" s="13" t="s">
        <v>1250</v>
      </c>
      <c r="B103" s="13">
        <v>1814</v>
      </c>
      <c r="C103" s="14" t="str">
        <f>+VLOOKUP(B103,[1]LISTE!$A$1:$D$431,4,FALSE)</f>
        <v>BEL ARBIA SLAH</v>
      </c>
      <c r="D103" s="14" t="s">
        <v>128</v>
      </c>
      <c r="E103" s="15">
        <v>45764</v>
      </c>
      <c r="F103" s="14" t="s">
        <v>23</v>
      </c>
      <c r="G103" s="16">
        <v>20</v>
      </c>
    </row>
    <row r="104" spans="1:7" x14ac:dyDescent="0.25">
      <c r="A104" s="13" t="s">
        <v>1250</v>
      </c>
      <c r="B104" s="13">
        <v>1814</v>
      </c>
      <c r="C104" s="14" t="str">
        <f>+VLOOKUP(B104,[1]LISTE!$A$1:$D$431,4,FALSE)</f>
        <v>BEL ARBIA SLAH</v>
      </c>
      <c r="D104" s="14" t="s">
        <v>128</v>
      </c>
      <c r="E104" s="15">
        <v>45764</v>
      </c>
      <c r="F104" s="14" t="s">
        <v>20</v>
      </c>
      <c r="G104" s="16">
        <v>12.455</v>
      </c>
    </row>
    <row r="105" spans="1:7" x14ac:dyDescent="0.25">
      <c r="A105" s="13" t="s">
        <v>1251</v>
      </c>
      <c r="B105" s="13">
        <v>1814</v>
      </c>
      <c r="C105" s="14" t="str">
        <f>+VLOOKUP(B105,[1]LISTE!$A$1:$D$431,4,FALSE)</f>
        <v>BEL ARBIA SLAH</v>
      </c>
      <c r="D105" s="15" t="s">
        <v>860</v>
      </c>
      <c r="E105" s="15">
        <v>45759</v>
      </c>
      <c r="F105" s="14" t="s">
        <v>18</v>
      </c>
      <c r="G105" s="16">
        <v>70</v>
      </c>
    </row>
    <row r="106" spans="1:7" x14ac:dyDescent="0.25">
      <c r="A106" s="13" t="s">
        <v>1251</v>
      </c>
      <c r="B106" s="13">
        <v>1814</v>
      </c>
      <c r="C106" s="14" t="str">
        <f>+VLOOKUP(B106,[1]LISTE!$A$1:$D$431,4,FALSE)</f>
        <v>BEL ARBIA SLAH</v>
      </c>
      <c r="D106" s="14" t="s">
        <v>860</v>
      </c>
      <c r="E106" s="15">
        <v>45759</v>
      </c>
      <c r="F106" s="14" t="s">
        <v>20</v>
      </c>
      <c r="G106" s="16">
        <v>47.222000000000001</v>
      </c>
    </row>
    <row r="107" spans="1:7" x14ac:dyDescent="0.25">
      <c r="A107" s="13" t="s">
        <v>1233</v>
      </c>
      <c r="B107" s="13">
        <v>1819</v>
      </c>
      <c r="C107" s="14" t="str">
        <f>+VLOOKUP(B107,[1]LISTE!$A$1:$D$431,4,FALSE)</f>
        <v>SASSI MOHAMED WALID</v>
      </c>
      <c r="D107" s="15" t="s">
        <v>22</v>
      </c>
      <c r="E107" s="15">
        <v>45757</v>
      </c>
      <c r="F107" s="14" t="s">
        <v>18</v>
      </c>
      <c r="G107" s="16">
        <v>60</v>
      </c>
    </row>
    <row r="108" spans="1:7" x14ac:dyDescent="0.25">
      <c r="A108" s="13" t="s">
        <v>1233</v>
      </c>
      <c r="B108" s="13">
        <v>1819</v>
      </c>
      <c r="C108" s="14" t="str">
        <f>+VLOOKUP(B108,[1]LISTE!$A$1:$D$431,4,FALSE)</f>
        <v>SASSI MOHAMED WALID</v>
      </c>
      <c r="D108" s="15" t="s">
        <v>22</v>
      </c>
      <c r="E108" s="15">
        <v>45762</v>
      </c>
      <c r="F108" s="14" t="s">
        <v>20</v>
      </c>
      <c r="G108" s="16">
        <v>131</v>
      </c>
    </row>
    <row r="109" spans="1:7" x14ac:dyDescent="0.25">
      <c r="A109" s="13" t="s">
        <v>1275</v>
      </c>
      <c r="B109" s="13">
        <v>1819</v>
      </c>
      <c r="C109" s="14" t="str">
        <f>+VLOOKUP(B109,[1]LISTE!$A$1:$D$431,4,FALSE)</f>
        <v>SASSI MOHAMED WALID</v>
      </c>
      <c r="D109" s="15" t="s">
        <v>371</v>
      </c>
      <c r="E109" s="15">
        <v>45733</v>
      </c>
      <c r="F109" s="14" t="s">
        <v>18</v>
      </c>
      <c r="G109" s="16">
        <v>60</v>
      </c>
    </row>
    <row r="110" spans="1:7" x14ac:dyDescent="0.25">
      <c r="A110" s="13" t="s">
        <v>1275</v>
      </c>
      <c r="B110" s="13">
        <v>1819</v>
      </c>
      <c r="C110" s="14" t="str">
        <f>+VLOOKUP(B110,[1]LISTE!$A$1:$D$431,4,FALSE)</f>
        <v>SASSI MOHAMED WALID</v>
      </c>
      <c r="D110" s="14" t="s">
        <v>371</v>
      </c>
      <c r="E110" s="15">
        <v>45733</v>
      </c>
      <c r="F110" s="14" t="s">
        <v>20</v>
      </c>
      <c r="G110" s="16">
        <v>39</v>
      </c>
    </row>
    <row r="111" spans="1:7" x14ac:dyDescent="0.25">
      <c r="A111" s="13" t="s">
        <v>1275</v>
      </c>
      <c r="B111" s="13">
        <v>1819</v>
      </c>
      <c r="C111" s="14" t="str">
        <f>+VLOOKUP(B111,[1]LISTE!$A$1:$D$431,4,FALSE)</f>
        <v>SASSI MOHAMED WALID</v>
      </c>
      <c r="D111" s="14" t="s">
        <v>371</v>
      </c>
      <c r="E111" s="15">
        <v>45765</v>
      </c>
      <c r="F111" s="14" t="s">
        <v>65</v>
      </c>
      <c r="G111" s="16">
        <v>150</v>
      </c>
    </row>
    <row r="112" spans="1:7" x14ac:dyDescent="0.25">
      <c r="A112" s="13" t="s">
        <v>1316</v>
      </c>
      <c r="B112" s="13">
        <v>1822</v>
      </c>
      <c r="C112" s="14" t="str">
        <f>+VLOOKUP(B112,[1]LISTE!$A$1:$D$431,4,FALSE)</f>
        <v>BOUHLEL MEJDI</v>
      </c>
      <c r="D112" s="15" t="s">
        <v>22</v>
      </c>
      <c r="E112" s="15">
        <v>45768</v>
      </c>
      <c r="F112" s="14" t="s">
        <v>18</v>
      </c>
      <c r="G112" s="16">
        <v>60</v>
      </c>
    </row>
    <row r="113" spans="1:7" x14ac:dyDescent="0.25">
      <c r="A113" s="13" t="s">
        <v>1316</v>
      </c>
      <c r="B113" s="13">
        <v>1822</v>
      </c>
      <c r="C113" s="14" t="str">
        <f>+VLOOKUP(B113,[1]LISTE!$A$1:$D$431,4,FALSE)</f>
        <v>BOUHLEL MEJDI</v>
      </c>
      <c r="D113" s="14" t="s">
        <v>22</v>
      </c>
      <c r="E113" s="15">
        <v>45769</v>
      </c>
      <c r="F113" s="14" t="s">
        <v>21</v>
      </c>
      <c r="G113" s="16">
        <v>90</v>
      </c>
    </row>
    <row r="114" spans="1:7" x14ac:dyDescent="0.25">
      <c r="A114" s="13" t="s">
        <v>1321</v>
      </c>
      <c r="B114" s="13">
        <v>1836</v>
      </c>
      <c r="C114" s="14" t="str">
        <f>+VLOOKUP(B114,[1]LISTE!$A$1:$D$431,4,FALSE)</f>
        <v>BEN KALIA LOTFI</v>
      </c>
      <c r="D114" s="14" t="s">
        <v>22</v>
      </c>
      <c r="E114" s="15">
        <v>45771</v>
      </c>
      <c r="F114" s="14" t="s">
        <v>18</v>
      </c>
      <c r="G114" s="16">
        <v>70</v>
      </c>
    </row>
    <row r="115" spans="1:7" x14ac:dyDescent="0.25">
      <c r="A115" s="13" t="s">
        <v>1321</v>
      </c>
      <c r="B115" s="13">
        <v>1836</v>
      </c>
      <c r="C115" s="14" t="str">
        <f>+VLOOKUP(B115,[1]LISTE!$A$1:$D$431,4,FALSE)</f>
        <v>BEN KALIA LOTFI</v>
      </c>
      <c r="D115" s="14" t="s">
        <v>22</v>
      </c>
      <c r="E115" s="15">
        <v>45772</v>
      </c>
      <c r="F115" s="14" t="s">
        <v>19</v>
      </c>
      <c r="G115" s="16">
        <v>143.27000000000001</v>
      </c>
    </row>
    <row r="116" spans="1:7" x14ac:dyDescent="0.25">
      <c r="A116" s="13" t="s">
        <v>1321</v>
      </c>
      <c r="B116" s="13">
        <v>1836</v>
      </c>
      <c r="C116" s="14" t="str">
        <f>+VLOOKUP(B116,[1]LISTE!$A$1:$D$431,4,FALSE)</f>
        <v>BEN KALIA LOTFI</v>
      </c>
      <c r="D116" s="15" t="s">
        <v>22</v>
      </c>
      <c r="E116" s="15">
        <v>45773</v>
      </c>
      <c r="F116" s="14" t="s">
        <v>20</v>
      </c>
      <c r="G116" s="16">
        <v>36.609000000000002</v>
      </c>
    </row>
    <row r="117" spans="1:7" x14ac:dyDescent="0.25">
      <c r="A117" s="13" t="s">
        <v>1321</v>
      </c>
      <c r="B117" s="13">
        <v>1836</v>
      </c>
      <c r="C117" s="14" t="str">
        <f>+VLOOKUP(B117,[1]LISTE!$A$1:$D$431,4,FALSE)</f>
        <v>BEN KALIA LOTFI</v>
      </c>
      <c r="D117" s="14" t="s">
        <v>22</v>
      </c>
      <c r="E117" s="15">
        <v>45771</v>
      </c>
      <c r="F117" s="14" t="s">
        <v>21</v>
      </c>
      <c r="G117" s="16">
        <v>90</v>
      </c>
    </row>
    <row r="118" spans="1:7" x14ac:dyDescent="0.25">
      <c r="A118" s="13" t="s">
        <v>1290</v>
      </c>
      <c r="B118" s="13">
        <v>1837</v>
      </c>
      <c r="C118" s="14" t="str">
        <f>+VLOOKUP(B118,[1]LISTE!$A$1:$D$431,4,FALSE)</f>
        <v>SLAMA SALEM</v>
      </c>
      <c r="D118" s="14" t="s">
        <v>1291</v>
      </c>
      <c r="E118" s="15">
        <v>45770</v>
      </c>
      <c r="F118" s="14" t="s">
        <v>23</v>
      </c>
      <c r="G118" s="16">
        <v>35</v>
      </c>
    </row>
    <row r="119" spans="1:7" x14ac:dyDescent="0.25">
      <c r="A119" s="13" t="s">
        <v>1290</v>
      </c>
      <c r="B119" s="13">
        <v>1837</v>
      </c>
      <c r="C119" s="14" t="str">
        <f>+VLOOKUP(B119,[1]LISTE!$A$1:$D$431,4,FALSE)</f>
        <v>SLAMA SALEM</v>
      </c>
      <c r="D119" s="14" t="s">
        <v>1291</v>
      </c>
      <c r="E119" s="15">
        <v>45770</v>
      </c>
      <c r="F119" s="14" t="s">
        <v>20</v>
      </c>
      <c r="G119" s="16">
        <v>32.426000000000002</v>
      </c>
    </row>
    <row r="120" spans="1:7" x14ac:dyDescent="0.25">
      <c r="A120" s="13" t="s">
        <v>1308</v>
      </c>
      <c r="B120" s="13">
        <v>1867</v>
      </c>
      <c r="C120" s="14" t="str">
        <f>+VLOOKUP(B120,[1]LISTE!$A$1:$D$431,4,FALSE)</f>
        <v>GAZZAH LOTFI</v>
      </c>
      <c r="D120" s="14" t="s">
        <v>486</v>
      </c>
      <c r="E120" s="15">
        <v>45773</v>
      </c>
      <c r="F120" s="14" t="s">
        <v>20</v>
      </c>
      <c r="G120" s="16">
        <v>28.84</v>
      </c>
    </row>
    <row r="121" spans="1:7" x14ac:dyDescent="0.25">
      <c r="A121" s="13" t="s">
        <v>1296</v>
      </c>
      <c r="B121" s="13">
        <v>1881</v>
      </c>
      <c r="C121" s="14" t="str">
        <f>+VLOOKUP(B121,[1]LISTE!$A$1:$D$431,4,FALSE)</f>
        <v>ARFAOUI BECHIR</v>
      </c>
      <c r="D121" s="14" t="s">
        <v>1297</v>
      </c>
      <c r="E121" s="15">
        <v>45770</v>
      </c>
      <c r="F121" s="14" t="s">
        <v>23</v>
      </c>
      <c r="G121" s="16">
        <v>4.5</v>
      </c>
    </row>
    <row r="122" spans="1:7" x14ac:dyDescent="0.25">
      <c r="A122" s="13" t="s">
        <v>1296</v>
      </c>
      <c r="B122" s="13">
        <v>1881</v>
      </c>
      <c r="C122" s="14" t="str">
        <f>+VLOOKUP(B122,[1]LISTE!$A$1:$D$431,4,FALSE)</f>
        <v>ARFAOUI BECHIR</v>
      </c>
      <c r="D122" s="15" t="s">
        <v>1297</v>
      </c>
      <c r="E122" s="15">
        <v>45770</v>
      </c>
      <c r="F122" s="14" t="s">
        <v>23</v>
      </c>
      <c r="G122" s="16">
        <v>4.5</v>
      </c>
    </row>
    <row r="123" spans="1:7" x14ac:dyDescent="0.25">
      <c r="A123" s="13" t="s">
        <v>1296</v>
      </c>
      <c r="B123" s="13">
        <v>1881</v>
      </c>
      <c r="C123" s="14" t="str">
        <f>+VLOOKUP(B123,[1]LISTE!$A$1:$D$431,4,FALSE)</f>
        <v>ARFAOUI BECHIR</v>
      </c>
      <c r="D123" s="14" t="s">
        <v>1297</v>
      </c>
      <c r="E123" s="15">
        <v>45770</v>
      </c>
      <c r="F123" s="14" t="s">
        <v>20</v>
      </c>
      <c r="G123" s="16">
        <v>42.268999999999998</v>
      </c>
    </row>
    <row r="124" spans="1:7" x14ac:dyDescent="0.25">
      <c r="A124" s="13" t="s">
        <v>1205</v>
      </c>
      <c r="B124" s="13">
        <v>1896</v>
      </c>
      <c r="C124" s="14" t="str">
        <f>+VLOOKUP(B124,[1]LISTE!$A$1:$D$431,4,FALSE)</f>
        <v>LAJIMI ABDELKADER</v>
      </c>
      <c r="D124" s="15" t="s">
        <v>1206</v>
      </c>
      <c r="E124" s="15">
        <v>45761</v>
      </c>
      <c r="F124" s="14" t="s">
        <v>20</v>
      </c>
      <c r="G124" s="16">
        <v>131.19800000000001</v>
      </c>
    </row>
    <row r="125" spans="1:7" x14ac:dyDescent="0.25">
      <c r="A125" s="13" t="s">
        <v>1231</v>
      </c>
      <c r="B125" s="13">
        <v>1896</v>
      </c>
      <c r="C125" s="14" t="str">
        <f>+VLOOKUP(B125,[1]LISTE!$A$1:$D$431,4,FALSE)</f>
        <v>LAJIMI ABDELKADER</v>
      </c>
      <c r="D125" s="15" t="s">
        <v>22</v>
      </c>
      <c r="E125" s="15">
        <v>45763</v>
      </c>
      <c r="F125" s="14" t="s">
        <v>23</v>
      </c>
      <c r="G125" s="16">
        <v>15</v>
      </c>
    </row>
    <row r="126" spans="1:7" x14ac:dyDescent="0.25">
      <c r="A126" s="13" t="s">
        <v>1231</v>
      </c>
      <c r="B126" s="13">
        <v>1896</v>
      </c>
      <c r="C126" s="14" t="str">
        <f>+VLOOKUP(B126,[1]LISTE!$A$1:$D$431,4,FALSE)</f>
        <v>LAJIMI ABDELKADER</v>
      </c>
      <c r="D126" s="14" t="s">
        <v>22</v>
      </c>
      <c r="E126" s="15">
        <v>45763</v>
      </c>
      <c r="F126" s="14" t="s">
        <v>20</v>
      </c>
      <c r="G126" s="16">
        <v>230.04900000000001</v>
      </c>
    </row>
    <row r="127" spans="1:7" x14ac:dyDescent="0.25">
      <c r="A127" s="13" t="s">
        <v>1220</v>
      </c>
      <c r="B127" s="13">
        <v>1897</v>
      </c>
      <c r="C127" s="14" t="str">
        <f>+VLOOKUP(B127,[1]LISTE!$A$1:$D$431,4,FALSE)</f>
        <v>BOHLI AMOR</v>
      </c>
      <c r="D127" s="15" t="s">
        <v>22</v>
      </c>
      <c r="E127" s="15">
        <v>45751</v>
      </c>
      <c r="F127" s="14" t="s">
        <v>23</v>
      </c>
      <c r="G127" s="16">
        <v>40</v>
      </c>
    </row>
    <row r="128" spans="1:7" x14ac:dyDescent="0.25">
      <c r="A128" s="13" t="s">
        <v>1220</v>
      </c>
      <c r="B128" s="13">
        <v>1897</v>
      </c>
      <c r="C128" s="14" t="str">
        <f>+VLOOKUP(B128,[1]LISTE!$A$1:$D$431,4,FALSE)</f>
        <v>BOHLI AMOR</v>
      </c>
      <c r="D128" s="15" t="s">
        <v>22</v>
      </c>
      <c r="E128" s="15">
        <v>45751</v>
      </c>
      <c r="F128" s="14" t="s">
        <v>20</v>
      </c>
      <c r="G128" s="16">
        <v>103.324</v>
      </c>
    </row>
    <row r="129" spans="1:7" x14ac:dyDescent="0.25">
      <c r="A129" s="13" t="s">
        <v>1310</v>
      </c>
      <c r="B129" s="13">
        <v>1897</v>
      </c>
      <c r="C129" s="14" t="str">
        <f>+VLOOKUP(B129,[1]LISTE!$A$1:$D$431,4,FALSE)</f>
        <v>BOHLI AMOR</v>
      </c>
      <c r="D129" s="15" t="s">
        <v>529</v>
      </c>
      <c r="E129" s="15">
        <v>45770</v>
      </c>
      <c r="F129" s="14" t="s">
        <v>18</v>
      </c>
      <c r="G129" s="16">
        <v>70</v>
      </c>
    </row>
    <row r="130" spans="1:7" x14ac:dyDescent="0.25">
      <c r="A130" s="13" t="s">
        <v>1310</v>
      </c>
      <c r="B130" s="13">
        <v>1897</v>
      </c>
      <c r="C130" s="14" t="str">
        <f>+VLOOKUP(B130,[1]LISTE!$A$1:$D$431,4,FALSE)</f>
        <v>BOHLI AMOR</v>
      </c>
      <c r="D130" s="15" t="s">
        <v>529</v>
      </c>
      <c r="E130" s="15">
        <v>45771</v>
      </c>
      <c r="F130" s="14" t="s">
        <v>20</v>
      </c>
      <c r="G130" s="16">
        <v>298.33</v>
      </c>
    </row>
    <row r="131" spans="1:7" x14ac:dyDescent="0.25">
      <c r="A131" s="13" t="s">
        <v>1214</v>
      </c>
      <c r="B131" s="13">
        <v>1900</v>
      </c>
      <c r="C131" s="14" t="str">
        <f>+VLOOKUP(B131,[1]LISTE!$A$1:$D$431,4,FALSE)</f>
        <v>BOUAZZA SALAH</v>
      </c>
      <c r="D131" s="15" t="s">
        <v>22</v>
      </c>
      <c r="E131" s="15">
        <v>45755</v>
      </c>
      <c r="F131" s="14" t="s">
        <v>18</v>
      </c>
      <c r="G131" s="16">
        <v>90</v>
      </c>
    </row>
    <row r="132" spans="1:7" x14ac:dyDescent="0.25">
      <c r="A132" s="13" t="s">
        <v>1214</v>
      </c>
      <c r="B132" s="13">
        <v>1900</v>
      </c>
      <c r="C132" s="14" t="str">
        <f>+VLOOKUP(B132,[1]LISTE!$A$1:$D$431,4,FALSE)</f>
        <v>BOUAZZA SALAH</v>
      </c>
      <c r="D132" s="14" t="s">
        <v>22</v>
      </c>
      <c r="E132" s="15">
        <v>45755</v>
      </c>
      <c r="F132" s="14" t="s">
        <v>20</v>
      </c>
      <c r="G132" s="16">
        <v>75.22</v>
      </c>
    </row>
    <row r="133" spans="1:7" x14ac:dyDescent="0.25">
      <c r="A133" s="13" t="s">
        <v>1214</v>
      </c>
      <c r="B133" s="13">
        <v>1900</v>
      </c>
      <c r="C133" s="14" t="str">
        <f>+VLOOKUP(B133,[1]LISTE!$A$1:$D$431,4,FALSE)</f>
        <v>BOUAZZA SALAH</v>
      </c>
      <c r="D133" s="14" t="s">
        <v>22</v>
      </c>
      <c r="E133" s="15">
        <v>45755</v>
      </c>
      <c r="F133" s="14" t="s">
        <v>525</v>
      </c>
      <c r="G133" s="16">
        <v>130</v>
      </c>
    </row>
    <row r="134" spans="1:7" x14ac:dyDescent="0.25">
      <c r="A134" s="13" t="s">
        <v>1259</v>
      </c>
      <c r="B134" s="13">
        <v>1908</v>
      </c>
      <c r="C134" s="14" t="str">
        <f>+VLOOKUP(B134,[1]LISTE!$A$1:$D$431,4,FALSE)</f>
        <v>ZMERLI JAOUHAR</v>
      </c>
      <c r="D134" s="15" t="s">
        <v>1260</v>
      </c>
      <c r="E134" s="15">
        <v>45763</v>
      </c>
      <c r="F134" s="14" t="s">
        <v>23</v>
      </c>
      <c r="G134" s="16">
        <v>40</v>
      </c>
    </row>
    <row r="135" spans="1:7" x14ac:dyDescent="0.25">
      <c r="A135" s="13" t="s">
        <v>1259</v>
      </c>
      <c r="B135" s="13">
        <v>1908</v>
      </c>
      <c r="C135" s="14" t="str">
        <f>+VLOOKUP(B135,[1]LISTE!$A$1:$D$431,4,FALSE)</f>
        <v>ZMERLI JAOUHAR</v>
      </c>
      <c r="D135" s="14" t="s">
        <v>1260</v>
      </c>
      <c r="E135" s="15">
        <v>45763</v>
      </c>
      <c r="F135" s="14" t="s">
        <v>20</v>
      </c>
      <c r="G135" s="16">
        <v>2.7149999999999999</v>
      </c>
    </row>
    <row r="136" spans="1:7" x14ac:dyDescent="0.25">
      <c r="A136" s="13" t="s">
        <v>1261</v>
      </c>
      <c r="B136" s="13">
        <v>1908</v>
      </c>
      <c r="C136" s="14" t="str">
        <f>+VLOOKUP(B136,[1]LISTE!$A$1:$D$431,4,FALSE)</f>
        <v>ZMERLI JAOUHAR</v>
      </c>
      <c r="D136" s="14" t="s">
        <v>1260</v>
      </c>
      <c r="E136" s="15">
        <v>45765</v>
      </c>
      <c r="F136" s="14" t="s">
        <v>20</v>
      </c>
      <c r="G136" s="16">
        <v>97.44</v>
      </c>
    </row>
    <row r="137" spans="1:7" x14ac:dyDescent="0.25">
      <c r="A137" s="13" t="s">
        <v>1324</v>
      </c>
      <c r="B137" s="13">
        <v>1910</v>
      </c>
      <c r="C137" s="14" t="str">
        <f>+VLOOKUP(B137,[1]LISTE!$A$1:$D$431,4,FALSE)</f>
        <v>YOUSFI MEHDI</v>
      </c>
      <c r="D137" s="14" t="s">
        <v>22</v>
      </c>
      <c r="E137" s="15">
        <v>45768</v>
      </c>
      <c r="F137" s="14" t="s">
        <v>23</v>
      </c>
      <c r="G137" s="16">
        <v>50</v>
      </c>
    </row>
    <row r="138" spans="1:7" x14ac:dyDescent="0.25">
      <c r="A138" s="13" t="s">
        <v>1324</v>
      </c>
      <c r="B138" s="13">
        <v>1910</v>
      </c>
      <c r="C138" s="14" t="str">
        <f>+VLOOKUP(B138,[1]LISTE!$A$1:$D$431,4,FALSE)</f>
        <v>YOUSFI MEHDI</v>
      </c>
      <c r="D138" s="14" t="s">
        <v>22</v>
      </c>
      <c r="E138" s="15">
        <v>45768</v>
      </c>
      <c r="F138" s="14" t="s">
        <v>20</v>
      </c>
      <c r="G138" s="16">
        <v>4.2450000000000001</v>
      </c>
    </row>
    <row r="139" spans="1:7" x14ac:dyDescent="0.25">
      <c r="A139" s="13" t="s">
        <v>1294</v>
      </c>
      <c r="B139" s="13">
        <v>1911</v>
      </c>
      <c r="C139" s="14" t="str">
        <f>+VLOOKUP(B139,[1]LISTE!$A$1:$D$431,4,FALSE)</f>
        <v>MEJRI KHELIL</v>
      </c>
      <c r="D139" s="15" t="s">
        <v>763</v>
      </c>
      <c r="E139" s="15">
        <v>45766</v>
      </c>
      <c r="F139" s="14" t="s">
        <v>18</v>
      </c>
      <c r="G139" s="16">
        <v>70</v>
      </c>
    </row>
    <row r="140" spans="1:7" x14ac:dyDescent="0.25">
      <c r="A140" s="13" t="s">
        <v>1294</v>
      </c>
      <c r="B140" s="13">
        <v>1911</v>
      </c>
      <c r="C140" s="14" t="str">
        <f>+VLOOKUP(B140,[1]LISTE!$A$1:$D$431,4,FALSE)</f>
        <v>MEJRI KHELIL</v>
      </c>
      <c r="D140" s="14" t="s">
        <v>763</v>
      </c>
      <c r="E140" s="15">
        <v>45770</v>
      </c>
      <c r="F140" s="14" t="s">
        <v>20</v>
      </c>
      <c r="G140" s="16">
        <v>42.857999999999997</v>
      </c>
    </row>
    <row r="141" spans="1:7" x14ac:dyDescent="0.25">
      <c r="A141" s="13" t="s">
        <v>1294</v>
      </c>
      <c r="B141" s="13">
        <v>1911</v>
      </c>
      <c r="C141" s="14" t="str">
        <f>+VLOOKUP(B141,[1]LISTE!$A$1:$D$431,4,FALSE)</f>
        <v>MEJRI KHELIL</v>
      </c>
      <c r="D141" s="14" t="s">
        <v>763</v>
      </c>
      <c r="E141" s="15">
        <v>45770</v>
      </c>
      <c r="F141" s="14" t="s">
        <v>363</v>
      </c>
      <c r="G141" s="16">
        <v>2200</v>
      </c>
    </row>
    <row r="142" spans="1:7" x14ac:dyDescent="0.25">
      <c r="A142" s="13" t="s">
        <v>1294</v>
      </c>
      <c r="B142" s="13">
        <v>1911</v>
      </c>
      <c r="C142" s="14" t="str">
        <f>+VLOOKUP(B142,[1]LISTE!$A$1:$D$431,4,FALSE)</f>
        <v>MEJRI KHELIL</v>
      </c>
      <c r="D142" s="15" t="s">
        <v>763</v>
      </c>
      <c r="E142" s="15">
        <v>45766</v>
      </c>
      <c r="F142" s="14" t="s">
        <v>363</v>
      </c>
      <c r="G142" s="16">
        <v>60</v>
      </c>
    </row>
    <row r="143" spans="1:7" x14ac:dyDescent="0.25">
      <c r="A143" s="13" t="s">
        <v>1303</v>
      </c>
      <c r="B143" s="13">
        <v>1914</v>
      </c>
      <c r="C143" s="14" t="str">
        <f>+VLOOKUP(B143,[1]LISTE!$A$1:$D$431,4,FALSE)</f>
        <v>EL FKIH LAMJED</v>
      </c>
      <c r="D143" s="14" t="s">
        <v>1304</v>
      </c>
      <c r="E143" s="15">
        <v>45764</v>
      </c>
      <c r="F143" s="14" t="s">
        <v>23</v>
      </c>
      <c r="G143" s="16">
        <v>50</v>
      </c>
    </row>
    <row r="144" spans="1:7" x14ac:dyDescent="0.25">
      <c r="A144" s="13" t="s">
        <v>1303</v>
      </c>
      <c r="B144" s="13">
        <v>1914</v>
      </c>
      <c r="C144" s="14" t="str">
        <f>+VLOOKUP(B144,[1]LISTE!$A$1:$D$431,4,FALSE)</f>
        <v>EL FKIH LAMJED</v>
      </c>
      <c r="D144" s="14" t="s">
        <v>1304</v>
      </c>
      <c r="E144" s="15">
        <v>45764</v>
      </c>
      <c r="F144" s="14" t="s">
        <v>20</v>
      </c>
      <c r="G144" s="16">
        <v>20.010000000000002</v>
      </c>
    </row>
    <row r="145" spans="1:7" x14ac:dyDescent="0.25">
      <c r="A145" s="13" t="s">
        <v>1240</v>
      </c>
      <c r="B145" s="13">
        <v>1923</v>
      </c>
      <c r="C145" s="14" t="str">
        <f>+VLOOKUP(B145,[1]LISTE!$A$1:$D$431,4,FALSE)</f>
        <v>BOUAZZA WALID</v>
      </c>
      <c r="D145" s="14" t="s">
        <v>284</v>
      </c>
      <c r="E145" s="15">
        <v>45762</v>
      </c>
      <c r="F145" s="14" t="s">
        <v>23</v>
      </c>
      <c r="G145" s="16">
        <v>50</v>
      </c>
    </row>
    <row r="146" spans="1:7" x14ac:dyDescent="0.25">
      <c r="A146" s="13" t="s">
        <v>1240</v>
      </c>
      <c r="B146" s="13">
        <v>1923</v>
      </c>
      <c r="C146" s="14" t="str">
        <f>+VLOOKUP(B146,[1]LISTE!$A$1:$D$431,4,FALSE)</f>
        <v>BOUAZZA WALID</v>
      </c>
      <c r="D146" s="14" t="s">
        <v>284</v>
      </c>
      <c r="E146" s="15">
        <v>45762</v>
      </c>
      <c r="F146" s="14" t="s">
        <v>20</v>
      </c>
      <c r="G146" s="16">
        <v>3.9350000000000001</v>
      </c>
    </row>
    <row r="147" spans="1:7" x14ac:dyDescent="0.25">
      <c r="A147" s="13" t="s">
        <v>1319</v>
      </c>
      <c r="B147" s="13">
        <v>1923</v>
      </c>
      <c r="C147" s="14" t="str">
        <f>+VLOOKUP(B147,[1]LISTE!$A$1:$D$431,4,FALSE)</f>
        <v>BOUAZZA WALID</v>
      </c>
      <c r="D147" s="14" t="s">
        <v>731</v>
      </c>
      <c r="E147" s="15">
        <v>45771</v>
      </c>
      <c r="F147" s="14" t="s">
        <v>18</v>
      </c>
      <c r="G147" s="16">
        <v>80</v>
      </c>
    </row>
    <row r="148" spans="1:7" x14ac:dyDescent="0.25">
      <c r="A148" s="13" t="s">
        <v>1319</v>
      </c>
      <c r="B148" s="13">
        <v>1923</v>
      </c>
      <c r="C148" s="14" t="str">
        <f>+VLOOKUP(B148,[1]LISTE!$A$1:$D$431,4,FALSE)</f>
        <v>BOUAZZA WALID</v>
      </c>
      <c r="D148" s="14" t="s">
        <v>731</v>
      </c>
      <c r="E148" s="15">
        <v>45771</v>
      </c>
      <c r="F148" s="14" t="s">
        <v>20</v>
      </c>
      <c r="G148" s="16">
        <v>24.338999999999999</v>
      </c>
    </row>
    <row r="149" spans="1:7" x14ac:dyDescent="0.25">
      <c r="A149" s="13" t="s">
        <v>1320</v>
      </c>
      <c r="B149" s="13">
        <v>1923</v>
      </c>
      <c r="C149" s="14" t="str">
        <f>+VLOOKUP(B149,[1]LISTE!$A$1:$D$431,4,FALSE)</f>
        <v>BOUAZZA WALID</v>
      </c>
      <c r="D149" s="14" t="s">
        <v>421</v>
      </c>
      <c r="E149" s="15">
        <v>45772</v>
      </c>
      <c r="F149" s="14" t="s">
        <v>18</v>
      </c>
      <c r="G149" s="16">
        <v>60</v>
      </c>
    </row>
    <row r="150" spans="1:7" x14ac:dyDescent="0.25">
      <c r="A150" s="13" t="s">
        <v>1320</v>
      </c>
      <c r="B150" s="13">
        <v>1923</v>
      </c>
      <c r="C150" s="14" t="str">
        <f>+VLOOKUP(B150,[1]LISTE!$A$1:$D$431,4,FALSE)</f>
        <v>BOUAZZA WALID</v>
      </c>
      <c r="D150" s="14" t="s">
        <v>421</v>
      </c>
      <c r="E150" s="15">
        <v>45772</v>
      </c>
      <c r="F150" s="14" t="s">
        <v>20</v>
      </c>
      <c r="G150" s="16">
        <v>36.704999999999998</v>
      </c>
    </row>
    <row r="151" spans="1:7" x14ac:dyDescent="0.25">
      <c r="A151" s="13" t="s">
        <v>1267</v>
      </c>
      <c r="B151" s="13">
        <v>1936</v>
      </c>
      <c r="C151" s="14" t="str">
        <f>+VLOOKUP(B151,[1]LISTE!$A$1:$D$431,4,FALSE)</f>
        <v>JLASSI KHALED</v>
      </c>
      <c r="D151" s="14" t="s">
        <v>22</v>
      </c>
      <c r="E151" s="15">
        <v>45767</v>
      </c>
      <c r="F151" s="14" t="s">
        <v>23</v>
      </c>
      <c r="G151" s="16">
        <v>40</v>
      </c>
    </row>
    <row r="152" spans="1:7" x14ac:dyDescent="0.25">
      <c r="A152" s="13" t="s">
        <v>1267</v>
      </c>
      <c r="B152" s="13">
        <v>1936</v>
      </c>
      <c r="C152" s="14" t="str">
        <f>+VLOOKUP(B152,[1]LISTE!$A$1:$D$431,4,FALSE)</f>
        <v>JLASSI KHALED</v>
      </c>
      <c r="D152" s="15" t="s">
        <v>22</v>
      </c>
      <c r="E152" s="15">
        <v>45767</v>
      </c>
      <c r="F152" s="14" t="s">
        <v>20</v>
      </c>
      <c r="G152" s="16">
        <v>8.4499999999999993</v>
      </c>
    </row>
    <row r="153" spans="1:7" x14ac:dyDescent="0.25">
      <c r="A153" s="13" t="s">
        <v>1322</v>
      </c>
      <c r="B153" s="13">
        <v>1938</v>
      </c>
      <c r="C153" s="14" t="str">
        <f>+VLOOKUP(B153,[1]LISTE!$A$1:$D$431,4,FALSE)</f>
        <v>NAFFATI SOFIENE</v>
      </c>
      <c r="D153" s="14" t="s">
        <v>119</v>
      </c>
      <c r="E153" s="15">
        <v>45763</v>
      </c>
      <c r="F153" s="14" t="s">
        <v>18</v>
      </c>
      <c r="G153" s="16">
        <v>70</v>
      </c>
    </row>
    <row r="154" spans="1:7" x14ac:dyDescent="0.25">
      <c r="A154" s="13" t="s">
        <v>1322</v>
      </c>
      <c r="B154" s="13">
        <v>1938</v>
      </c>
      <c r="C154" s="14" t="str">
        <f>+VLOOKUP(B154,[1]LISTE!$A$1:$D$431,4,FALSE)</f>
        <v>NAFFATI SOFIENE</v>
      </c>
      <c r="D154" s="15" t="s">
        <v>119</v>
      </c>
      <c r="E154" s="15">
        <v>45763</v>
      </c>
      <c r="F154" s="14" t="s">
        <v>65</v>
      </c>
      <c r="G154" s="16">
        <v>450</v>
      </c>
    </row>
    <row r="155" spans="1:7" x14ac:dyDescent="0.25">
      <c r="A155" s="13" t="s">
        <v>1322</v>
      </c>
      <c r="B155" s="13">
        <v>1938</v>
      </c>
      <c r="C155" s="14" t="str">
        <f>+VLOOKUP(B155,[1]LISTE!$A$1:$D$431,4,FALSE)</f>
        <v>NAFFATI SOFIENE</v>
      </c>
      <c r="D155" s="15" t="s">
        <v>119</v>
      </c>
      <c r="E155" s="15">
        <v>45763</v>
      </c>
      <c r="F155" s="14" t="s">
        <v>20</v>
      </c>
      <c r="G155" s="16">
        <v>19.285</v>
      </c>
    </row>
    <row r="156" spans="1:7" x14ac:dyDescent="0.25">
      <c r="A156" s="13" t="s">
        <v>1268</v>
      </c>
      <c r="B156" s="13">
        <v>1953</v>
      </c>
      <c r="C156" s="14" t="str">
        <f>+VLOOKUP(B156,[1]LISTE!$A$1:$D$431,4,FALSE)</f>
        <v>SGHAIER SAMI</v>
      </c>
      <c r="D156" s="14" t="s">
        <v>1020</v>
      </c>
      <c r="E156" s="15">
        <v>45766</v>
      </c>
      <c r="F156" s="14" t="s">
        <v>18</v>
      </c>
      <c r="G156" s="16">
        <v>70</v>
      </c>
    </row>
    <row r="157" spans="1:7" x14ac:dyDescent="0.25">
      <c r="A157" s="13" t="s">
        <v>1268</v>
      </c>
      <c r="B157" s="13">
        <v>1953</v>
      </c>
      <c r="C157" s="14" t="str">
        <f>+VLOOKUP(B157,[1]LISTE!$A$1:$D$431,4,FALSE)</f>
        <v>SGHAIER SAMI</v>
      </c>
      <c r="D157" s="14" t="s">
        <v>1020</v>
      </c>
      <c r="E157" s="15">
        <v>45766</v>
      </c>
      <c r="F157" s="14" t="s">
        <v>20</v>
      </c>
      <c r="G157" s="16">
        <v>38.375999999999998</v>
      </c>
    </row>
    <row r="158" spans="1:7" x14ac:dyDescent="0.25">
      <c r="A158" s="13" t="s">
        <v>1204</v>
      </c>
      <c r="B158" s="13">
        <v>1969</v>
      </c>
      <c r="C158" s="14" t="str">
        <f>+VLOOKUP(B158,[1]LISTE!$A$1:$D$431,4,FALSE)</f>
        <v>BOUKADDIDA MEHREZ</v>
      </c>
      <c r="D158" s="15" t="s">
        <v>186</v>
      </c>
      <c r="E158" s="15">
        <v>45744</v>
      </c>
      <c r="F158" s="14" t="s">
        <v>18</v>
      </c>
      <c r="G158" s="16">
        <v>60</v>
      </c>
    </row>
    <row r="159" spans="1:7" x14ac:dyDescent="0.25">
      <c r="A159" s="13" t="s">
        <v>1204</v>
      </c>
      <c r="B159" s="13">
        <v>1969</v>
      </c>
      <c r="C159" s="14" t="str">
        <f>+VLOOKUP(B159,[1]LISTE!$A$1:$D$431,4,FALSE)</f>
        <v>BOUKADDIDA MEHREZ</v>
      </c>
      <c r="D159" s="15" t="s">
        <v>186</v>
      </c>
      <c r="E159" s="15">
        <v>45744</v>
      </c>
      <c r="F159" s="14" t="s">
        <v>20</v>
      </c>
      <c r="G159" s="16">
        <v>6.0869999999999997</v>
      </c>
    </row>
    <row r="160" spans="1:7" x14ac:dyDescent="0.25">
      <c r="A160" s="13" t="s">
        <v>1276</v>
      </c>
      <c r="B160" s="13">
        <v>1974</v>
      </c>
      <c r="C160" s="14" t="str">
        <f>+VLOOKUP(B160,[1]LISTE!$A$1:$D$431,4,FALSE)</f>
        <v>GUELLIME MONDHER</v>
      </c>
      <c r="D160" s="14" t="s">
        <v>22</v>
      </c>
      <c r="E160" s="15">
        <v>45773</v>
      </c>
      <c r="F160" s="14" t="s">
        <v>23</v>
      </c>
      <c r="G160" s="16">
        <v>40</v>
      </c>
    </row>
    <row r="161" spans="1:7" x14ac:dyDescent="0.25">
      <c r="A161" s="13" t="s">
        <v>1276</v>
      </c>
      <c r="B161" s="13">
        <v>1974</v>
      </c>
      <c r="C161" s="14" t="str">
        <f>+VLOOKUP(B161,[1]LISTE!$A$1:$D$431,4,FALSE)</f>
        <v>GUELLIME MONDHER</v>
      </c>
      <c r="D161" s="14" t="s">
        <v>22</v>
      </c>
      <c r="E161" s="15">
        <v>45773</v>
      </c>
      <c r="F161" s="14" t="s">
        <v>20</v>
      </c>
      <c r="G161" s="16">
        <v>16.085000000000001</v>
      </c>
    </row>
    <row r="162" spans="1:7" x14ac:dyDescent="0.25">
      <c r="A162" s="13" t="s">
        <v>1276</v>
      </c>
      <c r="B162" s="13">
        <v>1974</v>
      </c>
      <c r="C162" s="14" t="str">
        <f>+VLOOKUP(B162,[1]LISTE!$A$1:$D$431,4,FALSE)</f>
        <v>GUELLIME MONDHER</v>
      </c>
      <c r="D162" s="14" t="s">
        <v>22</v>
      </c>
      <c r="E162" s="15">
        <v>45773</v>
      </c>
      <c r="F162" s="14" t="s">
        <v>21</v>
      </c>
      <c r="G162" s="16">
        <v>160</v>
      </c>
    </row>
    <row r="163" spans="1:7" x14ac:dyDescent="0.25">
      <c r="A163" s="13" t="s">
        <v>1309</v>
      </c>
      <c r="B163" s="13">
        <v>1983</v>
      </c>
      <c r="C163" s="14" t="str">
        <f>+VLOOKUP(B163,[1]LISTE!$A$1:$D$431,4,FALSE)</f>
        <v>GOUIDER SLAHEDDINE</v>
      </c>
      <c r="D163" s="14" t="s">
        <v>63</v>
      </c>
      <c r="E163" s="15">
        <v>45772</v>
      </c>
      <c r="F163" s="14" t="s">
        <v>23</v>
      </c>
      <c r="G163" s="16">
        <v>45</v>
      </c>
    </row>
    <row r="164" spans="1:7" x14ac:dyDescent="0.25">
      <c r="A164" s="13" t="s">
        <v>1309</v>
      </c>
      <c r="B164" s="13">
        <v>1983</v>
      </c>
      <c r="C164" s="14" t="str">
        <f>+VLOOKUP(B164,[1]LISTE!$A$1:$D$431,4,FALSE)</f>
        <v>GOUIDER SLAHEDDINE</v>
      </c>
      <c r="D164" s="14" t="s">
        <v>63</v>
      </c>
      <c r="E164" s="15">
        <v>45772</v>
      </c>
      <c r="F164" s="14" t="s">
        <v>20</v>
      </c>
      <c r="G164" s="16">
        <v>39.654000000000003</v>
      </c>
    </row>
    <row r="165" spans="1:7" x14ac:dyDescent="0.25">
      <c r="A165" s="13" t="s">
        <v>1315</v>
      </c>
      <c r="B165" s="13">
        <v>2008</v>
      </c>
      <c r="C165" s="14" t="str">
        <f>+VLOOKUP(B165,[1]LISTE!$A$1:$D$431,4,FALSE)</f>
        <v>HAFSIA ANIS</v>
      </c>
      <c r="D165" s="15" t="s">
        <v>22</v>
      </c>
      <c r="E165" s="15">
        <v>45766</v>
      </c>
      <c r="F165" s="14" t="s">
        <v>18</v>
      </c>
      <c r="G165" s="16">
        <v>70</v>
      </c>
    </row>
    <row r="166" spans="1:7" x14ac:dyDescent="0.25">
      <c r="A166" s="13" t="s">
        <v>1315</v>
      </c>
      <c r="B166" s="13">
        <v>2008</v>
      </c>
      <c r="C166" s="14" t="str">
        <f>+VLOOKUP(B166,[1]LISTE!$A$1:$D$431,4,FALSE)</f>
        <v>HAFSIA ANIS</v>
      </c>
      <c r="D166" s="14" t="s">
        <v>22</v>
      </c>
      <c r="E166" s="15">
        <v>45773</v>
      </c>
      <c r="F166" s="14" t="s">
        <v>65</v>
      </c>
      <c r="G166" s="16">
        <v>30</v>
      </c>
    </row>
    <row r="167" spans="1:7" x14ac:dyDescent="0.25">
      <c r="A167" s="13" t="s">
        <v>1315</v>
      </c>
      <c r="B167" s="13">
        <v>2008</v>
      </c>
      <c r="C167" s="14" t="str">
        <f>+VLOOKUP(B167,[1]LISTE!$A$1:$D$431,4,FALSE)</f>
        <v>HAFSIA ANIS</v>
      </c>
      <c r="D167" s="15" t="s">
        <v>22</v>
      </c>
      <c r="E167" s="15">
        <v>45766</v>
      </c>
      <c r="F167" s="14" t="s">
        <v>20</v>
      </c>
      <c r="G167" s="16">
        <v>82.962999999999994</v>
      </c>
    </row>
    <row r="168" spans="1:7" x14ac:dyDescent="0.25">
      <c r="A168" s="13" t="s">
        <v>1315</v>
      </c>
      <c r="B168" s="13">
        <v>2008</v>
      </c>
      <c r="C168" s="14" t="str">
        <f>+VLOOKUP(B168,[1]LISTE!$A$1:$D$431,4,FALSE)</f>
        <v>HAFSIA ANIS</v>
      </c>
      <c r="D168" s="15" t="s">
        <v>22</v>
      </c>
      <c r="E168" s="15">
        <v>45773</v>
      </c>
      <c r="F168" s="14" t="s">
        <v>20</v>
      </c>
      <c r="G168" s="16">
        <v>34.040999999999997</v>
      </c>
    </row>
    <row r="169" spans="1:7" x14ac:dyDescent="0.25">
      <c r="A169" s="13" t="s">
        <v>1234</v>
      </c>
      <c r="B169" s="13">
        <v>2013</v>
      </c>
      <c r="C169" s="14" t="str">
        <f>+VLOOKUP(B169,[1]LISTE!$A$1:$D$431,4,FALSE)</f>
        <v>BEL HADJ ALI MOHAMED ALI</v>
      </c>
      <c r="D169" s="15" t="s">
        <v>186</v>
      </c>
      <c r="E169" s="15">
        <v>45733</v>
      </c>
      <c r="F169" s="14" t="s">
        <v>18</v>
      </c>
      <c r="G169" s="16">
        <v>60</v>
      </c>
    </row>
    <row r="170" spans="1:7" x14ac:dyDescent="0.25">
      <c r="A170" s="13" t="s">
        <v>1234</v>
      </c>
      <c r="B170" s="13">
        <v>2013</v>
      </c>
      <c r="C170" s="14" t="str">
        <f>+VLOOKUP(B170,[1]LISTE!$A$1:$D$431,4,FALSE)</f>
        <v>BEL HADJ ALI MOHAMED ALI</v>
      </c>
      <c r="D170" s="14" t="s">
        <v>186</v>
      </c>
      <c r="E170" s="15">
        <v>45733</v>
      </c>
      <c r="F170" s="14" t="s">
        <v>20</v>
      </c>
      <c r="G170" s="16">
        <v>23.555</v>
      </c>
    </row>
    <row r="171" spans="1:7" x14ac:dyDescent="0.25">
      <c r="A171" s="13" t="s">
        <v>1300</v>
      </c>
      <c r="B171" s="13">
        <v>2017</v>
      </c>
      <c r="C171" s="14" t="s">
        <v>1301</v>
      </c>
      <c r="D171" s="15" t="s">
        <v>1302</v>
      </c>
      <c r="E171" s="15">
        <v>45758</v>
      </c>
      <c r="F171" s="14" t="s">
        <v>20</v>
      </c>
      <c r="G171" s="16">
        <v>43.920999999999999</v>
      </c>
    </row>
    <row r="172" spans="1:7" x14ac:dyDescent="0.25">
      <c r="A172" s="13" t="s">
        <v>1300</v>
      </c>
      <c r="B172" s="13">
        <v>2017</v>
      </c>
      <c r="C172" s="14" t="s">
        <v>1301</v>
      </c>
      <c r="D172" s="15" t="s">
        <v>1302</v>
      </c>
      <c r="E172" s="15">
        <v>45758</v>
      </c>
      <c r="F172" s="14" t="s">
        <v>19</v>
      </c>
      <c r="G172" s="16">
        <v>377.92</v>
      </c>
    </row>
    <row r="173" spans="1:7" x14ac:dyDescent="0.25">
      <c r="A173" s="13" t="s">
        <v>1300</v>
      </c>
      <c r="B173" s="13">
        <v>2017</v>
      </c>
      <c r="C173" s="14" t="s">
        <v>1301</v>
      </c>
      <c r="D173" s="15" t="s">
        <v>1302</v>
      </c>
      <c r="E173" s="15">
        <v>45761</v>
      </c>
      <c r="F173" s="14" t="s">
        <v>21</v>
      </c>
      <c r="G173" s="16">
        <v>300</v>
      </c>
    </row>
    <row r="174" spans="1:7" x14ac:dyDescent="0.25">
      <c r="A174" s="13" t="s">
        <v>1266</v>
      </c>
      <c r="B174" s="13">
        <v>2024</v>
      </c>
      <c r="C174" s="14" t="str">
        <f>+VLOOKUP(B174,[1]LISTE!$A$1:$D$431,4,FALSE)</f>
        <v>GUEZGUEZ MOHAMED</v>
      </c>
      <c r="D174" s="14" t="s">
        <v>22</v>
      </c>
      <c r="E174" s="15">
        <v>45768</v>
      </c>
      <c r="F174" s="14" t="s">
        <v>23</v>
      </c>
      <c r="G174" s="16">
        <v>50</v>
      </c>
    </row>
    <row r="175" spans="1:7" x14ac:dyDescent="0.25">
      <c r="A175" s="13" t="s">
        <v>1266</v>
      </c>
      <c r="B175" s="13">
        <v>2024</v>
      </c>
      <c r="C175" s="14" t="str">
        <f>+VLOOKUP(B175,[1]LISTE!$A$1:$D$431,4,FALSE)</f>
        <v>GUEZGUEZ MOHAMED</v>
      </c>
      <c r="D175" s="14" t="s">
        <v>22</v>
      </c>
      <c r="E175" s="15">
        <v>45768</v>
      </c>
      <c r="F175" s="14" t="s">
        <v>20</v>
      </c>
      <c r="G175" s="16">
        <v>11.427</v>
      </c>
    </row>
    <row r="176" spans="1:7" x14ac:dyDescent="0.25">
      <c r="A176" s="13" t="s">
        <v>1274</v>
      </c>
      <c r="B176" s="13">
        <v>2058</v>
      </c>
      <c r="C176" s="14" t="str">
        <f>+VLOOKUP(B176,[1]LISTE!$A$1:$D$431,4,FALSE)</f>
        <v>GUEZGUEZ HICHEM</v>
      </c>
      <c r="D176" s="15" t="s">
        <v>22</v>
      </c>
      <c r="E176" s="15">
        <v>45764</v>
      </c>
      <c r="F176" s="14" t="s">
        <v>18</v>
      </c>
      <c r="G176" s="16">
        <v>80</v>
      </c>
    </row>
    <row r="177" spans="1:7" x14ac:dyDescent="0.25">
      <c r="A177" s="13" t="s">
        <v>1222</v>
      </c>
      <c r="B177" s="13">
        <v>2065</v>
      </c>
      <c r="C177" s="14" t="str">
        <f>+VLOOKUP(B177,[1]LISTE!$A$1:$D$431,4,FALSE)</f>
        <v>CHIHAOUI ALAAEDDINE</v>
      </c>
      <c r="D177" s="15" t="s">
        <v>22</v>
      </c>
      <c r="E177" s="15">
        <v>45766</v>
      </c>
      <c r="F177" s="14" t="s">
        <v>23</v>
      </c>
      <c r="G177" s="16">
        <v>60</v>
      </c>
    </row>
    <row r="178" spans="1:7" x14ac:dyDescent="0.25">
      <c r="A178" s="13" t="s">
        <v>1222</v>
      </c>
      <c r="B178" s="13">
        <v>2065</v>
      </c>
      <c r="C178" s="14" t="str">
        <f>+VLOOKUP(B178,[1]LISTE!$A$1:$D$431,4,FALSE)</f>
        <v>CHIHAOUI ALAAEDDINE</v>
      </c>
      <c r="D178" s="15" t="s">
        <v>22</v>
      </c>
      <c r="E178" s="15">
        <v>45766</v>
      </c>
      <c r="F178" s="14" t="s">
        <v>20</v>
      </c>
      <c r="G178" s="16">
        <v>54.832999999999998</v>
      </c>
    </row>
    <row r="179" spans="1:7" x14ac:dyDescent="0.25">
      <c r="A179" s="13" t="s">
        <v>1219</v>
      </c>
      <c r="B179" s="13">
        <v>2071</v>
      </c>
      <c r="C179" s="14" t="str">
        <f>+VLOOKUP(B179,[1]LISTE!$A$1:$D$431,4,FALSE)</f>
        <v>TRIAA FARES</v>
      </c>
      <c r="D179" s="14" t="s">
        <v>779</v>
      </c>
      <c r="E179" s="15">
        <v>45759</v>
      </c>
      <c r="F179" s="14" t="s">
        <v>23</v>
      </c>
      <c r="G179" s="16">
        <v>40</v>
      </c>
    </row>
    <row r="180" spans="1:7" x14ac:dyDescent="0.25">
      <c r="A180" s="13" t="s">
        <v>1219</v>
      </c>
      <c r="B180" s="13">
        <v>2071</v>
      </c>
      <c r="C180" s="14" t="str">
        <f>+VLOOKUP(B180,[1]LISTE!$A$1:$D$431,4,FALSE)</f>
        <v>TRIAA FARES</v>
      </c>
      <c r="D180" s="14" t="s">
        <v>779</v>
      </c>
      <c r="E180" s="15">
        <v>45759</v>
      </c>
      <c r="F180" s="14" t="s">
        <v>20</v>
      </c>
      <c r="G180" s="16">
        <v>21.375</v>
      </c>
    </row>
    <row r="181" spans="1:7" x14ac:dyDescent="0.25">
      <c r="A181" s="13" t="s">
        <v>1203</v>
      </c>
      <c r="B181" s="13">
        <v>2128</v>
      </c>
      <c r="C181" s="14" t="str">
        <f>+VLOOKUP(B181,[1]LISTE!$A$1:$D$431,4,FALSE)</f>
        <v>ILYES DHIFALLAH</v>
      </c>
      <c r="D181" s="15" t="s">
        <v>744</v>
      </c>
      <c r="E181" s="15">
        <v>45758</v>
      </c>
      <c r="F181" s="14" t="s">
        <v>19</v>
      </c>
      <c r="G181" s="16">
        <v>236.17</v>
      </c>
    </row>
    <row r="182" spans="1:7" x14ac:dyDescent="0.25">
      <c r="A182" s="13" t="s">
        <v>1195</v>
      </c>
      <c r="B182" s="13">
        <v>2153</v>
      </c>
      <c r="C182" s="14" t="str">
        <f>+VLOOKUP(B182,[1]LISTE!$A$1:$D$431,4,FALSE)</f>
        <v>BABAY ROUIS ANOIR</v>
      </c>
      <c r="D182" s="15" t="s">
        <v>361</v>
      </c>
      <c r="E182" s="15">
        <v>45758</v>
      </c>
      <c r="F182" s="14" t="s">
        <v>21</v>
      </c>
      <c r="G182" s="16">
        <v>160</v>
      </c>
    </row>
    <row r="183" spans="1:7" x14ac:dyDescent="0.25">
      <c r="A183" s="13" t="s">
        <v>1215</v>
      </c>
      <c r="B183" s="13">
        <v>2170</v>
      </c>
      <c r="C183" s="14" t="str">
        <f>+VLOOKUP(B183,[1]LISTE!$A$1:$D$431,4,FALSE)</f>
        <v>BEN AHMED ANOUAR</v>
      </c>
      <c r="D183" s="15" t="s">
        <v>327</v>
      </c>
      <c r="E183" s="15">
        <v>45730</v>
      </c>
      <c r="F183" s="14" t="s">
        <v>18</v>
      </c>
      <c r="G183" s="16">
        <v>70</v>
      </c>
    </row>
    <row r="184" spans="1:7" x14ac:dyDescent="0.25">
      <c r="A184" s="13" t="s">
        <v>1215</v>
      </c>
      <c r="B184" s="13">
        <v>2170</v>
      </c>
      <c r="C184" s="14" t="str">
        <f>+VLOOKUP(B184,[1]LISTE!$A$1:$D$431,4,FALSE)</f>
        <v>BEN AHMED ANOUAR</v>
      </c>
      <c r="D184" s="14" t="s">
        <v>327</v>
      </c>
      <c r="E184" s="15">
        <v>45734</v>
      </c>
      <c r="F184" s="14" t="s">
        <v>19</v>
      </c>
      <c r="G184" s="16">
        <v>112.35</v>
      </c>
    </row>
    <row r="185" spans="1:7" x14ac:dyDescent="0.25">
      <c r="A185" s="13" t="s">
        <v>1215</v>
      </c>
      <c r="B185" s="13">
        <v>2170</v>
      </c>
      <c r="C185" s="14" t="str">
        <f>+VLOOKUP(B185,[1]LISTE!$A$1:$D$431,4,FALSE)</f>
        <v>BEN AHMED ANOUAR</v>
      </c>
      <c r="D185" s="14" t="s">
        <v>327</v>
      </c>
      <c r="E185" s="15">
        <v>45730</v>
      </c>
      <c r="F185" s="14" t="s">
        <v>20</v>
      </c>
      <c r="G185" s="16">
        <v>33.029000000000003</v>
      </c>
    </row>
    <row r="186" spans="1:7" x14ac:dyDescent="0.25">
      <c r="A186" s="13" t="s">
        <v>1216</v>
      </c>
      <c r="B186" s="13">
        <v>2170</v>
      </c>
      <c r="C186" s="14" t="str">
        <f>+VLOOKUP(B186,[1]LISTE!$A$1:$D$431,4,FALSE)</f>
        <v>BEN AHMED ANOUAR</v>
      </c>
      <c r="D186" s="14" t="s">
        <v>327</v>
      </c>
      <c r="E186" s="15">
        <v>45752</v>
      </c>
      <c r="F186" s="14" t="s">
        <v>18</v>
      </c>
      <c r="G186" s="16">
        <v>70</v>
      </c>
    </row>
    <row r="187" spans="1:7" x14ac:dyDescent="0.25">
      <c r="A187" s="13" t="s">
        <v>1216</v>
      </c>
      <c r="B187" s="13">
        <v>2170</v>
      </c>
      <c r="C187" s="14" t="str">
        <f>+VLOOKUP(B187,[1]LISTE!$A$1:$D$431,4,FALSE)</f>
        <v>BEN AHMED ANOUAR</v>
      </c>
      <c r="D187" s="14" t="s">
        <v>327</v>
      </c>
      <c r="E187" s="15">
        <v>45752</v>
      </c>
      <c r="F187" s="14" t="s">
        <v>20</v>
      </c>
      <c r="G187" s="16">
        <v>16.689</v>
      </c>
    </row>
    <row r="188" spans="1:7" x14ac:dyDescent="0.25">
      <c r="A188" s="13" t="s">
        <v>1285</v>
      </c>
      <c r="B188" s="13">
        <v>2172</v>
      </c>
      <c r="C188" s="14" t="str">
        <f>+VLOOKUP(B188,[1]LISTE!$A$1:$D$431,4,FALSE)</f>
        <v>ACHECHE HABIB</v>
      </c>
      <c r="D188" s="15" t="s">
        <v>371</v>
      </c>
      <c r="E188" s="15">
        <v>45763</v>
      </c>
      <c r="F188" s="14" t="s">
        <v>18</v>
      </c>
      <c r="G188" s="16">
        <v>70</v>
      </c>
    </row>
    <row r="189" spans="1:7" x14ac:dyDescent="0.25">
      <c r="A189" s="13" t="s">
        <v>1285</v>
      </c>
      <c r="B189" s="13">
        <v>2172</v>
      </c>
      <c r="C189" s="14" t="str">
        <f>+VLOOKUP(B189,[1]LISTE!$A$1:$D$431,4,FALSE)</f>
        <v>ACHECHE HABIB</v>
      </c>
      <c r="D189" s="14" t="s">
        <v>371</v>
      </c>
      <c r="E189" s="15">
        <v>45763</v>
      </c>
      <c r="F189" s="14" t="s">
        <v>21</v>
      </c>
      <c r="G189" s="16">
        <v>300</v>
      </c>
    </row>
    <row r="190" spans="1:7" x14ac:dyDescent="0.25">
      <c r="A190" s="13" t="s">
        <v>1286</v>
      </c>
      <c r="B190" s="13">
        <v>2172</v>
      </c>
      <c r="C190" s="14" t="str">
        <f>+VLOOKUP(B190,[1]LISTE!$A$1:$D$431,4,FALSE)</f>
        <v>ACHECHE HABIB</v>
      </c>
      <c r="D190" s="15" t="s">
        <v>22</v>
      </c>
      <c r="E190" s="15">
        <v>45768</v>
      </c>
      <c r="F190" s="14" t="s">
        <v>19</v>
      </c>
      <c r="G190" s="16">
        <v>154.29</v>
      </c>
    </row>
    <row r="191" spans="1:7" x14ac:dyDescent="0.25">
      <c r="A191" s="13" t="s">
        <v>1202</v>
      </c>
      <c r="B191" s="13">
        <v>2203</v>
      </c>
      <c r="C191" s="14" t="s">
        <v>1065</v>
      </c>
      <c r="D191" s="14" t="s">
        <v>387</v>
      </c>
      <c r="E191" s="15">
        <v>45755</v>
      </c>
      <c r="F191" s="14" t="s">
        <v>23</v>
      </c>
      <c r="G191" s="16">
        <v>50</v>
      </c>
    </row>
    <row r="192" spans="1:7" x14ac:dyDescent="0.25">
      <c r="A192" s="13" t="s">
        <v>1202</v>
      </c>
      <c r="B192" s="13">
        <v>2203</v>
      </c>
      <c r="C192" s="14" t="s">
        <v>1065</v>
      </c>
      <c r="D192" s="15" t="s">
        <v>387</v>
      </c>
      <c r="E192" s="15">
        <v>45755</v>
      </c>
      <c r="F192" s="14" t="s">
        <v>20</v>
      </c>
      <c r="G192" s="16">
        <v>3.71</v>
      </c>
    </row>
    <row r="193" spans="1:7" x14ac:dyDescent="0.25">
      <c r="A193" s="13" t="s">
        <v>1202</v>
      </c>
      <c r="B193" s="13">
        <v>2203</v>
      </c>
      <c r="C193" s="14" t="s">
        <v>1065</v>
      </c>
      <c r="D193" s="14" t="s">
        <v>387</v>
      </c>
      <c r="E193" s="15">
        <v>45763</v>
      </c>
      <c r="F193" s="14" t="s">
        <v>24</v>
      </c>
      <c r="G193" s="16">
        <v>110</v>
      </c>
    </row>
    <row r="194" spans="1:7" x14ac:dyDescent="0.25">
      <c r="A194" s="13" t="s">
        <v>1207</v>
      </c>
      <c r="B194" s="13">
        <v>2212</v>
      </c>
      <c r="C194" s="14" t="s">
        <v>1208</v>
      </c>
      <c r="D194" s="15" t="s">
        <v>22</v>
      </c>
      <c r="E194" s="15">
        <v>45751</v>
      </c>
      <c r="F194" s="14" t="s">
        <v>18</v>
      </c>
      <c r="G194" s="16">
        <v>70</v>
      </c>
    </row>
    <row r="195" spans="1:7" x14ac:dyDescent="0.25">
      <c r="A195" s="13" t="s">
        <v>1207</v>
      </c>
      <c r="B195" s="13">
        <v>2212</v>
      </c>
      <c r="C195" s="14" t="s">
        <v>1208</v>
      </c>
      <c r="D195" s="15" t="s">
        <v>22</v>
      </c>
      <c r="E195" s="15">
        <v>45755</v>
      </c>
      <c r="F195" s="14" t="s">
        <v>69</v>
      </c>
      <c r="G195" s="16">
        <v>320</v>
      </c>
    </row>
    <row r="196" spans="1:7" x14ac:dyDescent="0.25">
      <c r="A196" s="13" t="s">
        <v>1265</v>
      </c>
      <c r="B196" s="13">
        <v>2254</v>
      </c>
      <c r="C196" s="14" t="s">
        <v>106</v>
      </c>
      <c r="D196" s="15" t="s">
        <v>22</v>
      </c>
      <c r="E196" s="15">
        <v>45765</v>
      </c>
      <c r="F196" s="14" t="s">
        <v>23</v>
      </c>
      <c r="G196" s="16">
        <v>50</v>
      </c>
    </row>
    <row r="197" spans="1:7" x14ac:dyDescent="0.25">
      <c r="A197" s="13" t="s">
        <v>1265</v>
      </c>
      <c r="B197" s="13">
        <v>2254</v>
      </c>
      <c r="C197" s="14" t="s">
        <v>106</v>
      </c>
      <c r="D197" s="15" t="s">
        <v>22</v>
      </c>
      <c r="E197" s="15">
        <v>45769</v>
      </c>
      <c r="F197" s="14" t="s">
        <v>20</v>
      </c>
      <c r="G197" s="16">
        <v>2.605</v>
      </c>
    </row>
    <row r="198" spans="1:7" x14ac:dyDescent="0.25">
      <c r="A198" s="13" t="s">
        <v>1265</v>
      </c>
      <c r="B198" s="13">
        <v>2254</v>
      </c>
      <c r="C198" s="14" t="s">
        <v>106</v>
      </c>
      <c r="D198" s="14" t="s">
        <v>22</v>
      </c>
      <c r="E198" s="15">
        <v>45769</v>
      </c>
      <c r="F198" s="14" t="s">
        <v>24</v>
      </c>
      <c r="G198" s="16">
        <v>80</v>
      </c>
    </row>
    <row r="199" spans="1:7" x14ac:dyDescent="0.25">
      <c r="A199" s="13" t="s">
        <v>1253</v>
      </c>
      <c r="B199" s="13">
        <v>2308</v>
      </c>
      <c r="C199" s="14" t="s">
        <v>890</v>
      </c>
      <c r="D199" s="14" t="s">
        <v>22</v>
      </c>
      <c r="E199" s="15">
        <v>45762</v>
      </c>
      <c r="F199" s="14" t="s">
        <v>18</v>
      </c>
      <c r="G199" s="16">
        <v>70</v>
      </c>
    </row>
    <row r="200" spans="1:7" x14ac:dyDescent="0.25">
      <c r="A200" s="13" t="s">
        <v>1253</v>
      </c>
      <c r="B200" s="13">
        <v>2308</v>
      </c>
      <c r="C200" s="14" t="s">
        <v>890</v>
      </c>
      <c r="D200" s="14" t="s">
        <v>22</v>
      </c>
      <c r="E200" s="15">
        <v>45762</v>
      </c>
      <c r="F200" s="14" t="s">
        <v>21</v>
      </c>
      <c r="G200" s="16">
        <v>81</v>
      </c>
    </row>
    <row r="201" spans="1:7" x14ac:dyDescent="0.25">
      <c r="A201" s="13" t="s">
        <v>1218</v>
      </c>
      <c r="B201" s="13">
        <v>2326</v>
      </c>
      <c r="C201" s="14" t="s">
        <v>28</v>
      </c>
      <c r="D201" s="14" t="s">
        <v>67</v>
      </c>
      <c r="E201" s="15">
        <v>45727</v>
      </c>
      <c r="F201" s="14" t="s">
        <v>23</v>
      </c>
      <c r="G201" s="16">
        <v>3</v>
      </c>
    </row>
    <row r="202" spans="1:7" x14ac:dyDescent="0.25">
      <c r="A202" s="13" t="s">
        <v>1218</v>
      </c>
      <c r="B202" s="13">
        <v>2326</v>
      </c>
      <c r="C202" s="14" t="s">
        <v>28</v>
      </c>
      <c r="D202" s="14" t="s">
        <v>67</v>
      </c>
      <c r="E202" s="15">
        <v>45727</v>
      </c>
      <c r="F202" s="14" t="s">
        <v>20</v>
      </c>
      <c r="G202" s="16">
        <v>18.355</v>
      </c>
    </row>
    <row r="203" spans="1:7" x14ac:dyDescent="0.25">
      <c r="A203" s="13" t="s">
        <v>1281</v>
      </c>
      <c r="B203" s="13">
        <v>2326</v>
      </c>
      <c r="C203" s="14" t="s">
        <v>28</v>
      </c>
      <c r="D203" s="15" t="s">
        <v>923</v>
      </c>
      <c r="E203" s="15">
        <v>45761</v>
      </c>
      <c r="F203" s="14" t="s">
        <v>18</v>
      </c>
      <c r="G203" s="16">
        <v>70</v>
      </c>
    </row>
    <row r="204" spans="1:7" x14ac:dyDescent="0.25">
      <c r="A204" s="13" t="s">
        <v>1281</v>
      </c>
      <c r="B204" s="13">
        <v>2326</v>
      </c>
      <c r="C204" s="14" t="s">
        <v>28</v>
      </c>
      <c r="D204" s="14" t="s">
        <v>923</v>
      </c>
      <c r="E204" s="15">
        <v>45761</v>
      </c>
      <c r="F204" s="14" t="s">
        <v>20</v>
      </c>
      <c r="G204" s="16">
        <v>38.76</v>
      </c>
    </row>
    <row r="205" spans="1:7" x14ac:dyDescent="0.25">
      <c r="A205" s="13" t="s">
        <v>1281</v>
      </c>
      <c r="B205" s="13">
        <v>2326</v>
      </c>
      <c r="C205" s="14" t="s">
        <v>28</v>
      </c>
      <c r="D205" s="15" t="s">
        <v>923</v>
      </c>
      <c r="E205" s="15">
        <v>45764</v>
      </c>
      <c r="F205" s="14" t="s">
        <v>21</v>
      </c>
      <c r="G205" s="16">
        <v>160</v>
      </c>
    </row>
    <row r="206" spans="1:7" x14ac:dyDescent="0.25">
      <c r="A206" s="13" t="s">
        <v>1287</v>
      </c>
      <c r="B206" s="13">
        <v>2339</v>
      </c>
      <c r="C206" s="14" t="s">
        <v>1288</v>
      </c>
      <c r="D206" s="15" t="s">
        <v>22</v>
      </c>
      <c r="E206" s="15">
        <v>45768</v>
      </c>
      <c r="F206" s="14" t="s">
        <v>23</v>
      </c>
      <c r="G206" s="16">
        <v>45</v>
      </c>
    </row>
    <row r="207" spans="1:7" x14ac:dyDescent="0.25">
      <c r="A207" s="13" t="s">
        <v>1287</v>
      </c>
      <c r="B207" s="13">
        <v>2339</v>
      </c>
      <c r="C207" s="14" t="s">
        <v>1288</v>
      </c>
      <c r="D207" s="14" t="s">
        <v>22</v>
      </c>
      <c r="E207" s="15">
        <v>45768</v>
      </c>
      <c r="F207" s="14" t="s">
        <v>20</v>
      </c>
      <c r="G207" s="16">
        <v>22.861999999999998</v>
      </c>
    </row>
    <row r="208" spans="1:7" x14ac:dyDescent="0.25">
      <c r="A208" s="13" t="s">
        <v>1196</v>
      </c>
      <c r="B208" s="13">
        <v>2397</v>
      </c>
      <c r="C208" s="14" t="s">
        <v>29</v>
      </c>
      <c r="D208" s="14" t="s">
        <v>1197</v>
      </c>
      <c r="E208" s="15">
        <v>45757</v>
      </c>
      <c r="F208" s="14" t="s">
        <v>23</v>
      </c>
      <c r="G208" s="16">
        <v>50</v>
      </c>
    </row>
    <row r="209" spans="1:7" x14ac:dyDescent="0.25">
      <c r="A209" s="13" t="s">
        <v>1196</v>
      </c>
      <c r="B209" s="13">
        <v>2397</v>
      </c>
      <c r="C209" s="14" t="s">
        <v>29</v>
      </c>
      <c r="D209" s="15" t="s">
        <v>1197</v>
      </c>
      <c r="E209" s="15">
        <v>45759</v>
      </c>
      <c r="F209" s="14" t="s">
        <v>20</v>
      </c>
      <c r="G209" s="16">
        <v>8.49</v>
      </c>
    </row>
    <row r="210" spans="1:7" x14ac:dyDescent="0.25">
      <c r="A210" s="13" t="s">
        <v>1196</v>
      </c>
      <c r="B210" s="13">
        <v>2397</v>
      </c>
      <c r="C210" s="14" t="s">
        <v>29</v>
      </c>
      <c r="D210" s="15" t="s">
        <v>1197</v>
      </c>
      <c r="E210" s="15">
        <v>45758</v>
      </c>
      <c r="F210" s="14" t="s">
        <v>21</v>
      </c>
      <c r="G210" s="16">
        <v>60</v>
      </c>
    </row>
    <row r="211" spans="1:7" x14ac:dyDescent="0.25">
      <c r="A211" s="13" t="s">
        <v>1196</v>
      </c>
      <c r="B211" s="13">
        <v>2397</v>
      </c>
      <c r="C211" s="14" t="s">
        <v>29</v>
      </c>
      <c r="D211" s="15" t="s">
        <v>1197</v>
      </c>
      <c r="E211" s="15">
        <v>45759</v>
      </c>
      <c r="F211" s="14" t="s">
        <v>24</v>
      </c>
      <c r="G211" s="16">
        <v>70</v>
      </c>
    </row>
    <row r="212" spans="1:7" x14ac:dyDescent="0.25">
      <c r="A212" s="13" t="s">
        <v>1254</v>
      </c>
      <c r="B212" s="13">
        <v>2456</v>
      </c>
      <c r="C212" s="14" t="s">
        <v>1255</v>
      </c>
      <c r="D212" s="14" t="s">
        <v>22</v>
      </c>
      <c r="E212" s="15">
        <v>45763</v>
      </c>
      <c r="F212" s="14" t="s">
        <v>18</v>
      </c>
      <c r="G212" s="16">
        <v>70</v>
      </c>
    </row>
    <row r="213" spans="1:7" x14ac:dyDescent="0.25">
      <c r="A213" s="13" t="s">
        <v>1254</v>
      </c>
      <c r="B213" s="13">
        <v>2456</v>
      </c>
      <c r="C213" s="14" t="s">
        <v>1255</v>
      </c>
      <c r="D213" s="14" t="s">
        <v>22</v>
      </c>
      <c r="E213" s="15">
        <v>45763</v>
      </c>
      <c r="F213" s="14" t="s">
        <v>20</v>
      </c>
      <c r="G213" s="16">
        <v>12.654999999999999</v>
      </c>
    </row>
    <row r="214" spans="1:7" x14ac:dyDescent="0.25">
      <c r="A214" s="13" t="s">
        <v>1262</v>
      </c>
      <c r="B214" s="13">
        <v>2497</v>
      </c>
      <c r="C214" s="14" t="s">
        <v>1263</v>
      </c>
      <c r="D214" s="14" t="s">
        <v>22</v>
      </c>
      <c r="E214" s="15">
        <v>45761</v>
      </c>
      <c r="F214" s="14" t="s">
        <v>19</v>
      </c>
      <c r="G214" s="16">
        <v>154.29400000000001</v>
      </c>
    </row>
    <row r="215" spans="1:7" x14ac:dyDescent="0.25">
      <c r="A215" s="13" t="s">
        <v>1262</v>
      </c>
      <c r="B215" s="13">
        <v>2497</v>
      </c>
      <c r="C215" s="14" t="s">
        <v>1263</v>
      </c>
      <c r="D215" s="15" t="s">
        <v>22</v>
      </c>
      <c r="E215" s="15">
        <v>45765</v>
      </c>
      <c r="F215" s="14" t="s">
        <v>20</v>
      </c>
      <c r="G215" s="16">
        <v>34.274000000000001</v>
      </c>
    </row>
    <row r="216" spans="1:7" x14ac:dyDescent="0.25">
      <c r="A216" s="13" t="s">
        <v>1264</v>
      </c>
      <c r="B216" s="13">
        <v>2497</v>
      </c>
      <c r="C216" s="14" t="s">
        <v>1263</v>
      </c>
      <c r="D216" s="14" t="s">
        <v>669</v>
      </c>
      <c r="E216" s="15">
        <v>45757</v>
      </c>
      <c r="F216" s="14" t="s">
        <v>18</v>
      </c>
      <c r="G216" s="16">
        <v>70</v>
      </c>
    </row>
    <row r="217" spans="1:7" x14ac:dyDescent="0.25">
      <c r="A217" s="13" t="s">
        <v>1264</v>
      </c>
      <c r="B217" s="13">
        <v>2497</v>
      </c>
      <c r="C217" s="14" t="s">
        <v>1263</v>
      </c>
      <c r="D217" s="14" t="s">
        <v>669</v>
      </c>
      <c r="E217" s="15">
        <v>45768</v>
      </c>
      <c r="F217" s="14" t="s">
        <v>19</v>
      </c>
      <c r="G217" s="16">
        <v>97.61</v>
      </c>
    </row>
    <row r="218" spans="1:7" x14ac:dyDescent="0.25">
      <c r="A218" s="13" t="s">
        <v>1264</v>
      </c>
      <c r="B218" s="13">
        <v>2497</v>
      </c>
      <c r="C218" s="14" t="s">
        <v>1263</v>
      </c>
      <c r="D218" s="14" t="s">
        <v>669</v>
      </c>
      <c r="E218" s="15">
        <v>45768</v>
      </c>
      <c r="F218" s="14" t="s">
        <v>19</v>
      </c>
      <c r="G218" s="16">
        <v>148.72999999999999</v>
      </c>
    </row>
    <row r="219" spans="1:7" x14ac:dyDescent="0.25">
      <c r="A219" s="13" t="s">
        <v>1198</v>
      </c>
      <c r="B219" s="13">
        <v>2516</v>
      </c>
      <c r="C219" s="14" t="s">
        <v>1199</v>
      </c>
      <c r="D219" s="14" t="s">
        <v>22</v>
      </c>
      <c r="E219" s="15">
        <v>45759</v>
      </c>
      <c r="F219" s="14" t="s">
        <v>23</v>
      </c>
      <c r="G219" s="16">
        <v>40</v>
      </c>
    </row>
    <row r="220" spans="1:7" x14ac:dyDescent="0.25">
      <c r="A220" s="13" t="s">
        <v>1198</v>
      </c>
      <c r="B220" s="13">
        <v>2516</v>
      </c>
      <c r="C220" s="14" t="s">
        <v>1199</v>
      </c>
      <c r="D220" s="14" t="s">
        <v>22</v>
      </c>
      <c r="E220" s="15">
        <v>45759</v>
      </c>
      <c r="F220" s="14" t="s">
        <v>20</v>
      </c>
      <c r="G220" s="16">
        <v>121.71899999999999</v>
      </c>
    </row>
    <row r="221" spans="1:7" x14ac:dyDescent="0.25">
      <c r="A221" s="13" t="s">
        <v>1230</v>
      </c>
      <c r="B221" s="13">
        <v>2519</v>
      </c>
      <c r="C221" s="14" t="s">
        <v>1069</v>
      </c>
      <c r="D221" s="14" t="s">
        <v>22</v>
      </c>
      <c r="E221" s="15">
        <v>45763</v>
      </c>
      <c r="F221" s="14" t="s">
        <v>23</v>
      </c>
      <c r="G221" s="16">
        <v>20</v>
      </c>
    </row>
    <row r="222" spans="1:7" x14ac:dyDescent="0.25">
      <c r="A222" s="13" t="s">
        <v>1230</v>
      </c>
      <c r="B222" s="13">
        <v>2519</v>
      </c>
      <c r="C222" s="14" t="s">
        <v>1069</v>
      </c>
      <c r="D222" s="15" t="s">
        <v>22</v>
      </c>
      <c r="E222" s="15">
        <v>45764</v>
      </c>
      <c r="F222" s="14" t="s">
        <v>20</v>
      </c>
      <c r="G222" s="16">
        <v>17.616</v>
      </c>
    </row>
    <row r="223" spans="1:7" x14ac:dyDescent="0.25">
      <c r="A223" s="13" t="s">
        <v>1213</v>
      </c>
      <c r="B223" s="13">
        <v>2525</v>
      </c>
      <c r="C223" s="14" t="s">
        <v>224</v>
      </c>
      <c r="D223" s="14" t="s">
        <v>22</v>
      </c>
      <c r="E223" s="15">
        <v>45709</v>
      </c>
      <c r="F223" s="14" t="s">
        <v>23</v>
      </c>
      <c r="G223" s="16">
        <v>50</v>
      </c>
    </row>
    <row r="224" spans="1:7" x14ac:dyDescent="0.25">
      <c r="A224" s="13" t="s">
        <v>1213</v>
      </c>
      <c r="B224" s="13">
        <v>2525</v>
      </c>
      <c r="C224" s="14" t="s">
        <v>224</v>
      </c>
      <c r="D224" s="14" t="s">
        <v>22</v>
      </c>
      <c r="E224" s="15">
        <v>45709</v>
      </c>
      <c r="F224" s="14" t="s">
        <v>20</v>
      </c>
      <c r="G224" s="16">
        <v>18.420000000000002</v>
      </c>
    </row>
    <row r="225" spans="1:7" x14ac:dyDescent="0.25">
      <c r="A225" s="13" t="s">
        <v>1213</v>
      </c>
      <c r="B225" s="13">
        <v>2525</v>
      </c>
      <c r="C225" s="14" t="s">
        <v>224</v>
      </c>
      <c r="D225" s="14" t="s">
        <v>22</v>
      </c>
      <c r="E225" s="15">
        <v>45712</v>
      </c>
      <c r="F225" s="14" t="s">
        <v>21</v>
      </c>
      <c r="G225" s="16">
        <v>60</v>
      </c>
    </row>
    <row r="226" spans="1:7" x14ac:dyDescent="0.25">
      <c r="A226" s="13" t="s">
        <v>1295</v>
      </c>
      <c r="B226" s="13">
        <v>2535</v>
      </c>
      <c r="C226" s="14" t="s">
        <v>30</v>
      </c>
      <c r="D226" s="14" t="s">
        <v>22</v>
      </c>
      <c r="E226" s="15">
        <v>45763</v>
      </c>
      <c r="F226" s="14" t="s">
        <v>18</v>
      </c>
      <c r="G226" s="16">
        <v>70</v>
      </c>
    </row>
    <row r="227" spans="1:7" x14ac:dyDescent="0.25">
      <c r="A227" s="13" t="s">
        <v>1295</v>
      </c>
      <c r="B227" s="13">
        <v>2535</v>
      </c>
      <c r="C227" s="14" t="s">
        <v>30</v>
      </c>
      <c r="D227" s="14" t="s">
        <v>22</v>
      </c>
      <c r="E227" s="15">
        <v>45770</v>
      </c>
      <c r="F227" s="14" t="s">
        <v>20</v>
      </c>
      <c r="G227" s="16">
        <v>107.5</v>
      </c>
    </row>
    <row r="228" spans="1:7" x14ac:dyDescent="0.25">
      <c r="A228" s="13" t="s">
        <v>1295</v>
      </c>
      <c r="B228" s="13">
        <v>2535</v>
      </c>
      <c r="C228" s="14" t="s">
        <v>30</v>
      </c>
      <c r="D228" s="15" t="s">
        <v>22</v>
      </c>
      <c r="E228" s="15">
        <v>45763</v>
      </c>
      <c r="F228" s="14" t="s">
        <v>20</v>
      </c>
      <c r="G228" s="16">
        <v>52.44</v>
      </c>
    </row>
    <row r="229" spans="1:7" x14ac:dyDescent="0.25">
      <c r="A229" s="13" t="s">
        <v>1277</v>
      </c>
      <c r="B229" s="13">
        <v>2536</v>
      </c>
      <c r="C229" s="14" t="s">
        <v>1278</v>
      </c>
      <c r="D229" s="15" t="s">
        <v>1279</v>
      </c>
      <c r="E229" s="15">
        <v>45773</v>
      </c>
      <c r="F229" s="14" t="s">
        <v>18</v>
      </c>
      <c r="G229" s="16">
        <v>70</v>
      </c>
    </row>
    <row r="230" spans="1:7" x14ac:dyDescent="0.25">
      <c r="A230" s="13" t="s">
        <v>1277</v>
      </c>
      <c r="B230" s="13">
        <v>2536</v>
      </c>
      <c r="C230" s="14" t="s">
        <v>1278</v>
      </c>
      <c r="D230" s="14" t="s">
        <v>1279</v>
      </c>
      <c r="E230" s="15">
        <v>45773</v>
      </c>
      <c r="F230" s="14" t="s">
        <v>20</v>
      </c>
      <c r="G230" s="16">
        <v>246.62</v>
      </c>
    </row>
    <row r="231" spans="1:7" x14ac:dyDescent="0.25">
      <c r="A231" s="13" t="s">
        <v>1312</v>
      </c>
      <c r="B231" s="13">
        <v>2536</v>
      </c>
      <c r="C231" s="14" t="s">
        <v>1278</v>
      </c>
      <c r="D231" s="14" t="s">
        <v>717</v>
      </c>
      <c r="E231" s="15">
        <v>45714</v>
      </c>
      <c r="F231" s="14" t="s">
        <v>18</v>
      </c>
      <c r="G231" s="16">
        <v>70</v>
      </c>
    </row>
    <row r="232" spans="1:7" x14ac:dyDescent="0.25">
      <c r="A232" s="13" t="s">
        <v>1312</v>
      </c>
      <c r="B232" s="13">
        <v>2536</v>
      </c>
      <c r="C232" s="14" t="s">
        <v>1278</v>
      </c>
      <c r="D232" s="15" t="s">
        <v>717</v>
      </c>
      <c r="E232" s="15">
        <v>45719</v>
      </c>
      <c r="F232" s="14" t="s">
        <v>19</v>
      </c>
      <c r="G232" s="16">
        <v>26.643000000000001</v>
      </c>
    </row>
    <row r="233" spans="1:7" x14ac:dyDescent="0.25">
      <c r="A233" s="13" t="s">
        <v>1312</v>
      </c>
      <c r="B233" s="13">
        <v>2536</v>
      </c>
      <c r="C233" s="14" t="s">
        <v>1278</v>
      </c>
      <c r="D233" s="15" t="s">
        <v>717</v>
      </c>
      <c r="E233" s="15">
        <v>45714</v>
      </c>
      <c r="F233" s="14" t="s">
        <v>20</v>
      </c>
      <c r="G233" s="16">
        <v>50</v>
      </c>
    </row>
    <row r="234" spans="1:7" x14ac:dyDescent="0.25">
      <c r="A234" s="13" t="s">
        <v>1272</v>
      </c>
      <c r="B234" s="13">
        <v>2539</v>
      </c>
      <c r="C234" s="14" t="s">
        <v>1273</v>
      </c>
      <c r="D234" s="15" t="s">
        <v>22</v>
      </c>
      <c r="E234" s="15">
        <v>45764</v>
      </c>
      <c r="F234" s="14" t="s">
        <v>23</v>
      </c>
      <c r="G234" s="16">
        <v>45</v>
      </c>
    </row>
    <row r="235" spans="1:7" x14ac:dyDescent="0.25">
      <c r="A235" s="13" t="s">
        <v>1272</v>
      </c>
      <c r="B235" s="13">
        <v>2539</v>
      </c>
      <c r="C235" s="14" t="s">
        <v>1273</v>
      </c>
      <c r="D235" s="14" t="s">
        <v>22</v>
      </c>
      <c r="E235" s="15">
        <v>45764</v>
      </c>
      <c r="F235" s="14" t="s">
        <v>20</v>
      </c>
      <c r="G235" s="16">
        <v>57.101999999999997</v>
      </c>
    </row>
    <row r="236" spans="1:7" x14ac:dyDescent="0.25">
      <c r="A236" s="13" t="s">
        <v>1325</v>
      </c>
      <c r="B236" s="13">
        <v>2569</v>
      </c>
      <c r="C236" s="14" t="s">
        <v>101</v>
      </c>
      <c r="D236" s="14" t="s">
        <v>1326</v>
      </c>
      <c r="E236" s="15">
        <v>45770</v>
      </c>
      <c r="F236" s="14" t="s">
        <v>18</v>
      </c>
      <c r="G236" s="16">
        <v>70</v>
      </c>
    </row>
    <row r="237" spans="1:7" x14ac:dyDescent="0.25">
      <c r="A237" s="13" t="s">
        <v>1325</v>
      </c>
      <c r="B237" s="13">
        <v>2569</v>
      </c>
      <c r="C237" s="14" t="s">
        <v>101</v>
      </c>
      <c r="D237" s="15" t="s">
        <v>1326</v>
      </c>
      <c r="E237" s="15">
        <v>45770</v>
      </c>
      <c r="F237" s="14" t="s">
        <v>19</v>
      </c>
      <c r="G237" s="16">
        <v>25.038</v>
      </c>
    </row>
    <row r="238" spans="1:7" x14ac:dyDescent="0.25">
      <c r="A238" s="13" t="s">
        <v>1325</v>
      </c>
      <c r="B238" s="13">
        <v>2569</v>
      </c>
      <c r="C238" s="14" t="s">
        <v>101</v>
      </c>
      <c r="D238" s="14" t="s">
        <v>1326</v>
      </c>
      <c r="E238" s="15">
        <v>45770</v>
      </c>
      <c r="F238" s="14" t="s">
        <v>20</v>
      </c>
      <c r="G238" s="16">
        <v>98.962000000000003</v>
      </c>
    </row>
    <row r="239" spans="1:7" x14ac:dyDescent="0.25">
      <c r="A239" s="13" t="s">
        <v>1327</v>
      </c>
      <c r="B239" s="13">
        <v>2569</v>
      </c>
      <c r="C239" s="14" t="s">
        <v>101</v>
      </c>
      <c r="D239" s="14" t="s">
        <v>1326</v>
      </c>
      <c r="E239" s="15">
        <v>45773</v>
      </c>
      <c r="F239" s="14" t="s">
        <v>20</v>
      </c>
      <c r="G239" s="16">
        <v>8.7949999999999999</v>
      </c>
    </row>
    <row r="240" spans="1:7" x14ac:dyDescent="0.25">
      <c r="A240" s="13" t="s">
        <v>1327</v>
      </c>
      <c r="B240" s="13">
        <v>2569</v>
      </c>
      <c r="C240" s="14" t="s">
        <v>101</v>
      </c>
      <c r="D240" s="14" t="s">
        <v>1326</v>
      </c>
      <c r="E240" s="15">
        <v>45773</v>
      </c>
      <c r="F240" s="14" t="s">
        <v>24</v>
      </c>
      <c r="G240" s="16">
        <v>40</v>
      </c>
    </row>
    <row r="241" spans="1:7" x14ac:dyDescent="0.25">
      <c r="A241" s="13" t="s">
        <v>1252</v>
      </c>
      <c r="B241" s="13">
        <v>2592</v>
      </c>
      <c r="C241" s="14" t="s">
        <v>317</v>
      </c>
      <c r="D241" s="14" t="s">
        <v>22</v>
      </c>
      <c r="E241" s="15">
        <v>45762</v>
      </c>
      <c r="F241" s="14" t="s">
        <v>18</v>
      </c>
      <c r="G241" s="16">
        <v>70</v>
      </c>
    </row>
    <row r="242" spans="1:7" x14ac:dyDescent="0.25">
      <c r="A242" s="13" t="s">
        <v>1252</v>
      </c>
      <c r="B242" s="13">
        <v>2592</v>
      </c>
      <c r="C242" s="14" t="s">
        <v>317</v>
      </c>
      <c r="D242" s="15" t="s">
        <v>22</v>
      </c>
      <c r="E242" s="15">
        <v>45763</v>
      </c>
      <c r="F242" s="14" t="s">
        <v>20</v>
      </c>
      <c r="G242" s="16">
        <v>97.5</v>
      </c>
    </row>
    <row r="243" spans="1:7" x14ac:dyDescent="0.25">
      <c r="A243" s="13" t="s">
        <v>1270</v>
      </c>
      <c r="B243" s="13">
        <v>2592</v>
      </c>
      <c r="C243" s="14" t="s">
        <v>317</v>
      </c>
      <c r="D243" s="15" t="s">
        <v>318</v>
      </c>
      <c r="E243" s="15">
        <v>45762</v>
      </c>
      <c r="F243" s="14" t="s">
        <v>23</v>
      </c>
      <c r="G243" s="16">
        <v>40</v>
      </c>
    </row>
    <row r="244" spans="1:7" x14ac:dyDescent="0.25">
      <c r="A244" s="13" t="s">
        <v>1270</v>
      </c>
      <c r="B244" s="13">
        <v>2592</v>
      </c>
      <c r="C244" s="14" t="s">
        <v>317</v>
      </c>
      <c r="D244" s="14" t="s">
        <v>318</v>
      </c>
      <c r="E244" s="15">
        <v>45762</v>
      </c>
      <c r="F244" s="14" t="s">
        <v>20</v>
      </c>
      <c r="G244" s="16">
        <v>19.37</v>
      </c>
    </row>
    <row r="245" spans="1:7" x14ac:dyDescent="0.25">
      <c r="A245" s="13" t="s">
        <v>1270</v>
      </c>
      <c r="B245" s="13">
        <v>2592</v>
      </c>
      <c r="C245" s="14" t="s">
        <v>317</v>
      </c>
      <c r="D245" s="14" t="s">
        <v>318</v>
      </c>
      <c r="E245" s="15">
        <v>45762</v>
      </c>
      <c r="F245" s="14" t="s">
        <v>21</v>
      </c>
      <c r="G245" s="16">
        <v>101</v>
      </c>
    </row>
    <row r="246" spans="1:7" x14ac:dyDescent="0.25">
      <c r="A246" s="13" t="s">
        <v>1242</v>
      </c>
      <c r="B246" s="13">
        <v>2593</v>
      </c>
      <c r="C246" s="14" t="s">
        <v>261</v>
      </c>
      <c r="D246" s="15" t="s">
        <v>22</v>
      </c>
      <c r="E246" s="15">
        <v>45759</v>
      </c>
      <c r="F246" s="14" t="s">
        <v>18</v>
      </c>
      <c r="G246" s="16">
        <v>70</v>
      </c>
    </row>
    <row r="247" spans="1:7" x14ac:dyDescent="0.25">
      <c r="A247" s="13" t="s">
        <v>1242</v>
      </c>
      <c r="B247" s="13">
        <v>2593</v>
      </c>
      <c r="C247" s="14" t="s">
        <v>261</v>
      </c>
      <c r="D247" s="14" t="s">
        <v>22</v>
      </c>
      <c r="E247" s="15">
        <v>45764</v>
      </c>
      <c r="F247" s="14" t="s">
        <v>363</v>
      </c>
      <c r="G247" s="16">
        <v>60</v>
      </c>
    </row>
    <row r="248" spans="1:7" x14ac:dyDescent="0.25">
      <c r="A248" s="13" t="s">
        <v>1242</v>
      </c>
      <c r="B248" s="13">
        <v>2593</v>
      </c>
      <c r="C248" s="14" t="s">
        <v>261</v>
      </c>
      <c r="D248" s="15" t="s">
        <v>22</v>
      </c>
      <c r="E248" s="15">
        <v>45764</v>
      </c>
      <c r="F248" s="14" t="s">
        <v>20</v>
      </c>
      <c r="G248" s="16">
        <v>30</v>
      </c>
    </row>
    <row r="249" spans="1:7" x14ac:dyDescent="0.25">
      <c r="A249" s="13" t="s">
        <v>1209</v>
      </c>
      <c r="B249" s="13">
        <v>2631</v>
      </c>
      <c r="C249" s="14" t="s">
        <v>1210</v>
      </c>
      <c r="D249" s="14" t="s">
        <v>22</v>
      </c>
      <c r="E249" s="15">
        <v>45754</v>
      </c>
      <c r="F249" s="14" t="s">
        <v>18</v>
      </c>
      <c r="G249" s="16">
        <v>60</v>
      </c>
    </row>
    <row r="250" spans="1:7" x14ac:dyDescent="0.25">
      <c r="A250" s="13" t="s">
        <v>1211</v>
      </c>
      <c r="B250" s="13">
        <v>2631</v>
      </c>
      <c r="C250" s="14" t="s">
        <v>1210</v>
      </c>
      <c r="D250" s="14" t="s">
        <v>969</v>
      </c>
      <c r="E250" s="15">
        <v>45754</v>
      </c>
      <c r="F250" s="14" t="s">
        <v>18</v>
      </c>
      <c r="G250" s="16">
        <v>60</v>
      </c>
    </row>
    <row r="251" spans="1:7" x14ac:dyDescent="0.25">
      <c r="A251" s="13" t="s">
        <v>1211</v>
      </c>
      <c r="B251" s="13">
        <v>2631</v>
      </c>
      <c r="C251" s="14" t="s">
        <v>1210</v>
      </c>
      <c r="D251" s="14" t="s">
        <v>969</v>
      </c>
      <c r="E251" s="15">
        <v>45754</v>
      </c>
      <c r="F251" s="14" t="s">
        <v>20</v>
      </c>
      <c r="G251" s="16">
        <v>37</v>
      </c>
    </row>
    <row r="252" spans="1:7" x14ac:dyDescent="0.25">
      <c r="A252" s="13" t="s">
        <v>1317</v>
      </c>
      <c r="B252" s="13">
        <v>2637</v>
      </c>
      <c r="C252" s="14" t="s">
        <v>36</v>
      </c>
      <c r="D252" s="14" t="s">
        <v>1318</v>
      </c>
      <c r="E252" s="15">
        <v>45766</v>
      </c>
      <c r="F252" s="14" t="s">
        <v>18</v>
      </c>
      <c r="G252" s="16">
        <v>60</v>
      </c>
    </row>
    <row r="253" spans="1:7" x14ac:dyDescent="0.25">
      <c r="A253" s="13" t="s">
        <v>1317</v>
      </c>
      <c r="B253" s="13">
        <v>2637</v>
      </c>
      <c r="C253" s="14" t="s">
        <v>36</v>
      </c>
      <c r="D253" s="14" t="s">
        <v>1318</v>
      </c>
      <c r="E253" s="15">
        <v>45766</v>
      </c>
      <c r="F253" s="14" t="s">
        <v>20</v>
      </c>
      <c r="G253" s="16">
        <v>28.13</v>
      </c>
    </row>
    <row r="254" spans="1:7" ht="18.75" x14ac:dyDescent="0.3">
      <c r="A254" s="14"/>
      <c r="B254" s="28"/>
      <c r="C254" s="29"/>
      <c r="D254" s="14"/>
      <c r="E254" s="28"/>
      <c r="F254" s="17" t="s">
        <v>11</v>
      </c>
      <c r="G254" s="17">
        <f>SUM(G10:G253)</f>
        <v>20896.989000000001</v>
      </c>
    </row>
    <row r="255" spans="1:7" ht="18.75" x14ac:dyDescent="0.3">
      <c r="A255" s="38"/>
      <c r="B255" s="39"/>
      <c r="C255" s="40"/>
      <c r="D255" s="41"/>
      <c r="E255" s="19"/>
      <c r="F255" s="18"/>
      <c r="G255" s="34"/>
    </row>
    <row r="256" spans="1:7" ht="18.75" x14ac:dyDescent="0.3">
      <c r="A256" s="35"/>
      <c r="B256" s="36"/>
      <c r="C256" s="37"/>
      <c r="D256" s="42"/>
      <c r="E256" s="43"/>
      <c r="F256" s="44"/>
      <c r="G256" s="44"/>
    </row>
    <row r="257" spans="1:7" ht="15.75" x14ac:dyDescent="0.25">
      <c r="A257" s="35"/>
      <c r="B257" s="36" t="s">
        <v>12</v>
      </c>
      <c r="C257" s="37"/>
      <c r="E257" s="36" t="s">
        <v>13</v>
      </c>
      <c r="F257" s="18"/>
      <c r="G257" s="18"/>
    </row>
    <row r="258" spans="1:7" ht="15.75" x14ac:dyDescent="0.25">
      <c r="A258" s="45"/>
      <c r="B258" s="46" t="s">
        <v>14</v>
      </c>
      <c r="C258" s="47"/>
      <c r="E258" s="36" t="s">
        <v>15</v>
      </c>
      <c r="F258" s="18"/>
      <c r="G258" s="18"/>
    </row>
    <row r="259" spans="1:7" ht="15.75" x14ac:dyDescent="0.25">
      <c r="A259" s="23"/>
      <c r="B259" s="24"/>
      <c r="C259" s="25"/>
      <c r="E259" s="27"/>
      <c r="F259" s="18"/>
      <c r="G259" s="18"/>
    </row>
    <row r="260" spans="1:7" ht="18.75" x14ac:dyDescent="0.3">
      <c r="B260" s="19"/>
      <c r="C260" s="20"/>
      <c r="D260" s="21"/>
      <c r="E260" s="22"/>
      <c r="F260" s="19"/>
      <c r="G260" s="22"/>
    </row>
    <row r="261" spans="1:7" ht="15.75" x14ac:dyDescent="0.25">
      <c r="A261" s="23"/>
      <c r="B261" s="24"/>
      <c r="C261" s="25"/>
      <c r="D261" s="26"/>
      <c r="E261" s="22"/>
      <c r="F261" s="27"/>
      <c r="G261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9" topLeftCell="A10" activePane="bottomLeft" state="frozen"/>
      <selection pane="bottomLeft" sqref="A1:A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1330</v>
      </c>
      <c r="C5" s="7"/>
      <c r="D5" s="4"/>
    </row>
    <row r="6" spans="1:7" ht="22.5" customHeight="1" x14ac:dyDescent="0.25">
      <c r="A6" s="6"/>
      <c r="B6" s="8" t="s">
        <v>1449</v>
      </c>
      <c r="C6" s="9"/>
      <c r="D6" s="4"/>
    </row>
    <row r="7" spans="1:7" ht="22.5" customHeight="1" x14ac:dyDescent="0.35">
      <c r="A7" s="4"/>
      <c r="B7" s="10"/>
      <c r="C7" s="11" t="s">
        <v>1450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1360</v>
      </c>
      <c r="B10" s="13">
        <v>192</v>
      </c>
      <c r="C10" s="14" t="s">
        <v>998</v>
      </c>
      <c r="D10" s="14" t="s">
        <v>1361</v>
      </c>
      <c r="E10" s="15">
        <v>45770</v>
      </c>
      <c r="F10" s="14" t="s">
        <v>18</v>
      </c>
      <c r="G10" s="16">
        <v>70</v>
      </c>
    </row>
    <row r="11" spans="1:7" x14ac:dyDescent="0.25">
      <c r="A11" s="13" t="s">
        <v>1360</v>
      </c>
      <c r="B11" s="13">
        <v>192</v>
      </c>
      <c r="C11" s="14" t="s">
        <v>998</v>
      </c>
      <c r="D11" s="15" t="s">
        <v>1361</v>
      </c>
      <c r="E11" s="15">
        <v>45770</v>
      </c>
      <c r="F11" s="14" t="s">
        <v>20</v>
      </c>
      <c r="G11" s="16">
        <v>53.5</v>
      </c>
    </row>
    <row r="12" spans="1:7" x14ac:dyDescent="0.25">
      <c r="A12" s="13" t="s">
        <v>1360</v>
      </c>
      <c r="B12" s="13">
        <v>192</v>
      </c>
      <c r="C12" s="14" t="s">
        <v>998</v>
      </c>
      <c r="D12" s="14" t="s">
        <v>1361</v>
      </c>
      <c r="E12" s="15">
        <v>45772</v>
      </c>
      <c r="F12" s="14" t="s">
        <v>21</v>
      </c>
      <c r="G12" s="16">
        <v>80</v>
      </c>
    </row>
    <row r="13" spans="1:7" x14ac:dyDescent="0.25">
      <c r="A13" s="13" t="s">
        <v>1360</v>
      </c>
      <c r="B13" s="13">
        <v>192</v>
      </c>
      <c r="C13" s="14" t="s">
        <v>998</v>
      </c>
      <c r="D13" s="15" t="s">
        <v>1361</v>
      </c>
      <c r="E13" s="15">
        <v>45773</v>
      </c>
      <c r="F13" s="14" t="s">
        <v>69</v>
      </c>
      <c r="G13" s="16">
        <v>370</v>
      </c>
    </row>
    <row r="14" spans="1:7" x14ac:dyDescent="0.25">
      <c r="A14" s="13" t="s">
        <v>1391</v>
      </c>
      <c r="B14" s="13">
        <v>700</v>
      </c>
      <c r="C14" s="14" t="str">
        <f>+VLOOKUP(B14,[1]LISTE!$A$1:$D$431,4,FALSE)</f>
        <v>ZORGATI ABDELFATTEH</v>
      </c>
      <c r="D14" s="14" t="s">
        <v>22</v>
      </c>
      <c r="E14" s="15">
        <v>45783</v>
      </c>
      <c r="F14" s="14" t="s">
        <v>23</v>
      </c>
      <c r="G14" s="16">
        <v>25</v>
      </c>
    </row>
    <row r="15" spans="1:7" x14ac:dyDescent="0.25">
      <c r="A15" s="13" t="s">
        <v>1391</v>
      </c>
      <c r="B15" s="13">
        <v>700</v>
      </c>
      <c r="C15" s="14" t="str">
        <f>+VLOOKUP(B15,[1]LISTE!$A$1:$D$431,4,FALSE)</f>
        <v>ZORGATI ABDELFATTEH</v>
      </c>
      <c r="D15" s="15" t="s">
        <v>22</v>
      </c>
      <c r="E15" s="15">
        <v>45783</v>
      </c>
      <c r="F15" s="14" t="s">
        <v>20</v>
      </c>
      <c r="G15" s="16">
        <v>33.314</v>
      </c>
    </row>
    <row r="16" spans="1:7" x14ac:dyDescent="0.25">
      <c r="A16" s="13" t="s">
        <v>1391</v>
      </c>
      <c r="B16" s="13">
        <v>700</v>
      </c>
      <c r="C16" s="14" t="str">
        <f>+VLOOKUP(B16,[1]LISTE!$A$1:$D$431,4,FALSE)</f>
        <v>ZORGATI ABDELFATTEH</v>
      </c>
      <c r="D16" s="14" t="s">
        <v>22</v>
      </c>
      <c r="E16" s="15">
        <v>45783</v>
      </c>
      <c r="F16" s="14" t="s">
        <v>65</v>
      </c>
      <c r="G16" s="16">
        <v>6</v>
      </c>
    </row>
    <row r="17" spans="1:7" x14ac:dyDescent="0.25">
      <c r="A17" s="13" t="s">
        <v>1404</v>
      </c>
      <c r="B17" s="13">
        <v>721</v>
      </c>
      <c r="C17" s="14" t="str">
        <f>+VLOOKUP(B17,[1]LISTE!$A$1:$D$431,4,FALSE)</f>
        <v>BEN ABDELJELIL WAHID</v>
      </c>
      <c r="D17" s="14" t="s">
        <v>935</v>
      </c>
      <c r="E17" s="15">
        <v>45776</v>
      </c>
      <c r="F17" s="14" t="s">
        <v>23</v>
      </c>
      <c r="G17" s="16">
        <v>25</v>
      </c>
    </row>
    <row r="18" spans="1:7" x14ac:dyDescent="0.25">
      <c r="A18" s="13" t="s">
        <v>1404</v>
      </c>
      <c r="B18" s="13">
        <v>721</v>
      </c>
      <c r="C18" s="14" t="str">
        <f>+VLOOKUP(B18,[1]LISTE!$A$1:$D$431,4,FALSE)</f>
        <v>BEN ABDELJELIL WAHID</v>
      </c>
      <c r="D18" s="15" t="s">
        <v>935</v>
      </c>
      <c r="E18" s="15">
        <v>45782</v>
      </c>
      <c r="F18" s="14" t="s">
        <v>21</v>
      </c>
      <c r="G18" s="16">
        <v>90</v>
      </c>
    </row>
    <row r="19" spans="1:7" x14ac:dyDescent="0.25">
      <c r="A19" s="13" t="s">
        <v>1420</v>
      </c>
      <c r="B19" s="13">
        <v>859</v>
      </c>
      <c r="C19" s="14" t="str">
        <f>+VLOOKUP(B19,[1]LISTE!$A$1:$D$431,4,FALSE)</f>
        <v>ZRELLI MOHAMED</v>
      </c>
      <c r="D19" s="14" t="s">
        <v>1421</v>
      </c>
      <c r="E19" s="15">
        <v>45779</v>
      </c>
      <c r="F19" s="14" t="s">
        <v>23</v>
      </c>
      <c r="G19" s="16">
        <v>50</v>
      </c>
    </row>
    <row r="20" spans="1:7" x14ac:dyDescent="0.25">
      <c r="A20" s="13" t="s">
        <v>1420</v>
      </c>
      <c r="B20" s="13">
        <v>859</v>
      </c>
      <c r="C20" s="14" t="str">
        <f>+VLOOKUP(B20,[1]LISTE!$A$1:$D$431,4,FALSE)</f>
        <v>ZRELLI MOHAMED</v>
      </c>
      <c r="D20" s="14" t="s">
        <v>1421</v>
      </c>
      <c r="E20" s="15">
        <v>45779</v>
      </c>
      <c r="F20" s="14" t="s">
        <v>20</v>
      </c>
      <c r="G20" s="16">
        <v>2.601</v>
      </c>
    </row>
    <row r="21" spans="1:7" x14ac:dyDescent="0.25">
      <c r="A21" s="13" t="s">
        <v>1420</v>
      </c>
      <c r="B21" s="13">
        <v>859</v>
      </c>
      <c r="C21" s="14" t="str">
        <f>+VLOOKUP(B21,[1]LISTE!$A$1:$D$431,4,FALSE)</f>
        <v>ZRELLI MOHAMED</v>
      </c>
      <c r="D21" s="14" t="s">
        <v>1421</v>
      </c>
      <c r="E21" s="15">
        <v>45782</v>
      </c>
      <c r="F21" s="14" t="s">
        <v>24</v>
      </c>
      <c r="G21" s="16">
        <v>120</v>
      </c>
    </row>
    <row r="22" spans="1:7" x14ac:dyDescent="0.25">
      <c r="A22" s="13" t="s">
        <v>1434</v>
      </c>
      <c r="B22" s="13">
        <v>923</v>
      </c>
      <c r="C22" s="14" t="str">
        <f>+VLOOKUP(B22,[1]LISTE!$A$1:$D$431,4,FALSE)</f>
        <v>BEN AZIZA SLAH</v>
      </c>
      <c r="D22" s="14" t="s">
        <v>22</v>
      </c>
      <c r="E22" s="15">
        <v>45769</v>
      </c>
      <c r="F22" s="14" t="s">
        <v>23</v>
      </c>
      <c r="G22" s="16">
        <v>35</v>
      </c>
    </row>
    <row r="23" spans="1:7" x14ac:dyDescent="0.25">
      <c r="A23" s="13" t="s">
        <v>1434</v>
      </c>
      <c r="B23" s="13">
        <v>923</v>
      </c>
      <c r="C23" s="14" t="str">
        <f>+VLOOKUP(B23,[1]LISTE!$A$1:$D$431,4,FALSE)</f>
        <v>BEN AZIZA SLAH</v>
      </c>
      <c r="D23" s="15" t="s">
        <v>22</v>
      </c>
      <c r="E23" s="15">
        <v>45769</v>
      </c>
      <c r="F23" s="14" t="s">
        <v>20</v>
      </c>
      <c r="G23" s="16">
        <v>96.328000000000003</v>
      </c>
    </row>
    <row r="24" spans="1:7" x14ac:dyDescent="0.25">
      <c r="A24" s="13" t="s">
        <v>1435</v>
      </c>
      <c r="B24" s="13">
        <v>923</v>
      </c>
      <c r="C24" s="14" t="str">
        <f>+VLOOKUP(B24,[1]LISTE!$A$1:$D$431,4,FALSE)</f>
        <v>BEN AZIZA SLAH</v>
      </c>
      <c r="D24" s="15" t="s">
        <v>1436</v>
      </c>
      <c r="E24" s="15">
        <v>45777</v>
      </c>
      <c r="F24" s="14" t="s">
        <v>23</v>
      </c>
      <c r="G24" s="16">
        <v>35</v>
      </c>
    </row>
    <row r="25" spans="1:7" x14ac:dyDescent="0.25">
      <c r="A25" s="13" t="s">
        <v>1435</v>
      </c>
      <c r="B25" s="13">
        <v>923</v>
      </c>
      <c r="C25" s="14" t="str">
        <f>+VLOOKUP(B25,[1]LISTE!$A$1:$D$431,4,FALSE)</f>
        <v>BEN AZIZA SLAH</v>
      </c>
      <c r="D25" s="15" t="s">
        <v>1436</v>
      </c>
      <c r="E25" s="15">
        <v>45777</v>
      </c>
      <c r="F25" s="14" t="s">
        <v>20</v>
      </c>
      <c r="G25" s="16">
        <v>91.62</v>
      </c>
    </row>
    <row r="26" spans="1:7" x14ac:dyDescent="0.25">
      <c r="A26" s="13" t="s">
        <v>1437</v>
      </c>
      <c r="B26" s="13">
        <v>923</v>
      </c>
      <c r="C26" s="14" t="str">
        <f>+VLOOKUP(B26,[1]LISTE!$A$1:$D$431,4,FALSE)</f>
        <v>BEN AZIZA SLAH</v>
      </c>
      <c r="D26" s="14" t="s">
        <v>1438</v>
      </c>
      <c r="E26" s="15">
        <v>45772</v>
      </c>
      <c r="F26" s="14" t="s">
        <v>23</v>
      </c>
      <c r="G26" s="16">
        <v>35</v>
      </c>
    </row>
    <row r="27" spans="1:7" x14ac:dyDescent="0.25">
      <c r="A27" s="13" t="s">
        <v>1437</v>
      </c>
      <c r="B27" s="13">
        <v>923</v>
      </c>
      <c r="C27" s="14" t="str">
        <f>+VLOOKUP(B27,[1]LISTE!$A$1:$D$431,4,FALSE)</f>
        <v>BEN AZIZA SLAH</v>
      </c>
      <c r="D27" s="14" t="s">
        <v>1438</v>
      </c>
      <c r="E27" s="15">
        <v>45772</v>
      </c>
      <c r="F27" s="14" t="s">
        <v>20</v>
      </c>
      <c r="G27" s="16">
        <v>107.077</v>
      </c>
    </row>
    <row r="28" spans="1:7" x14ac:dyDescent="0.25">
      <c r="A28" s="13" t="s">
        <v>1439</v>
      </c>
      <c r="B28" s="13">
        <v>923</v>
      </c>
      <c r="C28" s="14" t="str">
        <f>+VLOOKUP(B28,[1]LISTE!$A$1:$D$431,4,FALSE)</f>
        <v>BEN AZIZA SLAH</v>
      </c>
      <c r="D28" s="15" t="s">
        <v>1201</v>
      </c>
      <c r="E28" s="15">
        <v>45781</v>
      </c>
      <c r="F28" s="14" t="s">
        <v>23</v>
      </c>
      <c r="G28" s="16">
        <v>35</v>
      </c>
    </row>
    <row r="29" spans="1:7" x14ac:dyDescent="0.25">
      <c r="A29" s="13" t="s">
        <v>1439</v>
      </c>
      <c r="B29" s="13">
        <v>923</v>
      </c>
      <c r="C29" s="14" t="str">
        <f>+VLOOKUP(B29,[1]LISTE!$A$1:$D$431,4,FALSE)</f>
        <v>BEN AZIZA SLAH</v>
      </c>
      <c r="D29" s="14" t="s">
        <v>1201</v>
      </c>
      <c r="E29" s="15">
        <v>45781</v>
      </c>
      <c r="F29" s="14" t="s">
        <v>20</v>
      </c>
      <c r="G29" s="16">
        <v>65.448999999999998</v>
      </c>
    </row>
    <row r="30" spans="1:7" x14ac:dyDescent="0.25">
      <c r="A30" s="13" t="s">
        <v>1385</v>
      </c>
      <c r="B30" s="13">
        <v>965</v>
      </c>
      <c r="C30" s="14" t="str">
        <f>+VLOOKUP(B30,[1]LISTE!$A$1:$D$431,4,FALSE)</f>
        <v>BEN FREDJ ABDELKARIM</v>
      </c>
      <c r="D30" s="15" t="s">
        <v>22</v>
      </c>
      <c r="E30" s="15">
        <v>45775</v>
      </c>
      <c r="F30" s="14" t="s">
        <v>18</v>
      </c>
      <c r="G30" s="16">
        <v>70</v>
      </c>
    </row>
    <row r="31" spans="1:7" x14ac:dyDescent="0.25">
      <c r="A31" s="13" t="s">
        <v>1385</v>
      </c>
      <c r="B31" s="13">
        <v>965</v>
      </c>
      <c r="C31" s="14" t="str">
        <f>+VLOOKUP(B31,[1]LISTE!$A$1:$D$431,4,FALSE)</f>
        <v>BEN FREDJ ABDELKARIM</v>
      </c>
      <c r="D31" s="14" t="s">
        <v>22</v>
      </c>
      <c r="E31" s="15">
        <v>45784</v>
      </c>
      <c r="F31" s="14" t="s">
        <v>69</v>
      </c>
      <c r="G31" s="16">
        <v>420</v>
      </c>
    </row>
    <row r="32" spans="1:7" x14ac:dyDescent="0.25">
      <c r="A32" s="13" t="s">
        <v>1356</v>
      </c>
      <c r="B32" s="13">
        <v>1510</v>
      </c>
      <c r="C32" s="14" t="str">
        <f>+VLOOKUP(B32,[1]LISTE!$A$1:$D$431,4,FALSE)</f>
        <v>GAALOUL FETHI</v>
      </c>
      <c r="D32" s="14" t="s">
        <v>322</v>
      </c>
      <c r="E32" s="15">
        <v>45754</v>
      </c>
      <c r="F32" s="14" t="s">
        <v>18</v>
      </c>
      <c r="G32" s="16">
        <v>70</v>
      </c>
    </row>
    <row r="33" spans="1:7" x14ac:dyDescent="0.25">
      <c r="A33" s="13" t="s">
        <v>1356</v>
      </c>
      <c r="B33" s="13">
        <v>1510</v>
      </c>
      <c r="C33" s="14" t="str">
        <f>+VLOOKUP(B33,[1]LISTE!$A$1:$D$431,4,FALSE)</f>
        <v>GAALOUL FETHI</v>
      </c>
      <c r="D33" s="14" t="s">
        <v>322</v>
      </c>
      <c r="E33" s="15">
        <v>45754</v>
      </c>
      <c r="F33" s="14" t="s">
        <v>20</v>
      </c>
      <c r="G33" s="16">
        <v>12.141999999999999</v>
      </c>
    </row>
    <row r="34" spans="1:7" x14ac:dyDescent="0.25">
      <c r="A34" s="13" t="s">
        <v>1357</v>
      </c>
      <c r="B34" s="13">
        <v>1510</v>
      </c>
      <c r="C34" s="14" t="str">
        <f>+VLOOKUP(B34,[1]LISTE!$A$1:$D$431,4,FALSE)</f>
        <v>GAALOUL FETHI</v>
      </c>
      <c r="D34" s="14" t="s">
        <v>322</v>
      </c>
      <c r="E34" s="15">
        <v>45756</v>
      </c>
      <c r="F34" s="14" t="s">
        <v>18</v>
      </c>
      <c r="G34" s="16">
        <v>80</v>
      </c>
    </row>
    <row r="35" spans="1:7" x14ac:dyDescent="0.25">
      <c r="A35" s="13" t="s">
        <v>1357</v>
      </c>
      <c r="B35" s="13">
        <v>1510</v>
      </c>
      <c r="C35" s="14" t="str">
        <f>+VLOOKUP(B35,[1]LISTE!$A$1:$D$431,4,FALSE)</f>
        <v>GAALOUL FETHI</v>
      </c>
      <c r="D35" s="14" t="s">
        <v>322</v>
      </c>
      <c r="E35" s="15">
        <v>45756</v>
      </c>
      <c r="F35" s="14" t="s">
        <v>20</v>
      </c>
      <c r="G35" s="16">
        <v>9.1300000000000008</v>
      </c>
    </row>
    <row r="36" spans="1:7" x14ac:dyDescent="0.25">
      <c r="A36" s="13" t="s">
        <v>1357</v>
      </c>
      <c r="B36" s="13">
        <v>1510</v>
      </c>
      <c r="C36" s="14" t="str">
        <f>+VLOOKUP(B36,[1]LISTE!$A$1:$D$431,4,FALSE)</f>
        <v>GAALOUL FETHI</v>
      </c>
      <c r="D36" s="14" t="s">
        <v>322</v>
      </c>
      <c r="E36" s="15">
        <v>45756</v>
      </c>
      <c r="F36" s="14" t="s">
        <v>364</v>
      </c>
      <c r="G36" s="16">
        <v>319.46600000000001</v>
      </c>
    </row>
    <row r="37" spans="1:7" x14ac:dyDescent="0.25">
      <c r="A37" s="13" t="s">
        <v>1403</v>
      </c>
      <c r="B37" s="13">
        <v>1510</v>
      </c>
      <c r="C37" s="14" t="str">
        <f>+VLOOKUP(B37,[1]LISTE!$A$1:$D$431,4,FALSE)</f>
        <v>GAALOUL FETHI</v>
      </c>
      <c r="D37" s="14" t="s">
        <v>22</v>
      </c>
      <c r="E37" s="15">
        <v>45770</v>
      </c>
      <c r="F37" s="14" t="s">
        <v>23</v>
      </c>
      <c r="G37" s="16">
        <v>40</v>
      </c>
    </row>
    <row r="38" spans="1:7" x14ac:dyDescent="0.25">
      <c r="A38" s="13" t="s">
        <v>1403</v>
      </c>
      <c r="B38" s="13">
        <v>1510</v>
      </c>
      <c r="C38" s="14" t="str">
        <f>+VLOOKUP(B38,[1]LISTE!$A$1:$D$431,4,FALSE)</f>
        <v>GAALOUL FETHI</v>
      </c>
      <c r="D38" s="15" t="s">
        <v>22</v>
      </c>
      <c r="E38" s="15">
        <v>45770</v>
      </c>
      <c r="F38" s="14" t="s">
        <v>20</v>
      </c>
      <c r="G38" s="16">
        <v>59.927</v>
      </c>
    </row>
    <row r="39" spans="1:7" x14ac:dyDescent="0.25">
      <c r="A39" s="13" t="s">
        <v>1409</v>
      </c>
      <c r="B39" s="13">
        <v>1510</v>
      </c>
      <c r="C39" s="14" t="str">
        <f>+VLOOKUP(B39,[1]LISTE!$A$1:$D$431,4,FALSE)</f>
        <v>GAALOUL FETHI</v>
      </c>
      <c r="D39" s="15" t="s">
        <v>22</v>
      </c>
      <c r="E39" s="15">
        <v>45740</v>
      </c>
      <c r="F39" s="14" t="s">
        <v>23</v>
      </c>
      <c r="G39" s="16">
        <v>10</v>
      </c>
    </row>
    <row r="40" spans="1:7" x14ac:dyDescent="0.25">
      <c r="A40" s="13" t="s">
        <v>1388</v>
      </c>
      <c r="B40" s="13">
        <v>1524</v>
      </c>
      <c r="C40" s="14" t="str">
        <f>+VLOOKUP(B40,[1]LISTE!$A$1:$D$431,4,FALSE)</f>
        <v>BABAY ROUIS LOTFI</v>
      </c>
      <c r="D40" s="15" t="s">
        <v>394</v>
      </c>
      <c r="E40" s="15">
        <v>45783</v>
      </c>
      <c r="F40" s="14" t="s">
        <v>23</v>
      </c>
      <c r="G40" s="16">
        <v>45</v>
      </c>
    </row>
    <row r="41" spans="1:7" x14ac:dyDescent="0.25">
      <c r="A41" s="13" t="s">
        <v>1388</v>
      </c>
      <c r="B41" s="13">
        <v>1524</v>
      </c>
      <c r="C41" s="14" t="str">
        <f>+VLOOKUP(B41,[1]LISTE!$A$1:$D$431,4,FALSE)</f>
        <v>BABAY ROUIS LOTFI</v>
      </c>
      <c r="D41" s="15" t="s">
        <v>394</v>
      </c>
      <c r="E41" s="15">
        <v>45783</v>
      </c>
      <c r="F41" s="14" t="s">
        <v>20</v>
      </c>
      <c r="G41" s="16">
        <v>7.85</v>
      </c>
    </row>
    <row r="42" spans="1:7" x14ac:dyDescent="0.25">
      <c r="A42" s="13" t="s">
        <v>1388</v>
      </c>
      <c r="B42" s="13">
        <v>1524</v>
      </c>
      <c r="C42" s="14" t="str">
        <f>+VLOOKUP(B42,[1]LISTE!$A$1:$D$431,4,FALSE)</f>
        <v>BABAY ROUIS LOTFI</v>
      </c>
      <c r="D42" s="15" t="s">
        <v>394</v>
      </c>
      <c r="E42" s="15">
        <v>45783</v>
      </c>
      <c r="F42" s="14" t="s">
        <v>19</v>
      </c>
      <c r="G42" s="16">
        <v>68.69</v>
      </c>
    </row>
    <row r="43" spans="1:7" x14ac:dyDescent="0.25">
      <c r="A43" s="13" t="s">
        <v>1447</v>
      </c>
      <c r="B43" s="13">
        <v>1535</v>
      </c>
      <c r="C43" s="14" t="str">
        <f>+VLOOKUP(B43,[1]LISTE!$A$1:$D$431,4,FALSE)</f>
        <v>ROUIS LOTFI</v>
      </c>
      <c r="D43" s="14" t="s">
        <v>22</v>
      </c>
      <c r="E43" s="15">
        <v>45787</v>
      </c>
      <c r="F43" s="14" t="s">
        <v>23</v>
      </c>
      <c r="G43" s="16">
        <v>45</v>
      </c>
    </row>
    <row r="44" spans="1:7" x14ac:dyDescent="0.25">
      <c r="A44" s="13" t="s">
        <v>1447</v>
      </c>
      <c r="B44" s="13">
        <v>1535</v>
      </c>
      <c r="C44" s="14" t="str">
        <f>+VLOOKUP(B44,[1]LISTE!$A$1:$D$431,4,FALSE)</f>
        <v>ROUIS LOTFI</v>
      </c>
      <c r="D44" s="14" t="s">
        <v>22</v>
      </c>
      <c r="E44" s="15">
        <v>45787</v>
      </c>
      <c r="F44" s="14" t="s">
        <v>20</v>
      </c>
      <c r="G44" s="16">
        <v>44.64</v>
      </c>
    </row>
    <row r="45" spans="1:7" x14ac:dyDescent="0.25">
      <c r="A45" s="13" t="s">
        <v>1433</v>
      </c>
      <c r="B45" s="13">
        <v>1569</v>
      </c>
      <c r="C45" s="14" t="str">
        <f>+VLOOKUP(B45,[1]LISTE!$A$1:$D$431,4,FALSE)</f>
        <v>BETTAIEB MOULDI</v>
      </c>
      <c r="D45" s="15" t="s">
        <v>412</v>
      </c>
      <c r="E45" s="15">
        <v>45789</v>
      </c>
      <c r="F45" s="14" t="s">
        <v>23</v>
      </c>
      <c r="G45" s="16">
        <v>40</v>
      </c>
    </row>
    <row r="46" spans="1:7" x14ac:dyDescent="0.25">
      <c r="A46" s="13" t="s">
        <v>1433</v>
      </c>
      <c r="B46" s="13">
        <v>1569</v>
      </c>
      <c r="C46" s="14" t="str">
        <f>+VLOOKUP(B46,[1]LISTE!$A$1:$D$431,4,FALSE)</f>
        <v>BETTAIEB MOULDI</v>
      </c>
      <c r="D46" s="14" t="s">
        <v>412</v>
      </c>
      <c r="E46" s="15">
        <v>45789</v>
      </c>
      <c r="F46" s="14" t="s">
        <v>20</v>
      </c>
      <c r="G46" s="16">
        <v>30.504000000000001</v>
      </c>
    </row>
    <row r="47" spans="1:7" x14ac:dyDescent="0.25">
      <c r="A47" s="13" t="s">
        <v>1395</v>
      </c>
      <c r="B47" s="13">
        <v>1572</v>
      </c>
      <c r="C47" s="14" t="str">
        <f>+VLOOKUP(B47,[1]LISTE!$A$1:$D$431,4,FALSE)</f>
        <v>MIMOUNA MEHDI</v>
      </c>
      <c r="D47" s="14" t="s">
        <v>311</v>
      </c>
      <c r="E47" s="15">
        <v>45773</v>
      </c>
      <c r="F47" s="14" t="s">
        <v>18</v>
      </c>
      <c r="G47" s="16">
        <v>60</v>
      </c>
    </row>
    <row r="48" spans="1:7" x14ac:dyDescent="0.25">
      <c r="A48" s="13" t="s">
        <v>1395</v>
      </c>
      <c r="B48" s="13">
        <v>1572</v>
      </c>
      <c r="C48" s="14" t="str">
        <f>+VLOOKUP(B48,[1]LISTE!$A$1:$D$431,4,FALSE)</f>
        <v>MIMOUNA MEHDI</v>
      </c>
      <c r="D48" s="14" t="s">
        <v>311</v>
      </c>
      <c r="E48" s="15">
        <v>45774</v>
      </c>
      <c r="F48" s="14" t="s">
        <v>20</v>
      </c>
      <c r="G48" s="16">
        <v>14.988</v>
      </c>
    </row>
    <row r="49" spans="1:7" x14ac:dyDescent="0.25">
      <c r="A49" s="13" t="s">
        <v>1377</v>
      </c>
      <c r="B49" s="13">
        <v>1595</v>
      </c>
      <c r="C49" s="14" t="str">
        <f>+VLOOKUP(B49,[1]LISTE!$A$1:$D$431,4,FALSE)</f>
        <v>BEN SALEM FETHI</v>
      </c>
      <c r="D49" s="15" t="s">
        <v>1378</v>
      </c>
      <c r="E49" s="15">
        <v>45775</v>
      </c>
      <c r="F49" s="14" t="s">
        <v>23</v>
      </c>
      <c r="G49" s="16">
        <v>20</v>
      </c>
    </row>
    <row r="50" spans="1:7" x14ac:dyDescent="0.25">
      <c r="A50" s="13" t="s">
        <v>1377</v>
      </c>
      <c r="B50" s="13">
        <v>1595</v>
      </c>
      <c r="C50" s="14" t="str">
        <f>+VLOOKUP(B50,[1]LISTE!$A$1:$D$431,4,FALSE)</f>
        <v>BEN SALEM FETHI</v>
      </c>
      <c r="D50" s="15" t="s">
        <v>1378</v>
      </c>
      <c r="E50" s="15">
        <v>45775</v>
      </c>
      <c r="F50" s="14" t="s">
        <v>20</v>
      </c>
      <c r="G50" s="16">
        <v>43.234000000000002</v>
      </c>
    </row>
    <row r="51" spans="1:7" x14ac:dyDescent="0.25">
      <c r="A51" s="13" t="s">
        <v>1379</v>
      </c>
      <c r="B51" s="13">
        <v>1595</v>
      </c>
      <c r="C51" s="14" t="str">
        <f>+VLOOKUP(B51,[1]LISTE!$A$1:$D$431,4,FALSE)</f>
        <v>BEN SALEM FETHI</v>
      </c>
      <c r="D51" s="14" t="s">
        <v>22</v>
      </c>
      <c r="E51" s="15">
        <v>45771</v>
      </c>
      <c r="F51" s="14" t="s">
        <v>23</v>
      </c>
      <c r="G51" s="16">
        <v>20</v>
      </c>
    </row>
    <row r="52" spans="1:7" x14ac:dyDescent="0.25">
      <c r="A52" s="13" t="s">
        <v>1379</v>
      </c>
      <c r="B52" s="13">
        <v>1595</v>
      </c>
      <c r="C52" s="14" t="str">
        <f>+VLOOKUP(B52,[1]LISTE!$A$1:$D$431,4,FALSE)</f>
        <v>BEN SALEM FETHI</v>
      </c>
      <c r="D52" s="14" t="s">
        <v>22</v>
      </c>
      <c r="E52" s="15">
        <v>45771</v>
      </c>
      <c r="F52" s="14" t="s">
        <v>20</v>
      </c>
      <c r="G52" s="16">
        <v>53.655000000000001</v>
      </c>
    </row>
    <row r="53" spans="1:7" x14ac:dyDescent="0.25">
      <c r="A53" s="13" t="s">
        <v>1345</v>
      </c>
      <c r="B53" s="13">
        <v>1600</v>
      </c>
      <c r="C53" s="14" t="str">
        <f>+VLOOKUP(B53,[1]LISTE!$A$1:$D$431,4,FALSE)</f>
        <v>MAOUA MOHAMED</v>
      </c>
      <c r="D53" s="14" t="s">
        <v>699</v>
      </c>
      <c r="E53" s="15">
        <v>45776</v>
      </c>
      <c r="F53" s="14" t="s">
        <v>18</v>
      </c>
      <c r="G53" s="16">
        <v>70</v>
      </c>
    </row>
    <row r="54" spans="1:7" x14ac:dyDescent="0.25">
      <c r="A54" s="13" t="s">
        <v>1345</v>
      </c>
      <c r="B54" s="13">
        <v>1600</v>
      </c>
      <c r="C54" s="14" t="str">
        <f>+VLOOKUP(B54,[1]LISTE!$A$1:$D$431,4,FALSE)</f>
        <v>MAOUA MOHAMED</v>
      </c>
      <c r="D54" s="14" t="s">
        <v>699</v>
      </c>
      <c r="E54" s="15">
        <v>45776</v>
      </c>
      <c r="F54" s="14" t="s">
        <v>20</v>
      </c>
      <c r="G54" s="16">
        <v>62.05</v>
      </c>
    </row>
    <row r="55" spans="1:7" x14ac:dyDescent="0.25">
      <c r="A55" s="13" t="s">
        <v>1442</v>
      </c>
      <c r="B55" s="13">
        <v>1600</v>
      </c>
      <c r="C55" s="14" t="str">
        <f>+VLOOKUP(B55,[1]LISTE!$A$1:$D$431,4,FALSE)</f>
        <v>MAOUA MOHAMED</v>
      </c>
      <c r="D55" s="14" t="s">
        <v>699</v>
      </c>
      <c r="E55" s="15">
        <v>45779</v>
      </c>
      <c r="F55" s="14" t="s">
        <v>363</v>
      </c>
      <c r="G55" s="16">
        <v>250</v>
      </c>
    </row>
    <row r="56" spans="1:7" x14ac:dyDescent="0.25">
      <c r="A56" s="13" t="s">
        <v>1442</v>
      </c>
      <c r="B56" s="13">
        <v>1600</v>
      </c>
      <c r="C56" s="14" t="str">
        <f>+VLOOKUP(B56,[1]LISTE!$A$1:$D$431,4,FALSE)</f>
        <v>MAOUA MOHAMED</v>
      </c>
      <c r="D56" s="14" t="s">
        <v>699</v>
      </c>
      <c r="E56" s="15">
        <v>45787</v>
      </c>
      <c r="F56" s="14" t="s">
        <v>20</v>
      </c>
      <c r="G56" s="16">
        <v>23.04</v>
      </c>
    </row>
    <row r="57" spans="1:7" x14ac:dyDescent="0.25">
      <c r="A57" s="13" t="s">
        <v>1440</v>
      </c>
      <c r="B57" s="13">
        <v>1618</v>
      </c>
      <c r="C57" s="14" t="str">
        <f>+VLOOKUP(B57,[1]LISTE!$A$1:$D$431,4,FALSE)</f>
        <v>SLAMA MAHER</v>
      </c>
      <c r="D57" s="14" t="s">
        <v>641</v>
      </c>
      <c r="E57" s="15">
        <v>45763</v>
      </c>
      <c r="F57" s="14" t="s">
        <v>23</v>
      </c>
      <c r="G57" s="16">
        <v>40</v>
      </c>
    </row>
    <row r="58" spans="1:7" x14ac:dyDescent="0.25">
      <c r="A58" s="13" t="s">
        <v>1440</v>
      </c>
      <c r="B58" s="13">
        <v>1618</v>
      </c>
      <c r="C58" s="14" t="str">
        <f>+VLOOKUP(B58,[1]LISTE!$A$1:$D$431,4,FALSE)</f>
        <v>SLAMA MAHER</v>
      </c>
      <c r="D58" s="14" t="s">
        <v>641</v>
      </c>
      <c r="E58" s="15">
        <v>45763</v>
      </c>
      <c r="F58" s="14" t="s">
        <v>20</v>
      </c>
      <c r="G58" s="16">
        <v>24.965</v>
      </c>
    </row>
    <row r="59" spans="1:7" x14ac:dyDescent="0.25">
      <c r="A59" s="13" t="s">
        <v>1440</v>
      </c>
      <c r="B59" s="13">
        <v>1618</v>
      </c>
      <c r="C59" s="14" t="str">
        <f>+VLOOKUP(B59,[1]LISTE!$A$1:$D$431,4,FALSE)</f>
        <v>SLAMA MAHER</v>
      </c>
      <c r="D59" s="14" t="s">
        <v>641</v>
      </c>
      <c r="E59" s="15">
        <v>45786</v>
      </c>
      <c r="F59" s="14" t="s">
        <v>24</v>
      </c>
      <c r="G59" s="16">
        <v>180</v>
      </c>
    </row>
    <row r="60" spans="1:7" x14ac:dyDescent="0.25">
      <c r="A60" s="13" t="s">
        <v>1441</v>
      </c>
      <c r="B60" s="13">
        <v>1618</v>
      </c>
      <c r="C60" s="14" t="str">
        <f>+VLOOKUP(B60,[1]LISTE!$A$1:$D$431,4,FALSE)</f>
        <v>SLAMA MAHER</v>
      </c>
      <c r="D60" s="14" t="s">
        <v>22</v>
      </c>
      <c r="E60" s="15">
        <v>45775</v>
      </c>
      <c r="F60" s="14" t="s">
        <v>23</v>
      </c>
      <c r="G60" s="16">
        <v>40</v>
      </c>
    </row>
    <row r="61" spans="1:7" x14ac:dyDescent="0.25">
      <c r="A61" s="13" t="s">
        <v>1441</v>
      </c>
      <c r="B61" s="13">
        <v>1618</v>
      </c>
      <c r="C61" s="14" t="str">
        <f>+VLOOKUP(B61,[1]LISTE!$A$1:$D$431,4,FALSE)</f>
        <v>SLAMA MAHER</v>
      </c>
      <c r="D61" s="14" t="s">
        <v>22</v>
      </c>
      <c r="E61" s="15">
        <v>45775</v>
      </c>
      <c r="F61" s="14" t="s">
        <v>20</v>
      </c>
      <c r="G61" s="16">
        <v>6.7249999999999996</v>
      </c>
    </row>
    <row r="62" spans="1:7" x14ac:dyDescent="0.25">
      <c r="A62" s="13" t="s">
        <v>1441</v>
      </c>
      <c r="B62" s="13">
        <v>1618</v>
      </c>
      <c r="C62" s="14" t="str">
        <f>+VLOOKUP(B62,[1]LISTE!$A$1:$D$431,4,FALSE)</f>
        <v>SLAMA MAHER</v>
      </c>
      <c r="D62" s="14" t="s">
        <v>22</v>
      </c>
      <c r="E62" s="15">
        <v>45782</v>
      </c>
      <c r="F62" s="14" t="s">
        <v>24</v>
      </c>
      <c r="G62" s="16">
        <v>160</v>
      </c>
    </row>
    <row r="63" spans="1:7" x14ac:dyDescent="0.25">
      <c r="A63" s="13" t="s">
        <v>1368</v>
      </c>
      <c r="B63" s="13">
        <v>1643</v>
      </c>
      <c r="C63" s="14" t="str">
        <f>+VLOOKUP(B63,[1]LISTE!$A$1:$D$431,4,FALSE)</f>
        <v>HALLEB SALAH</v>
      </c>
      <c r="D63" s="15" t="s">
        <v>1369</v>
      </c>
      <c r="E63" s="15">
        <v>45777</v>
      </c>
      <c r="F63" s="14" t="s">
        <v>23</v>
      </c>
      <c r="G63" s="16">
        <v>40</v>
      </c>
    </row>
    <row r="64" spans="1:7" x14ac:dyDescent="0.25">
      <c r="A64" s="13" t="s">
        <v>1368</v>
      </c>
      <c r="B64" s="13">
        <v>1643</v>
      </c>
      <c r="C64" s="14" t="str">
        <f>+VLOOKUP(B64,[1]LISTE!$A$1:$D$431,4,FALSE)</f>
        <v>HALLEB SALAH</v>
      </c>
      <c r="D64" s="14" t="s">
        <v>1369</v>
      </c>
      <c r="E64" s="15">
        <v>45777</v>
      </c>
      <c r="F64" s="14" t="s">
        <v>20</v>
      </c>
      <c r="G64" s="16">
        <v>4.2450000000000001</v>
      </c>
    </row>
    <row r="65" spans="1:7" x14ac:dyDescent="0.25">
      <c r="A65" s="13" t="s">
        <v>1415</v>
      </c>
      <c r="B65" s="13">
        <v>1650</v>
      </c>
      <c r="C65" s="14" t="str">
        <f>+VLOOKUP(B65,[1]LISTE!$A$1:$D$431,4,FALSE)</f>
        <v>OUAJA RAOUF</v>
      </c>
      <c r="D65" s="15" t="s">
        <v>22</v>
      </c>
      <c r="E65" s="15">
        <v>45785</v>
      </c>
      <c r="F65" s="14" t="s">
        <v>23</v>
      </c>
      <c r="G65" s="16">
        <v>3</v>
      </c>
    </row>
    <row r="66" spans="1:7" x14ac:dyDescent="0.25">
      <c r="A66" s="13" t="s">
        <v>1415</v>
      </c>
      <c r="B66" s="13">
        <v>1650</v>
      </c>
      <c r="C66" s="14" t="str">
        <f>+VLOOKUP(B66,[1]LISTE!$A$1:$D$431,4,FALSE)</f>
        <v>OUAJA RAOUF</v>
      </c>
      <c r="D66" s="14" t="s">
        <v>22</v>
      </c>
      <c r="E66" s="15">
        <v>45785</v>
      </c>
      <c r="F66" s="14" t="s">
        <v>20</v>
      </c>
      <c r="G66" s="16">
        <v>15</v>
      </c>
    </row>
    <row r="67" spans="1:7" x14ac:dyDescent="0.25">
      <c r="A67" s="13" t="s">
        <v>1410</v>
      </c>
      <c r="B67" s="13">
        <v>1657</v>
      </c>
      <c r="C67" s="14" t="str">
        <f>+VLOOKUP(B67,[1]LISTE!$A$1:$D$431,4,FALSE)</f>
        <v>BELLALOUNA NIDHAL</v>
      </c>
      <c r="D67" s="15" t="s">
        <v>22</v>
      </c>
      <c r="E67" s="15">
        <v>45758</v>
      </c>
      <c r="F67" s="14" t="s">
        <v>18</v>
      </c>
      <c r="G67" s="16">
        <v>70</v>
      </c>
    </row>
    <row r="68" spans="1:7" x14ac:dyDescent="0.25">
      <c r="A68" s="13" t="s">
        <v>1410</v>
      </c>
      <c r="B68" s="13">
        <v>1657</v>
      </c>
      <c r="C68" s="14" t="str">
        <f>+VLOOKUP(B68,[1]LISTE!$A$1:$D$431,4,FALSE)</f>
        <v>BELLALOUNA NIDHAL</v>
      </c>
      <c r="D68" s="15" t="s">
        <v>22</v>
      </c>
      <c r="E68" s="15">
        <v>45763</v>
      </c>
      <c r="F68" s="14" t="s">
        <v>65</v>
      </c>
      <c r="G68" s="16">
        <v>30</v>
      </c>
    </row>
    <row r="69" spans="1:7" x14ac:dyDescent="0.25">
      <c r="A69" s="13" t="s">
        <v>1410</v>
      </c>
      <c r="B69" s="13">
        <v>1657</v>
      </c>
      <c r="C69" s="14" t="str">
        <f>+VLOOKUP(B69,[1]LISTE!$A$1:$D$431,4,FALSE)</f>
        <v>BELLALOUNA NIDHAL</v>
      </c>
      <c r="D69" s="14" t="s">
        <v>22</v>
      </c>
      <c r="E69" s="15">
        <v>45784</v>
      </c>
      <c r="F69" s="14" t="s">
        <v>18</v>
      </c>
      <c r="G69" s="16">
        <v>70</v>
      </c>
    </row>
    <row r="70" spans="1:7" x14ac:dyDescent="0.25">
      <c r="A70" s="13" t="s">
        <v>1410</v>
      </c>
      <c r="B70" s="13">
        <v>1657</v>
      </c>
      <c r="C70" s="14" t="str">
        <f>+VLOOKUP(B70,[1]LISTE!$A$1:$D$431,4,FALSE)</f>
        <v>BELLALOUNA NIDHAL</v>
      </c>
      <c r="D70" s="14" t="s">
        <v>22</v>
      </c>
      <c r="E70" s="15">
        <v>45763</v>
      </c>
      <c r="F70" s="14" t="s">
        <v>20</v>
      </c>
      <c r="G70" s="16">
        <v>12.077999999999999</v>
      </c>
    </row>
    <row r="71" spans="1:7" x14ac:dyDescent="0.25">
      <c r="A71" s="13" t="s">
        <v>1410</v>
      </c>
      <c r="B71" s="13">
        <v>1657</v>
      </c>
      <c r="C71" s="14" t="str">
        <f>+VLOOKUP(B71,[1]LISTE!$A$1:$D$431,4,FALSE)</f>
        <v>BELLALOUNA NIDHAL</v>
      </c>
      <c r="D71" s="15" t="s">
        <v>22</v>
      </c>
      <c r="E71" s="15">
        <v>45784</v>
      </c>
      <c r="F71" s="14" t="s">
        <v>20</v>
      </c>
      <c r="G71" s="16">
        <v>17.5</v>
      </c>
    </row>
    <row r="72" spans="1:7" x14ac:dyDescent="0.25">
      <c r="A72" s="13" t="s">
        <v>1427</v>
      </c>
      <c r="B72" s="13">
        <v>1667</v>
      </c>
      <c r="C72" s="14" t="str">
        <f>+VLOOKUP(B72,[1]LISTE!$A$1:$D$431,4,FALSE)</f>
        <v>MRIZEK TAOUFIK</v>
      </c>
      <c r="D72" s="14" t="s">
        <v>200</v>
      </c>
      <c r="E72" s="15">
        <v>45779</v>
      </c>
      <c r="F72" s="14" t="s">
        <v>18</v>
      </c>
      <c r="G72" s="16">
        <v>60</v>
      </c>
    </row>
    <row r="73" spans="1:7" x14ac:dyDescent="0.25">
      <c r="A73" s="13" t="s">
        <v>1427</v>
      </c>
      <c r="B73" s="13">
        <v>1667</v>
      </c>
      <c r="C73" s="14" t="str">
        <f>+VLOOKUP(B73,[1]LISTE!$A$1:$D$431,4,FALSE)</f>
        <v>MRIZEK TAOUFIK</v>
      </c>
      <c r="D73" s="14" t="s">
        <v>200</v>
      </c>
      <c r="E73" s="15">
        <v>45779</v>
      </c>
      <c r="F73" s="14" t="s">
        <v>20</v>
      </c>
      <c r="G73" s="16">
        <v>17.23</v>
      </c>
    </row>
    <row r="74" spans="1:7" x14ac:dyDescent="0.25">
      <c r="A74" s="13" t="s">
        <v>1399</v>
      </c>
      <c r="B74" s="13">
        <v>1671</v>
      </c>
      <c r="C74" s="14" t="str">
        <f>+VLOOKUP(B74,[1]LISTE!$A$1:$D$431,4,FALSE)</f>
        <v>EL BACH ADEL</v>
      </c>
      <c r="D74" s="15" t="s">
        <v>687</v>
      </c>
      <c r="E74" s="15">
        <v>45777</v>
      </c>
      <c r="F74" s="14" t="s">
        <v>363</v>
      </c>
      <c r="G74" s="16">
        <v>1000</v>
      </c>
    </row>
    <row r="75" spans="1:7" x14ac:dyDescent="0.25">
      <c r="A75" s="13" t="s">
        <v>1399</v>
      </c>
      <c r="B75" s="13">
        <v>1671</v>
      </c>
      <c r="C75" s="14" t="str">
        <f>+VLOOKUP(B75,[1]LISTE!$A$1:$D$431,4,FALSE)</f>
        <v>EL BACH ADEL</v>
      </c>
      <c r="D75" s="15" t="s">
        <v>687</v>
      </c>
      <c r="E75" s="15">
        <v>45778</v>
      </c>
      <c r="F75" s="14" t="s">
        <v>20</v>
      </c>
      <c r="G75" s="16">
        <v>52.17</v>
      </c>
    </row>
    <row r="76" spans="1:7" x14ac:dyDescent="0.25">
      <c r="A76" s="13" t="s">
        <v>1399</v>
      </c>
      <c r="B76" s="13">
        <v>1671</v>
      </c>
      <c r="C76" s="14" t="str">
        <f>+VLOOKUP(B76,[1]LISTE!$A$1:$D$431,4,FALSE)</f>
        <v>EL BACH ADEL</v>
      </c>
      <c r="D76" s="14" t="s">
        <v>687</v>
      </c>
      <c r="E76" s="15">
        <v>45776</v>
      </c>
      <c r="F76" s="14" t="s">
        <v>20</v>
      </c>
      <c r="G76" s="16">
        <v>27.456</v>
      </c>
    </row>
    <row r="77" spans="1:7" x14ac:dyDescent="0.25">
      <c r="A77" s="13" t="s">
        <v>1399</v>
      </c>
      <c r="B77" s="13">
        <v>1671</v>
      </c>
      <c r="C77" s="14" t="str">
        <f>+VLOOKUP(B77,[1]LISTE!$A$1:$D$431,4,FALSE)</f>
        <v>EL BACH ADEL</v>
      </c>
      <c r="D77" s="14" t="s">
        <v>687</v>
      </c>
      <c r="E77" s="15">
        <v>45776</v>
      </c>
      <c r="F77" s="14" t="s">
        <v>363</v>
      </c>
      <c r="G77" s="16">
        <v>200</v>
      </c>
    </row>
    <row r="78" spans="1:7" x14ac:dyDescent="0.25">
      <c r="A78" s="13" t="s">
        <v>1399</v>
      </c>
      <c r="B78" s="13">
        <v>1671</v>
      </c>
      <c r="C78" s="14" t="str">
        <f>+VLOOKUP(B78,[1]LISTE!$A$1:$D$431,4,FALSE)</f>
        <v>EL BACH ADEL</v>
      </c>
      <c r="D78" s="15" t="s">
        <v>687</v>
      </c>
      <c r="E78" s="15">
        <v>45776</v>
      </c>
      <c r="F78" s="14" t="s">
        <v>364</v>
      </c>
      <c r="G78" s="16">
        <v>1616.4259999999999</v>
      </c>
    </row>
    <row r="79" spans="1:7" x14ac:dyDescent="0.25">
      <c r="A79" s="13" t="s">
        <v>1381</v>
      </c>
      <c r="B79" s="13">
        <v>1677</v>
      </c>
      <c r="C79" s="14" t="str">
        <f>+VLOOKUP(B79,[1]LISTE!$A$1:$D$431,4,FALSE)</f>
        <v>HADJ AMMAR BRAHIM</v>
      </c>
      <c r="D79" s="14" t="s">
        <v>22</v>
      </c>
      <c r="E79" s="15">
        <v>45778</v>
      </c>
      <c r="F79" s="14" t="s">
        <v>18</v>
      </c>
      <c r="G79" s="16">
        <v>70</v>
      </c>
    </row>
    <row r="80" spans="1:7" x14ac:dyDescent="0.25">
      <c r="A80" s="13" t="s">
        <v>1381</v>
      </c>
      <c r="B80" s="13">
        <v>1677</v>
      </c>
      <c r="C80" s="14" t="str">
        <f>+VLOOKUP(B80,[1]LISTE!$A$1:$D$431,4,FALSE)</f>
        <v>HADJ AMMAR BRAHIM</v>
      </c>
      <c r="D80" s="15" t="s">
        <v>22</v>
      </c>
      <c r="E80" s="15">
        <v>45779</v>
      </c>
      <c r="F80" s="14" t="s">
        <v>20</v>
      </c>
      <c r="G80" s="16">
        <v>36.427</v>
      </c>
    </row>
    <row r="81" spans="1:7" x14ac:dyDescent="0.25">
      <c r="A81" s="13" t="s">
        <v>1381</v>
      </c>
      <c r="B81" s="13">
        <v>1677</v>
      </c>
      <c r="C81" s="14" t="str">
        <f>+VLOOKUP(B81,[1]LISTE!$A$1:$D$431,4,FALSE)</f>
        <v>HADJ AMMAR BRAHIM</v>
      </c>
      <c r="D81" s="14" t="s">
        <v>22</v>
      </c>
      <c r="E81" s="15">
        <v>45766</v>
      </c>
      <c r="F81" s="14" t="s">
        <v>21</v>
      </c>
      <c r="G81" s="16">
        <v>100</v>
      </c>
    </row>
    <row r="82" spans="1:7" x14ac:dyDescent="0.25">
      <c r="A82" s="13" t="s">
        <v>1367</v>
      </c>
      <c r="B82" s="13">
        <v>1680</v>
      </c>
      <c r="C82" s="14" t="str">
        <f>+VLOOKUP(B82,[1]LISTE!$A$1:$D$431,4,FALSE)</f>
        <v>SASSI WALID</v>
      </c>
      <c r="D82" s="14" t="s">
        <v>1291</v>
      </c>
      <c r="E82" s="15">
        <v>45773</v>
      </c>
      <c r="F82" s="14" t="s">
        <v>18</v>
      </c>
      <c r="G82" s="16">
        <v>60</v>
      </c>
    </row>
    <row r="83" spans="1:7" x14ac:dyDescent="0.25">
      <c r="A83" s="13" t="s">
        <v>1367</v>
      </c>
      <c r="B83" s="13">
        <v>1680</v>
      </c>
      <c r="C83" s="14" t="str">
        <f>+VLOOKUP(B83,[1]LISTE!$A$1:$D$431,4,FALSE)</f>
        <v>SASSI WALID</v>
      </c>
      <c r="D83" s="14" t="s">
        <v>1291</v>
      </c>
      <c r="E83" s="15">
        <v>45773</v>
      </c>
      <c r="F83" s="14" t="s">
        <v>20</v>
      </c>
      <c r="G83" s="16">
        <v>30.89</v>
      </c>
    </row>
    <row r="84" spans="1:7" x14ac:dyDescent="0.25">
      <c r="A84" s="13" t="s">
        <v>1424</v>
      </c>
      <c r="B84" s="13">
        <v>1683</v>
      </c>
      <c r="C84" s="14" t="str">
        <f>+VLOOKUP(B84,[1]LISTE!$A$1:$D$431,4,FALSE)</f>
        <v>HEDHILI MOHAMED</v>
      </c>
      <c r="D84" s="14" t="s">
        <v>481</v>
      </c>
      <c r="E84" s="15">
        <v>45776</v>
      </c>
      <c r="F84" s="14" t="s">
        <v>20</v>
      </c>
      <c r="G84" s="16">
        <v>16.234999999999999</v>
      </c>
    </row>
    <row r="85" spans="1:7" x14ac:dyDescent="0.25">
      <c r="A85" s="13" t="s">
        <v>1424</v>
      </c>
      <c r="B85" s="13">
        <v>1683</v>
      </c>
      <c r="C85" s="14" t="str">
        <f>+VLOOKUP(B85,[1]LISTE!$A$1:$D$431,4,FALSE)</f>
        <v>HEDHILI MOHAMED</v>
      </c>
      <c r="D85" s="14" t="s">
        <v>481</v>
      </c>
      <c r="E85" s="15">
        <v>45776</v>
      </c>
      <c r="F85" s="14" t="s">
        <v>20</v>
      </c>
      <c r="G85" s="16">
        <v>9.6750000000000007</v>
      </c>
    </row>
    <row r="86" spans="1:7" x14ac:dyDescent="0.25">
      <c r="A86" s="13" t="s">
        <v>1424</v>
      </c>
      <c r="B86" s="13">
        <v>1683</v>
      </c>
      <c r="C86" s="14" t="str">
        <f>+VLOOKUP(B86,[1]LISTE!$A$1:$D$431,4,FALSE)</f>
        <v>HEDHILI MOHAMED</v>
      </c>
      <c r="D86" s="15" t="s">
        <v>481</v>
      </c>
      <c r="E86" s="15">
        <v>45776</v>
      </c>
      <c r="F86" s="14" t="s">
        <v>24</v>
      </c>
      <c r="G86" s="16">
        <v>80</v>
      </c>
    </row>
    <row r="87" spans="1:7" x14ac:dyDescent="0.25">
      <c r="A87" s="13" t="s">
        <v>1359</v>
      </c>
      <c r="B87" s="13">
        <v>1685</v>
      </c>
      <c r="C87" s="14" t="str">
        <f>+VLOOKUP(B87,[1]LISTE!$A$1:$D$431,4,FALSE)</f>
        <v>MAHJOUB MOHAMED KARIM</v>
      </c>
      <c r="D87" s="15" t="s">
        <v>198</v>
      </c>
      <c r="E87" s="15">
        <v>45776</v>
      </c>
      <c r="F87" s="14" t="s">
        <v>23</v>
      </c>
      <c r="G87" s="16">
        <v>40</v>
      </c>
    </row>
    <row r="88" spans="1:7" x14ac:dyDescent="0.25">
      <c r="A88" s="13" t="s">
        <v>1359</v>
      </c>
      <c r="B88" s="13">
        <v>1685</v>
      </c>
      <c r="C88" s="14" t="str">
        <f>+VLOOKUP(B88,[1]LISTE!$A$1:$D$431,4,FALSE)</f>
        <v>MAHJOUB MOHAMED KARIM</v>
      </c>
      <c r="D88" s="14" t="s">
        <v>198</v>
      </c>
      <c r="E88" s="15">
        <v>45776</v>
      </c>
      <c r="F88" s="14" t="s">
        <v>20</v>
      </c>
      <c r="G88" s="16">
        <v>79.347999999999999</v>
      </c>
    </row>
    <row r="89" spans="1:7" x14ac:dyDescent="0.25">
      <c r="A89" s="13" t="s">
        <v>1425</v>
      </c>
      <c r="B89" s="13">
        <v>1702</v>
      </c>
      <c r="C89" s="14" t="str">
        <f>+VLOOKUP(B89,[1]LISTE!$A$1:$D$431,4,FALSE)</f>
        <v>JAIET WALID</v>
      </c>
      <c r="D89" s="15" t="s">
        <v>1206</v>
      </c>
      <c r="E89" s="15">
        <v>45778</v>
      </c>
      <c r="F89" s="14" t="s">
        <v>18</v>
      </c>
      <c r="G89" s="16">
        <v>70</v>
      </c>
    </row>
    <row r="90" spans="1:7" x14ac:dyDescent="0.25">
      <c r="A90" s="13" t="s">
        <v>1425</v>
      </c>
      <c r="B90" s="13">
        <v>1702</v>
      </c>
      <c r="C90" s="14" t="str">
        <f>+VLOOKUP(B90,[1]LISTE!$A$1:$D$431,4,FALSE)</f>
        <v>JAIET WALID</v>
      </c>
      <c r="D90" s="15" t="s">
        <v>1206</v>
      </c>
      <c r="E90" s="15">
        <v>45778</v>
      </c>
      <c r="F90" s="14" t="s">
        <v>20</v>
      </c>
      <c r="G90" s="16">
        <v>11.365</v>
      </c>
    </row>
    <row r="91" spans="1:7" x14ac:dyDescent="0.25">
      <c r="A91" s="13" t="s">
        <v>1431</v>
      </c>
      <c r="B91" s="13">
        <v>1702</v>
      </c>
      <c r="C91" s="14" t="str">
        <f>+VLOOKUP(B91,[1]LISTE!$A$1:$D$431,4,FALSE)</f>
        <v>JAIET WALID</v>
      </c>
      <c r="D91" s="14" t="s">
        <v>298</v>
      </c>
      <c r="E91" s="15">
        <v>45786</v>
      </c>
      <c r="F91" s="14" t="s">
        <v>23</v>
      </c>
      <c r="G91" s="16">
        <v>45</v>
      </c>
    </row>
    <row r="92" spans="1:7" x14ac:dyDescent="0.25">
      <c r="A92" s="13" t="s">
        <v>1431</v>
      </c>
      <c r="B92" s="13">
        <v>1702</v>
      </c>
      <c r="C92" s="14" t="str">
        <f>+VLOOKUP(B92,[1]LISTE!$A$1:$D$431,4,FALSE)</f>
        <v>JAIET WALID</v>
      </c>
      <c r="D92" s="14" t="s">
        <v>298</v>
      </c>
      <c r="E92" s="15">
        <v>45786</v>
      </c>
      <c r="F92" s="14" t="s">
        <v>20</v>
      </c>
      <c r="G92" s="16">
        <v>91.364999999999995</v>
      </c>
    </row>
    <row r="93" spans="1:7" x14ac:dyDescent="0.25">
      <c r="A93" s="13" t="s">
        <v>1416</v>
      </c>
      <c r="B93" s="13">
        <v>1704</v>
      </c>
      <c r="C93" s="14" t="str">
        <f>+VLOOKUP(B93,[1]LISTE!$A$1:$D$431,4,FALSE)</f>
        <v>EL GAZZAH RIADH</v>
      </c>
      <c r="D93" s="15" t="s">
        <v>22</v>
      </c>
      <c r="E93" s="15">
        <v>45779</v>
      </c>
      <c r="F93" s="14" t="s">
        <v>18</v>
      </c>
      <c r="G93" s="16">
        <v>40</v>
      </c>
    </row>
    <row r="94" spans="1:7" x14ac:dyDescent="0.25">
      <c r="A94" s="13" t="s">
        <v>1416</v>
      </c>
      <c r="B94" s="13">
        <v>1704</v>
      </c>
      <c r="C94" s="14" t="str">
        <f>+VLOOKUP(B94,[1]LISTE!$A$1:$D$431,4,FALSE)</f>
        <v>EL GAZZAH RIADH</v>
      </c>
      <c r="D94" s="14" t="s">
        <v>22</v>
      </c>
      <c r="E94" s="15">
        <v>45779</v>
      </c>
      <c r="F94" s="14" t="s">
        <v>20</v>
      </c>
      <c r="G94" s="16">
        <v>166.91399999999999</v>
      </c>
    </row>
    <row r="95" spans="1:7" x14ac:dyDescent="0.25">
      <c r="A95" s="13" t="s">
        <v>1364</v>
      </c>
      <c r="B95" s="13">
        <v>1728</v>
      </c>
      <c r="C95" s="14" t="str">
        <f>+VLOOKUP(B95,[1]LISTE!$A$1:$D$431,4,FALSE)</f>
        <v>SLAMA DHAFER</v>
      </c>
      <c r="D95" s="14" t="s">
        <v>1365</v>
      </c>
      <c r="E95" s="15">
        <v>45776</v>
      </c>
      <c r="F95" s="14" t="s">
        <v>18</v>
      </c>
      <c r="G95" s="16">
        <v>70</v>
      </c>
    </row>
    <row r="96" spans="1:7" x14ac:dyDescent="0.25">
      <c r="A96" s="13" t="s">
        <v>1364</v>
      </c>
      <c r="B96" s="13">
        <v>1728</v>
      </c>
      <c r="C96" s="14" t="str">
        <f>+VLOOKUP(B96,[1]LISTE!$A$1:$D$431,4,FALSE)</f>
        <v>SLAMA DHAFER</v>
      </c>
      <c r="D96" s="15" t="s">
        <v>1365</v>
      </c>
      <c r="E96" s="15">
        <v>45776</v>
      </c>
      <c r="F96" s="14" t="s">
        <v>363</v>
      </c>
      <c r="G96" s="16">
        <v>600</v>
      </c>
    </row>
    <row r="97" spans="1:7" x14ac:dyDescent="0.25">
      <c r="A97" s="13" t="s">
        <v>1364</v>
      </c>
      <c r="B97" s="13">
        <v>1728</v>
      </c>
      <c r="C97" s="14" t="str">
        <f>+VLOOKUP(B97,[1]LISTE!$A$1:$D$431,4,FALSE)</f>
        <v>SLAMA DHAFER</v>
      </c>
      <c r="D97" s="15" t="s">
        <v>1365</v>
      </c>
      <c r="E97" s="15">
        <v>45776</v>
      </c>
      <c r="F97" s="14" t="s">
        <v>20</v>
      </c>
      <c r="G97" s="16">
        <v>47.392000000000003</v>
      </c>
    </row>
    <row r="98" spans="1:7" x14ac:dyDescent="0.25">
      <c r="A98" s="13" t="s">
        <v>1364</v>
      </c>
      <c r="B98" s="13">
        <v>1728</v>
      </c>
      <c r="C98" s="14" t="str">
        <f>+VLOOKUP(B98,[1]LISTE!$A$1:$D$431,4,FALSE)</f>
        <v>SLAMA DHAFER</v>
      </c>
      <c r="D98" s="14" t="s">
        <v>1365</v>
      </c>
      <c r="E98" s="15">
        <v>45776</v>
      </c>
      <c r="F98" s="14" t="s">
        <v>363</v>
      </c>
      <c r="G98" s="16">
        <v>100</v>
      </c>
    </row>
    <row r="99" spans="1:7" x14ac:dyDescent="0.25">
      <c r="A99" s="13" t="s">
        <v>1364</v>
      </c>
      <c r="B99" s="13">
        <v>1728</v>
      </c>
      <c r="C99" s="14" t="str">
        <f>+VLOOKUP(B99,[1]LISTE!$A$1:$D$431,4,FALSE)</f>
        <v>SLAMA DHAFER</v>
      </c>
      <c r="D99" s="14" t="s">
        <v>1365</v>
      </c>
      <c r="E99" s="15">
        <v>45776</v>
      </c>
      <c r="F99" s="14" t="s">
        <v>364</v>
      </c>
      <c r="G99" s="16">
        <v>322.42399999999998</v>
      </c>
    </row>
    <row r="100" spans="1:7" x14ac:dyDescent="0.25">
      <c r="A100" s="13" t="s">
        <v>1428</v>
      </c>
      <c r="B100" s="13">
        <v>1728</v>
      </c>
      <c r="C100" s="14" t="str">
        <f>+VLOOKUP(B100,[1]LISTE!$A$1:$D$431,4,FALSE)</f>
        <v>SLAMA DHAFER</v>
      </c>
      <c r="D100" s="14" t="s">
        <v>22</v>
      </c>
      <c r="E100" s="15">
        <v>45782</v>
      </c>
      <c r="F100" s="14" t="s">
        <v>18</v>
      </c>
      <c r="G100" s="16">
        <v>70</v>
      </c>
    </row>
    <row r="101" spans="1:7" x14ac:dyDescent="0.25">
      <c r="A101" s="13" t="s">
        <v>1428</v>
      </c>
      <c r="B101" s="13">
        <v>1728</v>
      </c>
      <c r="C101" s="14" t="str">
        <f>+VLOOKUP(B101,[1]LISTE!$A$1:$D$431,4,FALSE)</f>
        <v>SLAMA DHAFER</v>
      </c>
      <c r="D101" s="14" t="s">
        <v>22</v>
      </c>
      <c r="E101" s="15">
        <v>45783</v>
      </c>
      <c r="F101" s="14" t="s">
        <v>21</v>
      </c>
      <c r="G101" s="16">
        <v>160</v>
      </c>
    </row>
    <row r="102" spans="1:7" x14ac:dyDescent="0.25">
      <c r="A102" s="13" t="s">
        <v>1428</v>
      </c>
      <c r="B102" s="13">
        <v>1728</v>
      </c>
      <c r="C102" s="14" t="str">
        <f>+VLOOKUP(B102,[1]LISTE!$A$1:$D$431,4,FALSE)</f>
        <v>SLAMA DHAFER</v>
      </c>
      <c r="D102" s="14" t="s">
        <v>22</v>
      </c>
      <c r="E102" s="15">
        <v>45786</v>
      </c>
      <c r="F102" s="14" t="s">
        <v>69</v>
      </c>
      <c r="G102" s="16">
        <v>590</v>
      </c>
    </row>
    <row r="103" spans="1:7" x14ac:dyDescent="0.25">
      <c r="A103" s="13" t="s">
        <v>1408</v>
      </c>
      <c r="B103" s="13">
        <v>1746</v>
      </c>
      <c r="C103" s="14" t="str">
        <f>+VLOOKUP(B103,[1]LISTE!$A$1:$D$431,4,FALSE)</f>
        <v>BEL ARBIA KAMEL</v>
      </c>
      <c r="D103" s="15" t="s">
        <v>22</v>
      </c>
      <c r="E103" s="15">
        <v>45780</v>
      </c>
      <c r="F103" s="14" t="s">
        <v>23</v>
      </c>
      <c r="G103" s="16">
        <v>40</v>
      </c>
    </row>
    <row r="104" spans="1:7" x14ac:dyDescent="0.25">
      <c r="A104" s="13" t="s">
        <v>1408</v>
      </c>
      <c r="B104" s="13">
        <v>1746</v>
      </c>
      <c r="C104" s="14" t="str">
        <f>+VLOOKUP(B104,[1]LISTE!$A$1:$D$431,4,FALSE)</f>
        <v>BEL ARBIA KAMEL</v>
      </c>
      <c r="D104" s="14" t="s">
        <v>22</v>
      </c>
      <c r="E104" s="15">
        <v>45780</v>
      </c>
      <c r="F104" s="14" t="s">
        <v>20</v>
      </c>
      <c r="G104" s="16">
        <v>3.11</v>
      </c>
    </row>
    <row r="105" spans="1:7" x14ac:dyDescent="0.25">
      <c r="A105" s="13" t="s">
        <v>1408</v>
      </c>
      <c r="B105" s="13">
        <v>1746</v>
      </c>
      <c r="C105" s="14" t="str">
        <f>+VLOOKUP(B105,[1]LISTE!$A$1:$D$431,4,FALSE)</f>
        <v>BEL ARBIA KAMEL</v>
      </c>
      <c r="D105" s="14" t="s">
        <v>22</v>
      </c>
      <c r="E105" s="15">
        <v>45780</v>
      </c>
      <c r="F105" s="14" t="s">
        <v>24</v>
      </c>
      <c r="G105" s="16">
        <v>40</v>
      </c>
    </row>
    <row r="106" spans="1:7" x14ac:dyDescent="0.25">
      <c r="A106" s="13" t="s">
        <v>1352</v>
      </c>
      <c r="B106" s="13">
        <v>1755</v>
      </c>
      <c r="C106" s="14" t="str">
        <f>+VLOOKUP(B106,[1]LISTE!$A$1:$D$431,4,FALSE)</f>
        <v>REJEB NEJIB</v>
      </c>
      <c r="D106" s="15" t="s">
        <v>22</v>
      </c>
      <c r="E106" s="15">
        <v>45770</v>
      </c>
      <c r="F106" s="14" t="s">
        <v>18</v>
      </c>
      <c r="G106" s="16">
        <v>60</v>
      </c>
    </row>
    <row r="107" spans="1:7" x14ac:dyDescent="0.25">
      <c r="A107" s="13" t="s">
        <v>1352</v>
      </c>
      <c r="B107" s="13">
        <v>1755</v>
      </c>
      <c r="C107" s="14" t="str">
        <f>+VLOOKUP(B107,[1]LISTE!$A$1:$D$431,4,FALSE)</f>
        <v>REJEB NEJIB</v>
      </c>
      <c r="D107" s="14" t="s">
        <v>22</v>
      </c>
      <c r="E107" s="15">
        <v>45772</v>
      </c>
      <c r="F107" s="14" t="s">
        <v>20</v>
      </c>
      <c r="G107" s="16">
        <v>57.94</v>
      </c>
    </row>
    <row r="108" spans="1:7" x14ac:dyDescent="0.25">
      <c r="A108" s="13" t="s">
        <v>1352</v>
      </c>
      <c r="B108" s="13">
        <v>1755</v>
      </c>
      <c r="C108" s="14" t="str">
        <f>+VLOOKUP(B108,[1]LISTE!$A$1:$D$431,4,FALSE)</f>
        <v>REJEB NEJIB</v>
      </c>
      <c r="D108" s="15" t="s">
        <v>22</v>
      </c>
      <c r="E108" s="15">
        <v>45771</v>
      </c>
      <c r="F108" s="14" t="s">
        <v>21</v>
      </c>
      <c r="G108" s="16">
        <v>90</v>
      </c>
    </row>
    <row r="109" spans="1:7" x14ac:dyDescent="0.25">
      <c r="A109" s="13" t="s">
        <v>1358</v>
      </c>
      <c r="B109" s="13">
        <v>1764</v>
      </c>
      <c r="C109" s="14" t="str">
        <f>+VLOOKUP(B109,[1]LISTE!$A$1:$D$431,4,FALSE)</f>
        <v>RBEH MAHMOUD</v>
      </c>
      <c r="D109" s="14" t="s">
        <v>54</v>
      </c>
      <c r="E109" s="15">
        <v>45772</v>
      </c>
      <c r="F109" s="14" t="s">
        <v>18</v>
      </c>
      <c r="G109" s="16">
        <v>60</v>
      </c>
    </row>
    <row r="110" spans="1:7" x14ac:dyDescent="0.25">
      <c r="A110" s="13" t="s">
        <v>1389</v>
      </c>
      <c r="B110" s="13">
        <v>1768</v>
      </c>
      <c r="C110" s="14" t="str">
        <f>+VLOOKUP(B110,[1]LISTE!$A$1:$D$431,4,FALSE)</f>
        <v>LADJIMI MAHER</v>
      </c>
      <c r="D110" s="14" t="s">
        <v>455</v>
      </c>
      <c r="E110" s="15">
        <v>45779</v>
      </c>
      <c r="F110" s="14" t="s">
        <v>18</v>
      </c>
      <c r="G110" s="16">
        <v>80</v>
      </c>
    </row>
    <row r="111" spans="1:7" x14ac:dyDescent="0.25">
      <c r="A111" s="13" t="s">
        <v>1389</v>
      </c>
      <c r="B111" s="13">
        <v>1768</v>
      </c>
      <c r="C111" s="14" t="str">
        <f>+VLOOKUP(B111,[1]LISTE!$A$1:$D$431,4,FALSE)</f>
        <v>LADJIMI MAHER</v>
      </c>
      <c r="D111" s="14" t="s">
        <v>455</v>
      </c>
      <c r="E111" s="15">
        <v>45779</v>
      </c>
      <c r="F111" s="14" t="s">
        <v>20</v>
      </c>
      <c r="G111" s="16">
        <v>95.11</v>
      </c>
    </row>
    <row r="112" spans="1:7" x14ac:dyDescent="0.25">
      <c r="A112" s="13" t="s">
        <v>1389</v>
      </c>
      <c r="B112" s="13">
        <v>1768</v>
      </c>
      <c r="C112" s="14" t="str">
        <f>+VLOOKUP(B112,[1]LISTE!$A$1:$D$431,4,FALSE)</f>
        <v>LADJIMI MAHER</v>
      </c>
      <c r="D112" s="15" t="s">
        <v>455</v>
      </c>
      <c r="E112" s="15">
        <v>45779</v>
      </c>
      <c r="F112" s="14" t="s">
        <v>20</v>
      </c>
      <c r="G112" s="16">
        <v>112.59399999999999</v>
      </c>
    </row>
    <row r="113" spans="1:7" x14ac:dyDescent="0.25">
      <c r="A113" s="13" t="s">
        <v>1411</v>
      </c>
      <c r="B113" s="13">
        <v>1768</v>
      </c>
      <c r="C113" s="14" t="str">
        <f>+VLOOKUP(B113,[1]LISTE!$A$1:$D$431,4,FALSE)</f>
        <v>LADJIMI MAHER</v>
      </c>
      <c r="D113" s="15" t="s">
        <v>22</v>
      </c>
      <c r="E113" s="15">
        <v>45783</v>
      </c>
      <c r="F113" s="14" t="s">
        <v>18</v>
      </c>
      <c r="G113" s="16">
        <v>30</v>
      </c>
    </row>
    <row r="114" spans="1:7" x14ac:dyDescent="0.25">
      <c r="A114" s="13" t="s">
        <v>1411</v>
      </c>
      <c r="B114" s="13">
        <v>1768</v>
      </c>
      <c r="C114" s="14" t="str">
        <f>+VLOOKUP(B114,[1]LISTE!$A$1:$D$431,4,FALSE)</f>
        <v>LADJIMI MAHER</v>
      </c>
      <c r="D114" s="15" t="s">
        <v>22</v>
      </c>
      <c r="E114" s="15">
        <v>45783</v>
      </c>
      <c r="F114" s="14" t="s">
        <v>20</v>
      </c>
      <c r="G114" s="16">
        <v>63.152000000000001</v>
      </c>
    </row>
    <row r="115" spans="1:7" x14ac:dyDescent="0.25">
      <c r="A115" s="13" t="s">
        <v>1411</v>
      </c>
      <c r="B115" s="13">
        <v>1768</v>
      </c>
      <c r="C115" s="14" t="str">
        <f>+VLOOKUP(B115,[1]LISTE!$A$1:$D$431,4,FALSE)</f>
        <v>LADJIMI MAHER</v>
      </c>
      <c r="D115" s="14" t="s">
        <v>22</v>
      </c>
      <c r="E115" s="15">
        <v>45783</v>
      </c>
      <c r="F115" s="14" t="s">
        <v>20</v>
      </c>
      <c r="G115" s="16">
        <v>141.72</v>
      </c>
    </row>
    <row r="116" spans="1:7" x14ac:dyDescent="0.25">
      <c r="A116" s="13" t="s">
        <v>1363</v>
      </c>
      <c r="B116" s="13">
        <v>1773</v>
      </c>
      <c r="C116" s="14" t="str">
        <f>+VLOOKUP(B116,[1]LISTE!$A$1:$D$431,4,FALSE)</f>
        <v>GAIEB SAMI</v>
      </c>
      <c r="D116" s="15" t="s">
        <v>22</v>
      </c>
      <c r="E116" s="15">
        <v>45707</v>
      </c>
      <c r="F116" s="14" t="s">
        <v>18</v>
      </c>
      <c r="G116" s="16">
        <v>60</v>
      </c>
    </row>
    <row r="117" spans="1:7" x14ac:dyDescent="0.25">
      <c r="A117" s="13" t="s">
        <v>1363</v>
      </c>
      <c r="B117" s="13">
        <v>1773</v>
      </c>
      <c r="C117" s="14" t="str">
        <f>+VLOOKUP(B117,[1]LISTE!$A$1:$D$431,4,FALSE)</f>
        <v>GAIEB SAMI</v>
      </c>
      <c r="D117" s="14" t="s">
        <v>22</v>
      </c>
      <c r="E117" s="15">
        <v>45707</v>
      </c>
      <c r="F117" s="14" t="s">
        <v>21</v>
      </c>
      <c r="G117" s="16">
        <v>70</v>
      </c>
    </row>
    <row r="118" spans="1:7" x14ac:dyDescent="0.25">
      <c r="A118" s="13" t="s">
        <v>1426</v>
      </c>
      <c r="B118" s="13">
        <v>1784</v>
      </c>
      <c r="C118" s="14" t="str">
        <f>+VLOOKUP(B118,[1]LISTE!$A$1:$D$431,4,FALSE)</f>
        <v>LAYOUNI KHALED</v>
      </c>
      <c r="D118" s="14" t="s">
        <v>421</v>
      </c>
      <c r="E118" s="15">
        <v>45777</v>
      </c>
      <c r="F118" s="14" t="s">
        <v>23</v>
      </c>
      <c r="G118" s="16">
        <v>3</v>
      </c>
    </row>
    <row r="119" spans="1:7" x14ac:dyDescent="0.25">
      <c r="A119" s="13" t="s">
        <v>1426</v>
      </c>
      <c r="B119" s="13">
        <v>1784</v>
      </c>
      <c r="C119" s="14" t="str">
        <f>+VLOOKUP(B119,[1]LISTE!$A$1:$D$431,4,FALSE)</f>
        <v>LAYOUNI KHALED</v>
      </c>
      <c r="D119" s="14" t="s">
        <v>421</v>
      </c>
      <c r="E119" s="15">
        <v>45777</v>
      </c>
      <c r="F119" s="14" t="s">
        <v>21</v>
      </c>
      <c r="G119" s="16">
        <v>7.5</v>
      </c>
    </row>
    <row r="120" spans="1:7" x14ac:dyDescent="0.25">
      <c r="A120" s="13" t="s">
        <v>1426</v>
      </c>
      <c r="B120" s="13">
        <v>1784</v>
      </c>
      <c r="C120" s="14" t="str">
        <f>+VLOOKUP(B120,[1]LISTE!$A$1:$D$431,4,FALSE)</f>
        <v>LAYOUNI KHALED</v>
      </c>
      <c r="D120" s="14" t="s">
        <v>421</v>
      </c>
      <c r="E120" s="15">
        <v>45777</v>
      </c>
      <c r="F120" s="14" t="s">
        <v>20</v>
      </c>
      <c r="G120" s="16">
        <v>36.628999999999998</v>
      </c>
    </row>
    <row r="121" spans="1:7" x14ac:dyDescent="0.25">
      <c r="A121" s="13" t="s">
        <v>1426</v>
      </c>
      <c r="B121" s="13">
        <v>1784</v>
      </c>
      <c r="C121" s="14" t="str">
        <f>+VLOOKUP(B121,[1]LISTE!$A$1:$D$431,4,FALSE)</f>
        <v>LAYOUNI KHALED</v>
      </c>
      <c r="D121" s="15" t="s">
        <v>421</v>
      </c>
      <c r="E121" s="15">
        <v>45784</v>
      </c>
      <c r="F121" s="14" t="s">
        <v>19</v>
      </c>
      <c r="G121" s="16">
        <v>42.8</v>
      </c>
    </row>
    <row r="122" spans="1:7" x14ac:dyDescent="0.25">
      <c r="A122" s="13" t="s">
        <v>1339</v>
      </c>
      <c r="B122" s="13">
        <v>1785</v>
      </c>
      <c r="C122" s="14" t="s">
        <v>625</v>
      </c>
      <c r="D122" s="14" t="s">
        <v>1340</v>
      </c>
      <c r="E122" s="15">
        <v>45768</v>
      </c>
      <c r="F122" s="14" t="s">
        <v>23</v>
      </c>
      <c r="G122" s="16">
        <v>50</v>
      </c>
    </row>
    <row r="123" spans="1:7" x14ac:dyDescent="0.25">
      <c r="A123" s="13" t="s">
        <v>1339</v>
      </c>
      <c r="B123" s="13">
        <v>1785</v>
      </c>
      <c r="C123" s="14" t="s">
        <v>625</v>
      </c>
      <c r="D123" s="14" t="s">
        <v>1340</v>
      </c>
      <c r="E123" s="15">
        <v>45768</v>
      </c>
      <c r="F123" s="14" t="s">
        <v>20</v>
      </c>
      <c r="G123" s="16">
        <v>26.266999999999999</v>
      </c>
    </row>
    <row r="124" spans="1:7" x14ac:dyDescent="0.25">
      <c r="A124" s="13" t="s">
        <v>1350</v>
      </c>
      <c r="B124" s="13">
        <v>1789</v>
      </c>
      <c r="C124" s="14" t="str">
        <f>+VLOOKUP(B124,[1]LISTE!$A$1:$D$431,4,FALSE)</f>
        <v>CHIHI MOHAMED SALAH</v>
      </c>
      <c r="D124" s="14" t="s">
        <v>37</v>
      </c>
      <c r="E124" s="15">
        <v>45773</v>
      </c>
      <c r="F124" s="14" t="s">
        <v>23</v>
      </c>
      <c r="G124" s="16">
        <v>1.5</v>
      </c>
    </row>
    <row r="125" spans="1:7" x14ac:dyDescent="0.25">
      <c r="A125" s="13" t="s">
        <v>1350</v>
      </c>
      <c r="B125" s="13">
        <v>1789</v>
      </c>
      <c r="C125" s="14" t="str">
        <f>+VLOOKUP(B125,[1]LISTE!$A$1:$D$431,4,FALSE)</f>
        <v>CHIHI MOHAMED SALAH</v>
      </c>
      <c r="D125" s="14" t="s">
        <v>37</v>
      </c>
      <c r="E125" s="15">
        <v>45773</v>
      </c>
      <c r="F125" s="14" t="s">
        <v>20</v>
      </c>
      <c r="G125" s="16">
        <v>112.411</v>
      </c>
    </row>
    <row r="126" spans="1:7" x14ac:dyDescent="0.25">
      <c r="A126" s="13" t="s">
        <v>1413</v>
      </c>
      <c r="B126" s="13">
        <v>1789</v>
      </c>
      <c r="C126" s="14" t="str">
        <f>+VLOOKUP(B126,[1]LISTE!$A$1:$D$431,4,FALSE)</f>
        <v>CHIHI MOHAMED SALAH</v>
      </c>
      <c r="D126" s="14" t="s">
        <v>22</v>
      </c>
      <c r="E126" s="15">
        <v>45784</v>
      </c>
      <c r="F126" s="14" t="s">
        <v>20</v>
      </c>
      <c r="G126" s="16">
        <v>44.781999999999996</v>
      </c>
    </row>
    <row r="127" spans="1:7" x14ac:dyDescent="0.25">
      <c r="A127" s="13" t="s">
        <v>1394</v>
      </c>
      <c r="B127" s="13">
        <v>1795</v>
      </c>
      <c r="C127" s="14" t="str">
        <f>+VLOOKUP(B127,[1]LISTE!$A$1:$D$431,4,FALSE)</f>
        <v>SOUA MOHAMED</v>
      </c>
      <c r="D127" s="14" t="s">
        <v>22</v>
      </c>
      <c r="E127" s="15">
        <v>45775</v>
      </c>
      <c r="F127" s="14" t="s">
        <v>18</v>
      </c>
      <c r="G127" s="16">
        <v>70</v>
      </c>
    </row>
    <row r="128" spans="1:7" x14ac:dyDescent="0.25">
      <c r="A128" s="13" t="s">
        <v>1394</v>
      </c>
      <c r="B128" s="13">
        <v>1795</v>
      </c>
      <c r="C128" s="14" t="str">
        <f>+VLOOKUP(B128,[1]LISTE!$A$1:$D$431,4,FALSE)</f>
        <v>SOUA MOHAMED</v>
      </c>
      <c r="D128" s="14" t="s">
        <v>22</v>
      </c>
      <c r="E128" s="15">
        <v>45775</v>
      </c>
      <c r="F128" s="14" t="s">
        <v>20</v>
      </c>
      <c r="G128" s="16">
        <v>55.1</v>
      </c>
    </row>
    <row r="129" spans="1:7" x14ac:dyDescent="0.25">
      <c r="A129" s="13" t="s">
        <v>1394</v>
      </c>
      <c r="B129" s="13">
        <v>1795</v>
      </c>
      <c r="C129" s="14" t="str">
        <f>+VLOOKUP(B129,[1]LISTE!$A$1:$D$431,4,FALSE)</f>
        <v>SOUA MOHAMED</v>
      </c>
      <c r="D129" s="14" t="s">
        <v>22</v>
      </c>
      <c r="E129" s="15">
        <v>45779</v>
      </c>
      <c r="F129" s="14" t="s">
        <v>19</v>
      </c>
      <c r="G129" s="16">
        <v>66</v>
      </c>
    </row>
    <row r="130" spans="1:7" x14ac:dyDescent="0.25">
      <c r="A130" s="13" t="s">
        <v>1366</v>
      </c>
      <c r="B130" s="13">
        <v>1800</v>
      </c>
      <c r="C130" s="14" t="str">
        <f>+VLOOKUP(B130,[1]LISTE!$A$1:$D$431,4,FALSE)</f>
        <v>BEN CHAOUACHA WAHIB</v>
      </c>
      <c r="D130" s="15" t="s">
        <v>221</v>
      </c>
      <c r="E130" s="15">
        <v>45751</v>
      </c>
      <c r="F130" s="14" t="s">
        <v>23</v>
      </c>
      <c r="G130" s="16">
        <v>40</v>
      </c>
    </row>
    <row r="131" spans="1:7" x14ac:dyDescent="0.25">
      <c r="A131" s="13" t="s">
        <v>1366</v>
      </c>
      <c r="B131" s="13">
        <v>1800</v>
      </c>
      <c r="C131" s="14" t="str">
        <f>+VLOOKUP(B131,[1]LISTE!$A$1:$D$431,4,FALSE)</f>
        <v>BEN CHAOUACHA WAHIB</v>
      </c>
      <c r="D131" s="14" t="s">
        <v>221</v>
      </c>
      <c r="E131" s="15">
        <v>45751</v>
      </c>
      <c r="F131" s="14" t="s">
        <v>20</v>
      </c>
      <c r="G131" s="16">
        <v>46.988999999999997</v>
      </c>
    </row>
    <row r="132" spans="1:7" x14ac:dyDescent="0.25">
      <c r="A132" s="13" t="s">
        <v>1366</v>
      </c>
      <c r="B132" s="13">
        <v>1800</v>
      </c>
      <c r="C132" s="14" t="str">
        <f>+VLOOKUP(B132,[1]LISTE!$A$1:$D$431,4,FALSE)</f>
        <v>BEN CHAOUACHA WAHIB</v>
      </c>
      <c r="D132" s="14" t="s">
        <v>221</v>
      </c>
      <c r="E132" s="15">
        <v>45751</v>
      </c>
      <c r="F132" s="14" t="s">
        <v>21</v>
      </c>
      <c r="G132" s="16">
        <v>80</v>
      </c>
    </row>
    <row r="133" spans="1:7" x14ac:dyDescent="0.25">
      <c r="A133" s="13" t="s">
        <v>1333</v>
      </c>
      <c r="B133" s="13">
        <v>1801</v>
      </c>
      <c r="C133" s="14" t="str">
        <f>+VLOOKUP(B133,[1]LISTE!$A$1:$D$431,4,FALSE)</f>
        <v>MAHJOUB MOHAMED</v>
      </c>
      <c r="D133" s="15" t="s">
        <v>153</v>
      </c>
      <c r="E133" s="15">
        <v>45757</v>
      </c>
      <c r="F133" s="14" t="s">
        <v>18</v>
      </c>
      <c r="G133" s="16">
        <v>70</v>
      </c>
    </row>
    <row r="134" spans="1:7" x14ac:dyDescent="0.25">
      <c r="A134" s="13" t="s">
        <v>1333</v>
      </c>
      <c r="B134" s="13">
        <v>1801</v>
      </c>
      <c r="C134" s="14" t="str">
        <f>+VLOOKUP(B134,[1]LISTE!$A$1:$D$431,4,FALSE)</f>
        <v>MAHJOUB MOHAMED</v>
      </c>
      <c r="D134" s="15" t="s">
        <v>153</v>
      </c>
      <c r="E134" s="15">
        <v>45758</v>
      </c>
      <c r="F134" s="14" t="s">
        <v>20</v>
      </c>
      <c r="G134" s="16">
        <v>26.373999999999999</v>
      </c>
    </row>
    <row r="135" spans="1:7" x14ac:dyDescent="0.25">
      <c r="A135" s="13" t="s">
        <v>1333</v>
      </c>
      <c r="B135" s="13">
        <v>1801</v>
      </c>
      <c r="C135" s="14" t="str">
        <f>+VLOOKUP(B135,[1]LISTE!$A$1:$D$431,4,FALSE)</f>
        <v>MAHJOUB MOHAMED</v>
      </c>
      <c r="D135" s="14" t="s">
        <v>153</v>
      </c>
      <c r="E135" s="15">
        <v>45758</v>
      </c>
      <c r="F135" s="14" t="s">
        <v>21</v>
      </c>
      <c r="G135" s="16">
        <v>60</v>
      </c>
    </row>
    <row r="136" spans="1:7" x14ac:dyDescent="0.25">
      <c r="A136" s="13" t="s">
        <v>1333</v>
      </c>
      <c r="B136" s="13">
        <v>1801</v>
      </c>
      <c r="C136" s="14" t="str">
        <f>+VLOOKUP(B136,[1]LISTE!$A$1:$D$431,4,FALSE)</f>
        <v>MAHJOUB MOHAMED</v>
      </c>
      <c r="D136" s="15" t="s">
        <v>153</v>
      </c>
      <c r="E136" s="15">
        <v>45759</v>
      </c>
      <c r="F136" s="14" t="s">
        <v>69</v>
      </c>
      <c r="G136" s="16">
        <v>120</v>
      </c>
    </row>
    <row r="137" spans="1:7" x14ac:dyDescent="0.25">
      <c r="A137" s="13" t="s">
        <v>1349</v>
      </c>
      <c r="B137" s="13">
        <v>1809</v>
      </c>
      <c r="C137" s="14" t="str">
        <f>+VLOOKUP(B137,[1]LISTE!$A$1:$D$431,4,FALSE)</f>
        <v>JUILI AFIF</v>
      </c>
      <c r="D137" s="14" t="s">
        <v>200</v>
      </c>
      <c r="E137" s="15">
        <v>45773</v>
      </c>
      <c r="F137" s="14" t="s">
        <v>363</v>
      </c>
      <c r="G137" s="16">
        <v>1000</v>
      </c>
    </row>
    <row r="138" spans="1:7" x14ac:dyDescent="0.25">
      <c r="A138" s="13" t="s">
        <v>1349</v>
      </c>
      <c r="B138" s="13">
        <v>1809</v>
      </c>
      <c r="C138" s="14" t="str">
        <f>+VLOOKUP(B138,[1]LISTE!$A$1:$D$431,4,FALSE)</f>
        <v>JUILI AFIF</v>
      </c>
      <c r="D138" s="15" t="s">
        <v>200</v>
      </c>
      <c r="E138" s="15">
        <v>45773</v>
      </c>
      <c r="F138" s="14" t="s">
        <v>363</v>
      </c>
      <c r="G138" s="16">
        <v>240</v>
      </c>
    </row>
    <row r="139" spans="1:7" x14ac:dyDescent="0.25">
      <c r="A139" s="13" t="s">
        <v>1349</v>
      </c>
      <c r="B139" s="13">
        <v>1809</v>
      </c>
      <c r="C139" s="14" t="str">
        <f>+VLOOKUP(B139,[1]LISTE!$A$1:$D$431,4,FALSE)</f>
        <v>JUILI AFIF</v>
      </c>
      <c r="D139" s="15" t="s">
        <v>200</v>
      </c>
      <c r="E139" s="15">
        <v>45773</v>
      </c>
      <c r="F139" s="14" t="s">
        <v>364</v>
      </c>
      <c r="G139" s="16">
        <v>1016.304</v>
      </c>
    </row>
    <row r="140" spans="1:7" x14ac:dyDescent="0.25">
      <c r="A140" s="13" t="s">
        <v>1407</v>
      </c>
      <c r="B140" s="13">
        <v>1815</v>
      </c>
      <c r="C140" s="14" t="str">
        <f>+VLOOKUP(B140,[1]LISTE!$A$1:$D$431,4,FALSE)</f>
        <v>KHEDIMI IMED</v>
      </c>
      <c r="D140" s="14" t="s">
        <v>79</v>
      </c>
      <c r="E140" s="15">
        <v>45769</v>
      </c>
      <c r="F140" s="14" t="s">
        <v>18</v>
      </c>
      <c r="G140" s="16">
        <v>70</v>
      </c>
    </row>
    <row r="141" spans="1:7" x14ac:dyDescent="0.25">
      <c r="A141" s="13" t="s">
        <v>1407</v>
      </c>
      <c r="B141" s="13">
        <v>1815</v>
      </c>
      <c r="C141" s="14" t="str">
        <f>+VLOOKUP(B141,[1]LISTE!$A$1:$D$431,4,FALSE)</f>
        <v>KHEDIMI IMED</v>
      </c>
      <c r="D141" s="15" t="s">
        <v>79</v>
      </c>
      <c r="E141" s="15">
        <v>45769</v>
      </c>
      <c r="F141" s="14" t="s">
        <v>20</v>
      </c>
      <c r="G141" s="16">
        <v>6.9</v>
      </c>
    </row>
    <row r="142" spans="1:7" x14ac:dyDescent="0.25">
      <c r="A142" s="13" t="s">
        <v>1407</v>
      </c>
      <c r="B142" s="13">
        <v>1815</v>
      </c>
      <c r="C142" s="14" t="str">
        <f>+VLOOKUP(B142,[1]LISTE!$A$1:$D$431,4,FALSE)</f>
        <v>KHEDIMI IMED</v>
      </c>
      <c r="D142" s="15" t="s">
        <v>79</v>
      </c>
      <c r="E142" s="15">
        <v>45782</v>
      </c>
      <c r="F142" s="14" t="s">
        <v>69</v>
      </c>
      <c r="G142" s="16">
        <v>391</v>
      </c>
    </row>
    <row r="143" spans="1:7" x14ac:dyDescent="0.25">
      <c r="A143" s="13" t="s">
        <v>1371</v>
      </c>
      <c r="B143" s="13">
        <v>1819</v>
      </c>
      <c r="C143" s="14" t="str">
        <f>+VLOOKUP(B143,[1]LISTE!$A$1:$D$431,4,FALSE)</f>
        <v>SASSI MOHAMED WALID</v>
      </c>
      <c r="D143" s="15" t="s">
        <v>486</v>
      </c>
      <c r="E143" s="15">
        <v>45772</v>
      </c>
      <c r="F143" s="14" t="s">
        <v>23</v>
      </c>
      <c r="G143" s="16">
        <v>45</v>
      </c>
    </row>
    <row r="144" spans="1:7" x14ac:dyDescent="0.25">
      <c r="A144" s="13" t="s">
        <v>1371</v>
      </c>
      <c r="B144" s="13">
        <v>1819</v>
      </c>
      <c r="C144" s="14" t="str">
        <f>+VLOOKUP(B144,[1]LISTE!$A$1:$D$431,4,FALSE)</f>
        <v>SASSI MOHAMED WALID</v>
      </c>
      <c r="D144" s="14" t="s">
        <v>486</v>
      </c>
      <c r="E144" s="15">
        <v>45772</v>
      </c>
      <c r="F144" s="14" t="s">
        <v>20</v>
      </c>
      <c r="G144" s="16">
        <v>35.264000000000003</v>
      </c>
    </row>
    <row r="145" spans="1:7" x14ac:dyDescent="0.25">
      <c r="A145" s="13" t="s">
        <v>1371</v>
      </c>
      <c r="B145" s="13">
        <v>1819</v>
      </c>
      <c r="C145" s="14" t="str">
        <f>+VLOOKUP(B145,[1]LISTE!$A$1:$D$431,4,FALSE)</f>
        <v>SASSI MOHAMED WALID</v>
      </c>
      <c r="D145" s="14" t="s">
        <v>486</v>
      </c>
      <c r="E145" s="15">
        <v>45772</v>
      </c>
      <c r="F145" s="14" t="s">
        <v>19</v>
      </c>
      <c r="G145" s="16">
        <v>109.461</v>
      </c>
    </row>
    <row r="146" spans="1:7" x14ac:dyDescent="0.25">
      <c r="A146" s="13" t="s">
        <v>1372</v>
      </c>
      <c r="B146" s="13">
        <v>1819</v>
      </c>
      <c r="C146" s="14" t="str">
        <f>+VLOOKUP(B146,[1]LISTE!$A$1:$D$431,4,FALSE)</f>
        <v>SASSI MOHAMED WALID</v>
      </c>
      <c r="D146" s="14" t="s">
        <v>22</v>
      </c>
      <c r="E146" s="15">
        <v>45769</v>
      </c>
      <c r="F146" s="14" t="s">
        <v>23</v>
      </c>
      <c r="G146" s="16">
        <v>10</v>
      </c>
    </row>
    <row r="147" spans="1:7" x14ac:dyDescent="0.25">
      <c r="A147" s="13" t="s">
        <v>1346</v>
      </c>
      <c r="B147" s="13">
        <v>1824</v>
      </c>
      <c r="C147" s="14" t="str">
        <f>+VLOOKUP(B147,[1]LISTE!$A$1:$D$431,4,FALSE)</f>
        <v>ESSAFI BECHIR</v>
      </c>
      <c r="D147" s="14" t="s">
        <v>71</v>
      </c>
      <c r="E147" s="15">
        <v>45768</v>
      </c>
      <c r="F147" s="14" t="s">
        <v>18</v>
      </c>
      <c r="G147" s="16">
        <v>70</v>
      </c>
    </row>
    <row r="148" spans="1:7" x14ac:dyDescent="0.25">
      <c r="A148" s="13" t="s">
        <v>1346</v>
      </c>
      <c r="B148" s="13">
        <v>1824</v>
      </c>
      <c r="C148" s="14" t="str">
        <f>+VLOOKUP(B148,[1]LISTE!$A$1:$D$431,4,FALSE)</f>
        <v>ESSAFI BECHIR</v>
      </c>
      <c r="D148" s="15" t="s">
        <v>71</v>
      </c>
      <c r="E148" s="15">
        <v>45768</v>
      </c>
      <c r="F148" s="14" t="s">
        <v>20</v>
      </c>
      <c r="G148" s="16">
        <v>4.9000000000000004</v>
      </c>
    </row>
    <row r="149" spans="1:7" x14ac:dyDescent="0.25">
      <c r="A149" s="13" t="s">
        <v>1422</v>
      </c>
      <c r="B149" s="13">
        <v>1827</v>
      </c>
      <c r="C149" s="14" t="str">
        <f>+VLOOKUP(B149,[1]LISTE!$A$1:$D$431,4,FALSE)</f>
        <v>CHTIOUI HAMADI</v>
      </c>
      <c r="D149" s="15" t="s">
        <v>394</v>
      </c>
      <c r="E149" s="15">
        <v>45775</v>
      </c>
      <c r="F149" s="14" t="s">
        <v>21</v>
      </c>
      <c r="G149" s="16">
        <v>90</v>
      </c>
    </row>
    <row r="150" spans="1:7" x14ac:dyDescent="0.25">
      <c r="A150" s="13" t="s">
        <v>1382</v>
      </c>
      <c r="B150" s="13">
        <v>1831</v>
      </c>
      <c r="C150" s="14" t="str">
        <f>+VLOOKUP(B150,[1]LISTE!$A$1:$D$431,4,FALSE)</f>
        <v>KEMIMECH MOHAMED BEN MOHAMED</v>
      </c>
      <c r="D150" s="14" t="s">
        <v>1383</v>
      </c>
      <c r="E150" s="15">
        <v>45767</v>
      </c>
      <c r="F150" s="14" t="s">
        <v>23</v>
      </c>
      <c r="G150" s="16">
        <v>3</v>
      </c>
    </row>
    <row r="151" spans="1:7" x14ac:dyDescent="0.25">
      <c r="A151" s="13" t="s">
        <v>1382</v>
      </c>
      <c r="B151" s="13">
        <v>1831</v>
      </c>
      <c r="C151" s="14" t="str">
        <f>+VLOOKUP(B151,[1]LISTE!$A$1:$D$431,4,FALSE)</f>
        <v>KEMIMECH MOHAMED BEN MOHAMED</v>
      </c>
      <c r="D151" s="14" t="s">
        <v>1383</v>
      </c>
      <c r="E151" s="15">
        <v>45767</v>
      </c>
      <c r="F151" s="14" t="s">
        <v>20</v>
      </c>
      <c r="G151" s="16">
        <v>24.873999999999999</v>
      </c>
    </row>
    <row r="152" spans="1:7" x14ac:dyDescent="0.25">
      <c r="A152" s="13" t="s">
        <v>1376</v>
      </c>
      <c r="B152" s="13">
        <v>1836</v>
      </c>
      <c r="C152" s="14" t="str">
        <f>+VLOOKUP(B152,[1]LISTE!$A$1:$D$431,4,FALSE)</f>
        <v>BEN KALIA LOTFI</v>
      </c>
      <c r="D152" s="14" t="s">
        <v>22</v>
      </c>
      <c r="E152" s="15">
        <v>45777</v>
      </c>
      <c r="F152" s="14" t="s">
        <v>18</v>
      </c>
      <c r="G152" s="16">
        <v>70</v>
      </c>
    </row>
    <row r="153" spans="1:7" x14ac:dyDescent="0.25">
      <c r="A153" s="13" t="s">
        <v>1376</v>
      </c>
      <c r="B153" s="13">
        <v>1836</v>
      </c>
      <c r="C153" s="14" t="str">
        <f>+VLOOKUP(B153,[1]LISTE!$A$1:$D$431,4,FALSE)</f>
        <v>BEN KALIA LOTFI</v>
      </c>
      <c r="D153" s="15" t="s">
        <v>22</v>
      </c>
      <c r="E153" s="15">
        <v>45777</v>
      </c>
      <c r="F153" s="14" t="s">
        <v>20</v>
      </c>
      <c r="G153" s="16">
        <v>10.66</v>
      </c>
    </row>
    <row r="154" spans="1:7" x14ac:dyDescent="0.25">
      <c r="A154" s="13" t="s">
        <v>1432</v>
      </c>
      <c r="B154" s="13">
        <v>1837</v>
      </c>
      <c r="C154" s="14" t="str">
        <f>+VLOOKUP(B154,[1]LISTE!$A$1:$D$431,4,FALSE)</f>
        <v>SLAMA SALEM</v>
      </c>
      <c r="D154" s="14" t="s">
        <v>1260</v>
      </c>
      <c r="E154" s="15">
        <v>45783</v>
      </c>
      <c r="F154" s="14" t="s">
        <v>23</v>
      </c>
      <c r="G154" s="16">
        <v>35</v>
      </c>
    </row>
    <row r="155" spans="1:7" x14ac:dyDescent="0.25">
      <c r="A155" s="13" t="s">
        <v>1432</v>
      </c>
      <c r="B155" s="13">
        <v>1837</v>
      </c>
      <c r="C155" s="14" t="str">
        <f>+VLOOKUP(B155,[1]LISTE!$A$1:$D$431,4,FALSE)</f>
        <v>SLAMA SALEM</v>
      </c>
      <c r="D155" s="15" t="s">
        <v>1260</v>
      </c>
      <c r="E155" s="15">
        <v>45783</v>
      </c>
      <c r="F155" s="14" t="s">
        <v>20</v>
      </c>
      <c r="G155" s="16">
        <v>94.313000000000002</v>
      </c>
    </row>
    <row r="156" spans="1:7" x14ac:dyDescent="0.25">
      <c r="A156" s="13" t="s">
        <v>1430</v>
      </c>
      <c r="B156" s="13">
        <v>1856</v>
      </c>
      <c r="C156" s="14" t="str">
        <f>+VLOOKUP(B156,[1]LISTE!$A$1:$D$431,4,FALSE)</f>
        <v>ABDELLATIF MOHAMED ALI</v>
      </c>
      <c r="D156" s="14" t="s">
        <v>296</v>
      </c>
      <c r="E156" s="15">
        <v>45784</v>
      </c>
      <c r="F156" s="14" t="s">
        <v>23</v>
      </c>
      <c r="G156" s="16">
        <v>45</v>
      </c>
    </row>
    <row r="157" spans="1:7" x14ac:dyDescent="0.25">
      <c r="A157" s="13" t="s">
        <v>1430</v>
      </c>
      <c r="B157" s="13">
        <v>1856</v>
      </c>
      <c r="C157" s="14" t="str">
        <f>+VLOOKUP(B157,[1]LISTE!$A$1:$D$431,4,FALSE)</f>
        <v>ABDELLATIF MOHAMED ALI</v>
      </c>
      <c r="D157" s="14" t="s">
        <v>296</v>
      </c>
      <c r="E157" s="15">
        <v>45784</v>
      </c>
      <c r="F157" s="14" t="s">
        <v>20</v>
      </c>
      <c r="G157" s="16">
        <v>81.225999999999999</v>
      </c>
    </row>
    <row r="158" spans="1:7" x14ac:dyDescent="0.25">
      <c r="A158" s="13" t="s">
        <v>1373</v>
      </c>
      <c r="B158" s="13">
        <v>1878</v>
      </c>
      <c r="C158" s="14" t="str">
        <f>+VLOOKUP(B158,[1]LISTE!$A$1:$D$431,4,FALSE)</f>
        <v>BOUHLEL MED ALI</v>
      </c>
      <c r="D158" s="14" t="s">
        <v>22</v>
      </c>
      <c r="E158" s="15">
        <v>45750</v>
      </c>
      <c r="F158" s="14" t="s">
        <v>18</v>
      </c>
      <c r="G158" s="16">
        <v>70</v>
      </c>
    </row>
    <row r="159" spans="1:7" x14ac:dyDescent="0.25">
      <c r="A159" s="13" t="s">
        <v>1373</v>
      </c>
      <c r="B159" s="13">
        <v>1878</v>
      </c>
      <c r="C159" s="14" t="str">
        <f>+VLOOKUP(B159,[1]LISTE!$A$1:$D$431,4,FALSE)</f>
        <v>BOUHLEL MED ALI</v>
      </c>
      <c r="D159" s="14" t="s">
        <v>22</v>
      </c>
      <c r="E159" s="15">
        <v>45765</v>
      </c>
      <c r="F159" s="14" t="s">
        <v>20</v>
      </c>
      <c r="G159" s="16">
        <v>49</v>
      </c>
    </row>
    <row r="160" spans="1:7" x14ac:dyDescent="0.25">
      <c r="A160" s="13" t="s">
        <v>1386</v>
      </c>
      <c r="B160" s="13">
        <v>1896</v>
      </c>
      <c r="C160" s="14" t="str">
        <f>+VLOOKUP(B160,[1]LISTE!$A$1:$D$431,4,FALSE)</f>
        <v>LAJIMI ABDELKADER</v>
      </c>
      <c r="D160" s="15" t="s">
        <v>22</v>
      </c>
      <c r="E160" s="15">
        <v>45784</v>
      </c>
      <c r="F160" s="14" t="s">
        <v>18</v>
      </c>
      <c r="G160" s="16">
        <v>60</v>
      </c>
    </row>
    <row r="161" spans="1:7" x14ac:dyDescent="0.25">
      <c r="A161" s="13" t="s">
        <v>1386</v>
      </c>
      <c r="B161" s="13">
        <v>1896</v>
      </c>
      <c r="C161" s="14" t="str">
        <f>+VLOOKUP(B161,[1]LISTE!$A$1:$D$431,4,FALSE)</f>
        <v>LAJIMI ABDELKADER</v>
      </c>
      <c r="D161" s="15" t="s">
        <v>22</v>
      </c>
      <c r="E161" s="15">
        <v>45784</v>
      </c>
      <c r="F161" s="14" t="s">
        <v>20</v>
      </c>
      <c r="G161" s="16">
        <v>12.61</v>
      </c>
    </row>
    <row r="162" spans="1:7" x14ac:dyDescent="0.25">
      <c r="A162" s="13" t="s">
        <v>1370</v>
      </c>
      <c r="B162" s="13">
        <v>1897</v>
      </c>
      <c r="C162" s="14" t="str">
        <f>+VLOOKUP(B162,[1]LISTE!$A$1:$D$431,4,FALSE)</f>
        <v>BOHLI AMOR</v>
      </c>
      <c r="D162" s="14" t="s">
        <v>22</v>
      </c>
      <c r="E162" s="15">
        <v>45778</v>
      </c>
      <c r="F162" s="14" t="s">
        <v>18</v>
      </c>
      <c r="G162" s="16">
        <v>40</v>
      </c>
    </row>
    <row r="163" spans="1:7" x14ac:dyDescent="0.25">
      <c r="A163" s="13" t="s">
        <v>1370</v>
      </c>
      <c r="B163" s="13">
        <v>1897</v>
      </c>
      <c r="C163" s="14" t="str">
        <f>+VLOOKUP(B163,[1]LISTE!$A$1:$D$431,4,FALSE)</f>
        <v>BOHLI AMOR</v>
      </c>
      <c r="D163" s="14" t="s">
        <v>22</v>
      </c>
      <c r="E163" s="15">
        <v>45778</v>
      </c>
      <c r="F163" s="14" t="s">
        <v>20</v>
      </c>
      <c r="G163" s="16">
        <v>83.988</v>
      </c>
    </row>
    <row r="164" spans="1:7" x14ac:dyDescent="0.25">
      <c r="A164" s="13" t="s">
        <v>1429</v>
      </c>
      <c r="B164" s="13">
        <v>1910</v>
      </c>
      <c r="C164" s="14" t="str">
        <f>+VLOOKUP(B164,[1]LISTE!$A$1:$D$431,4,FALSE)</f>
        <v>YOUSFI MEHDI</v>
      </c>
      <c r="D164" s="14" t="s">
        <v>292</v>
      </c>
      <c r="E164" s="15">
        <v>45783</v>
      </c>
      <c r="F164" s="14" t="s">
        <v>18</v>
      </c>
      <c r="G164" s="16">
        <v>70</v>
      </c>
    </row>
    <row r="165" spans="1:7" x14ac:dyDescent="0.25">
      <c r="A165" s="13" t="s">
        <v>1429</v>
      </c>
      <c r="B165" s="13">
        <v>1910</v>
      </c>
      <c r="C165" s="14" t="str">
        <f>+VLOOKUP(B165,[1]LISTE!$A$1:$D$431,4,FALSE)</f>
        <v>YOUSFI MEHDI</v>
      </c>
      <c r="D165" s="15" t="s">
        <v>292</v>
      </c>
      <c r="E165" s="15">
        <v>45783</v>
      </c>
      <c r="F165" s="14" t="s">
        <v>20</v>
      </c>
      <c r="G165" s="16">
        <v>64.192999999999998</v>
      </c>
    </row>
    <row r="166" spans="1:7" x14ac:dyDescent="0.25">
      <c r="A166" s="13" t="s">
        <v>1331</v>
      </c>
      <c r="B166" s="13">
        <v>1911</v>
      </c>
      <c r="C166" s="14" t="str">
        <f>+VLOOKUP(B166,[1]LISTE!$A$1:$D$431,4,FALSE)</f>
        <v>MEJRI KHELIL</v>
      </c>
      <c r="D166" s="14" t="s">
        <v>22</v>
      </c>
      <c r="E166" s="15">
        <v>45759</v>
      </c>
      <c r="F166" s="14" t="s">
        <v>23</v>
      </c>
      <c r="G166" s="16">
        <v>40</v>
      </c>
    </row>
    <row r="167" spans="1:7" x14ac:dyDescent="0.25">
      <c r="A167" s="13" t="s">
        <v>1331</v>
      </c>
      <c r="B167" s="13">
        <v>1911</v>
      </c>
      <c r="C167" s="14" t="str">
        <f>+VLOOKUP(B167,[1]LISTE!$A$1:$D$431,4,FALSE)</f>
        <v>MEJRI KHELIL</v>
      </c>
      <c r="D167" s="15" t="s">
        <v>22</v>
      </c>
      <c r="E167" s="15">
        <v>45776</v>
      </c>
      <c r="F167" s="14" t="s">
        <v>20</v>
      </c>
      <c r="G167" s="16">
        <v>16.571000000000002</v>
      </c>
    </row>
    <row r="168" spans="1:7" x14ac:dyDescent="0.25">
      <c r="A168" s="13" t="s">
        <v>1331</v>
      </c>
      <c r="B168" s="13">
        <v>1911</v>
      </c>
      <c r="C168" s="14" t="str">
        <f>+VLOOKUP(B168,[1]LISTE!$A$1:$D$431,4,FALSE)</f>
        <v>MEJRI KHELIL</v>
      </c>
      <c r="D168" s="14" t="s">
        <v>22</v>
      </c>
      <c r="E168" s="15">
        <v>45776</v>
      </c>
      <c r="F168" s="14" t="s">
        <v>21</v>
      </c>
      <c r="G168" s="16">
        <v>120</v>
      </c>
    </row>
    <row r="169" spans="1:7" x14ac:dyDescent="0.25">
      <c r="A169" s="13" t="s">
        <v>1354</v>
      </c>
      <c r="B169" s="13">
        <v>1915</v>
      </c>
      <c r="C169" s="14" t="str">
        <f>+VLOOKUP(B169,[1]LISTE!$A$1:$D$431,4,FALSE)</f>
        <v>BEN ABDALLAH MOHAMED SALAH</v>
      </c>
      <c r="D169" s="14" t="s">
        <v>206</v>
      </c>
      <c r="E169" s="15">
        <v>45755</v>
      </c>
      <c r="F169" s="14" t="s">
        <v>18</v>
      </c>
      <c r="G169" s="16">
        <v>70</v>
      </c>
    </row>
    <row r="170" spans="1:7" x14ac:dyDescent="0.25">
      <c r="A170" s="13" t="s">
        <v>1354</v>
      </c>
      <c r="B170" s="13">
        <v>1915</v>
      </c>
      <c r="C170" s="14" t="str">
        <f>+VLOOKUP(B170,[1]LISTE!$A$1:$D$431,4,FALSE)</f>
        <v>BEN ABDALLAH MOHAMED SALAH</v>
      </c>
      <c r="D170" s="15" t="s">
        <v>206</v>
      </c>
      <c r="E170" s="15">
        <v>45757</v>
      </c>
      <c r="F170" s="14" t="s">
        <v>21</v>
      </c>
      <c r="G170" s="16">
        <v>90</v>
      </c>
    </row>
    <row r="171" spans="1:7" x14ac:dyDescent="0.25">
      <c r="A171" s="13" t="s">
        <v>1384</v>
      </c>
      <c r="B171" s="13">
        <v>1923</v>
      </c>
      <c r="C171" s="14" t="str">
        <f>+VLOOKUP(B171,[1]LISTE!$A$1:$D$431,4,FALSE)</f>
        <v>BOUAZZA WALID</v>
      </c>
      <c r="D171" s="14" t="s">
        <v>421</v>
      </c>
      <c r="E171" s="15">
        <v>45780</v>
      </c>
      <c r="F171" s="14" t="s">
        <v>18</v>
      </c>
      <c r="G171" s="16">
        <v>50</v>
      </c>
    </row>
    <row r="172" spans="1:7" x14ac:dyDescent="0.25">
      <c r="A172" s="13" t="s">
        <v>1384</v>
      </c>
      <c r="B172" s="13">
        <v>1923</v>
      </c>
      <c r="C172" s="14" t="str">
        <f>+VLOOKUP(B172,[1]LISTE!$A$1:$D$431,4,FALSE)</f>
        <v>BOUAZZA WALID</v>
      </c>
      <c r="D172" s="14" t="s">
        <v>421</v>
      </c>
      <c r="E172" s="15">
        <v>45780</v>
      </c>
      <c r="F172" s="14" t="s">
        <v>20</v>
      </c>
      <c r="G172" s="16">
        <v>20.088000000000001</v>
      </c>
    </row>
    <row r="173" spans="1:7" x14ac:dyDescent="0.25">
      <c r="A173" s="13" t="s">
        <v>1332</v>
      </c>
      <c r="B173" s="13">
        <v>1924</v>
      </c>
      <c r="C173" s="14" t="str">
        <f>+VLOOKUP(B173,[1]LISTE!$A$1:$D$431,4,FALSE)</f>
        <v>BRAHIM Wahiba</v>
      </c>
      <c r="D173" s="15" t="s">
        <v>580</v>
      </c>
      <c r="E173" s="15">
        <v>45776</v>
      </c>
      <c r="F173" s="14" t="s">
        <v>20</v>
      </c>
      <c r="G173" s="16">
        <v>145.035</v>
      </c>
    </row>
    <row r="174" spans="1:7" x14ac:dyDescent="0.25">
      <c r="A174" s="13" t="s">
        <v>1402</v>
      </c>
      <c r="B174" s="13">
        <v>1928</v>
      </c>
      <c r="C174" s="14" t="str">
        <f>+VLOOKUP(B174,[1]LISTE!$A$1:$D$431,4,FALSE)</f>
        <v>ZAGGAR JAMEL</v>
      </c>
      <c r="D174" s="14" t="s">
        <v>892</v>
      </c>
      <c r="E174" s="15">
        <v>45783</v>
      </c>
      <c r="F174" s="14" t="s">
        <v>23</v>
      </c>
      <c r="G174" s="16">
        <v>3</v>
      </c>
    </row>
    <row r="175" spans="1:7" x14ac:dyDescent="0.25">
      <c r="A175" s="13" t="s">
        <v>1402</v>
      </c>
      <c r="B175" s="13">
        <v>1928</v>
      </c>
      <c r="C175" s="14" t="str">
        <f>+VLOOKUP(B175,[1]LISTE!$A$1:$D$431,4,FALSE)</f>
        <v>ZAGGAR JAMEL</v>
      </c>
      <c r="D175" s="14" t="s">
        <v>892</v>
      </c>
      <c r="E175" s="15">
        <v>45783</v>
      </c>
      <c r="F175" s="14" t="s">
        <v>20</v>
      </c>
      <c r="G175" s="16">
        <v>62.771999999999998</v>
      </c>
    </row>
    <row r="176" spans="1:7" x14ac:dyDescent="0.25">
      <c r="A176" s="13" t="s">
        <v>1342</v>
      </c>
      <c r="B176" s="13">
        <v>1956</v>
      </c>
      <c r="C176" s="14" t="str">
        <f>+VLOOKUP(B176,[1]LISTE!$A$1:$D$431,4,FALSE)</f>
        <v>BEN AOUANA NEJI</v>
      </c>
      <c r="D176" s="15" t="s">
        <v>22</v>
      </c>
      <c r="E176" s="15">
        <v>45776</v>
      </c>
      <c r="F176" s="14" t="s">
        <v>18</v>
      </c>
      <c r="G176" s="16">
        <v>60</v>
      </c>
    </row>
    <row r="177" spans="1:7" x14ac:dyDescent="0.25">
      <c r="A177" s="13" t="s">
        <v>1342</v>
      </c>
      <c r="B177" s="13">
        <v>1956</v>
      </c>
      <c r="C177" s="14" t="str">
        <f>+VLOOKUP(B177,[1]LISTE!$A$1:$D$431,4,FALSE)</f>
        <v>BEN AOUANA NEJI</v>
      </c>
      <c r="D177" s="15" t="s">
        <v>22</v>
      </c>
      <c r="E177" s="15">
        <v>45776</v>
      </c>
      <c r="F177" s="14" t="s">
        <v>19</v>
      </c>
      <c r="G177" s="16">
        <v>55.96</v>
      </c>
    </row>
    <row r="178" spans="1:7" x14ac:dyDescent="0.25">
      <c r="A178" s="13" t="s">
        <v>1342</v>
      </c>
      <c r="B178" s="13">
        <v>1956</v>
      </c>
      <c r="C178" s="14" t="str">
        <f>+VLOOKUP(B178,[1]LISTE!$A$1:$D$431,4,FALSE)</f>
        <v>BEN AOUANA NEJI</v>
      </c>
      <c r="D178" s="15" t="s">
        <v>22</v>
      </c>
      <c r="E178" s="15">
        <v>45776</v>
      </c>
      <c r="F178" s="14" t="s">
        <v>20</v>
      </c>
      <c r="G178" s="16">
        <v>56.88</v>
      </c>
    </row>
    <row r="179" spans="1:7" x14ac:dyDescent="0.25">
      <c r="A179" s="13" t="s">
        <v>1414</v>
      </c>
      <c r="B179" s="13">
        <v>1961</v>
      </c>
      <c r="C179" s="14" t="str">
        <f>+VLOOKUP(B179,[1]LISTE!$A$1:$D$431,4,FALSE)</f>
        <v>HEDFI ANIS</v>
      </c>
      <c r="D179" s="15" t="s">
        <v>1088</v>
      </c>
      <c r="E179" s="15">
        <v>45785</v>
      </c>
      <c r="F179" s="14" t="s">
        <v>23</v>
      </c>
      <c r="G179" s="16">
        <v>45</v>
      </c>
    </row>
    <row r="180" spans="1:7" x14ac:dyDescent="0.25">
      <c r="A180" s="13" t="s">
        <v>1414</v>
      </c>
      <c r="B180" s="13">
        <v>1961</v>
      </c>
      <c r="C180" s="14" t="str">
        <f>+VLOOKUP(B180,[1]LISTE!$A$1:$D$431,4,FALSE)</f>
        <v>HEDFI ANIS</v>
      </c>
      <c r="D180" s="14" t="s">
        <v>1088</v>
      </c>
      <c r="E180" s="15">
        <v>45785</v>
      </c>
      <c r="F180" s="14" t="s">
        <v>20</v>
      </c>
      <c r="G180" s="16">
        <v>60.174999999999997</v>
      </c>
    </row>
    <row r="181" spans="1:7" x14ac:dyDescent="0.25">
      <c r="A181" s="13" t="s">
        <v>1398</v>
      </c>
      <c r="B181" s="13">
        <v>1969</v>
      </c>
      <c r="C181" s="14" t="str">
        <f>+VLOOKUP(B181,[1]LISTE!$A$1:$D$431,4,FALSE)</f>
        <v>BOUKADDIDA MEHREZ</v>
      </c>
      <c r="D181" s="14" t="s">
        <v>22</v>
      </c>
      <c r="E181" s="15">
        <v>45766</v>
      </c>
      <c r="F181" s="14" t="s">
        <v>19</v>
      </c>
      <c r="G181" s="16">
        <v>150.54900000000001</v>
      </c>
    </row>
    <row r="182" spans="1:7" x14ac:dyDescent="0.25">
      <c r="A182" s="13" t="s">
        <v>1401</v>
      </c>
      <c r="B182" s="13">
        <v>1969</v>
      </c>
      <c r="C182" s="14" t="str">
        <f>+VLOOKUP(B182,[1]LISTE!$A$1:$D$431,4,FALSE)</f>
        <v>BOUKADDIDA MEHREZ</v>
      </c>
      <c r="D182" s="14" t="s">
        <v>436</v>
      </c>
      <c r="E182" s="15">
        <v>45766</v>
      </c>
      <c r="F182" s="14" t="s">
        <v>19</v>
      </c>
      <c r="G182" s="16">
        <v>150.54900000000001</v>
      </c>
    </row>
    <row r="183" spans="1:7" x14ac:dyDescent="0.25">
      <c r="A183" s="13" t="s">
        <v>1412</v>
      </c>
      <c r="B183" s="13">
        <v>1969</v>
      </c>
      <c r="C183" s="14" t="str">
        <f>+VLOOKUP(B183,[1]LISTE!$A$1:$D$431,4,FALSE)</f>
        <v>BOUKADDIDA MEHREZ</v>
      </c>
      <c r="D183" s="14" t="s">
        <v>436</v>
      </c>
      <c r="E183" s="15">
        <v>45716</v>
      </c>
      <c r="F183" s="14" t="s">
        <v>18</v>
      </c>
      <c r="G183" s="16">
        <v>70</v>
      </c>
    </row>
    <row r="184" spans="1:7" x14ac:dyDescent="0.25">
      <c r="A184" s="13" t="s">
        <v>1412</v>
      </c>
      <c r="B184" s="13">
        <v>1969</v>
      </c>
      <c r="C184" s="14" t="str">
        <f>+VLOOKUP(B184,[1]LISTE!$A$1:$D$431,4,FALSE)</f>
        <v>BOUKADDIDA MEHREZ</v>
      </c>
      <c r="D184" s="14" t="s">
        <v>436</v>
      </c>
      <c r="E184" s="15">
        <v>45777</v>
      </c>
      <c r="F184" s="14" t="s">
        <v>20</v>
      </c>
      <c r="G184" s="16">
        <v>48.7</v>
      </c>
    </row>
    <row r="185" spans="1:7" x14ac:dyDescent="0.25">
      <c r="A185" s="13" t="s">
        <v>1335</v>
      </c>
      <c r="B185" s="13">
        <v>1989</v>
      </c>
      <c r="C185" s="14" t="str">
        <f>+VLOOKUP(B185,[1]LISTE!$A$1:$D$431,4,FALSE)</f>
        <v>MZOUGHI MOHAMED</v>
      </c>
      <c r="D185" s="15" t="s">
        <v>22</v>
      </c>
      <c r="E185" s="15">
        <v>45772</v>
      </c>
      <c r="F185" s="14" t="s">
        <v>18</v>
      </c>
      <c r="G185" s="16">
        <v>70</v>
      </c>
    </row>
    <row r="186" spans="1:7" x14ac:dyDescent="0.25">
      <c r="A186" s="13" t="s">
        <v>1335</v>
      </c>
      <c r="B186" s="13">
        <v>1989</v>
      </c>
      <c r="C186" s="14" t="str">
        <f>+VLOOKUP(B186,[1]LISTE!$A$1:$D$431,4,FALSE)</f>
        <v>MZOUGHI MOHAMED</v>
      </c>
      <c r="D186" s="15" t="s">
        <v>22</v>
      </c>
      <c r="E186" s="15">
        <v>45772</v>
      </c>
      <c r="F186" s="14" t="s">
        <v>20</v>
      </c>
      <c r="G186" s="16">
        <v>41.6</v>
      </c>
    </row>
    <row r="187" spans="1:7" x14ac:dyDescent="0.25">
      <c r="A187" s="13" t="s">
        <v>1335</v>
      </c>
      <c r="B187" s="13">
        <v>1989</v>
      </c>
      <c r="C187" s="14" t="str">
        <f>+VLOOKUP(B187,[1]LISTE!$A$1:$D$431,4,FALSE)</f>
        <v>MZOUGHI MOHAMED</v>
      </c>
      <c r="D187" s="14" t="s">
        <v>22</v>
      </c>
      <c r="E187" s="15">
        <v>45772</v>
      </c>
      <c r="F187" s="14" t="s">
        <v>21</v>
      </c>
      <c r="G187" s="16">
        <v>200</v>
      </c>
    </row>
    <row r="188" spans="1:7" x14ac:dyDescent="0.25">
      <c r="A188" s="13" t="s">
        <v>1390</v>
      </c>
      <c r="B188" s="13">
        <v>2005</v>
      </c>
      <c r="C188" s="14" t="str">
        <f>+VLOOKUP(B188,[1]LISTE!$A$1:$D$431,4,FALSE)</f>
        <v>ESSAFI FEHMI</v>
      </c>
      <c r="D188" s="14" t="s">
        <v>22</v>
      </c>
      <c r="E188" s="15">
        <v>45773</v>
      </c>
      <c r="F188" s="14" t="s">
        <v>18</v>
      </c>
      <c r="G188" s="16">
        <v>70</v>
      </c>
    </row>
    <row r="189" spans="1:7" x14ac:dyDescent="0.25">
      <c r="A189" s="13" t="s">
        <v>1390</v>
      </c>
      <c r="B189" s="13">
        <v>2005</v>
      </c>
      <c r="C189" s="14" t="str">
        <f>+VLOOKUP(B189,[1]LISTE!$A$1:$D$431,4,FALSE)</f>
        <v>ESSAFI FEHMI</v>
      </c>
      <c r="D189" s="14" t="s">
        <v>22</v>
      </c>
      <c r="E189" s="15">
        <v>45773</v>
      </c>
      <c r="F189" s="14" t="s">
        <v>20</v>
      </c>
      <c r="G189" s="16">
        <v>5.5640000000000001</v>
      </c>
    </row>
    <row r="190" spans="1:7" x14ac:dyDescent="0.25">
      <c r="A190" s="13" t="s">
        <v>1390</v>
      </c>
      <c r="B190" s="13">
        <v>2005</v>
      </c>
      <c r="C190" s="14" t="str">
        <f>+VLOOKUP(B190,[1]LISTE!$A$1:$D$431,4,FALSE)</f>
        <v>ESSAFI FEHMI</v>
      </c>
      <c r="D190" s="14" t="s">
        <v>22</v>
      </c>
      <c r="E190" s="15">
        <v>45778</v>
      </c>
      <c r="F190" s="14" t="s">
        <v>19</v>
      </c>
      <c r="G190" s="16">
        <v>188.75</v>
      </c>
    </row>
    <row r="191" spans="1:7" x14ac:dyDescent="0.25">
      <c r="A191" s="13" t="s">
        <v>1423</v>
      </c>
      <c r="B191" s="13">
        <v>2024</v>
      </c>
      <c r="C191" s="14" t="str">
        <f>+VLOOKUP(B191,[1]LISTE!$A$1:$D$431,4,FALSE)</f>
        <v>GUEZGUEZ MOHAMED</v>
      </c>
      <c r="D191" s="14" t="s">
        <v>22</v>
      </c>
      <c r="E191" s="15">
        <v>45779</v>
      </c>
      <c r="F191" s="14" t="s">
        <v>18</v>
      </c>
      <c r="G191" s="16">
        <v>60</v>
      </c>
    </row>
    <row r="192" spans="1:7" x14ac:dyDescent="0.25">
      <c r="A192" s="13" t="s">
        <v>1423</v>
      </c>
      <c r="B192" s="13">
        <v>2024</v>
      </c>
      <c r="C192" s="14" t="str">
        <f>+VLOOKUP(B192,[1]LISTE!$A$1:$D$431,4,FALSE)</f>
        <v>GUEZGUEZ MOHAMED</v>
      </c>
      <c r="D192" s="15" t="s">
        <v>22</v>
      </c>
      <c r="E192" s="15">
        <v>45779</v>
      </c>
      <c r="F192" s="14" t="s">
        <v>20</v>
      </c>
      <c r="G192" s="16">
        <v>31.965</v>
      </c>
    </row>
    <row r="193" spans="1:7" x14ac:dyDescent="0.25">
      <c r="A193" s="13" t="s">
        <v>1423</v>
      </c>
      <c r="B193" s="13">
        <v>2024</v>
      </c>
      <c r="C193" s="14" t="str">
        <f>+VLOOKUP(B193,[1]LISTE!$A$1:$D$431,4,FALSE)</f>
        <v>GUEZGUEZ MOHAMED</v>
      </c>
      <c r="D193" s="15" t="s">
        <v>22</v>
      </c>
      <c r="E193" s="15">
        <v>45779</v>
      </c>
      <c r="F193" s="14" t="s">
        <v>363</v>
      </c>
      <c r="G193" s="16">
        <v>240</v>
      </c>
    </row>
    <row r="194" spans="1:7" x14ac:dyDescent="0.25">
      <c r="A194" s="13" t="s">
        <v>1351</v>
      </c>
      <c r="B194" s="13">
        <v>2055</v>
      </c>
      <c r="C194" s="14" t="str">
        <f>+VLOOKUP(B194,[1]LISTE!$A$1:$D$431,4,FALSE)</f>
        <v>BEN YAHIA AHMED</v>
      </c>
      <c r="D194" s="14" t="s">
        <v>481</v>
      </c>
      <c r="E194" s="15">
        <v>45765</v>
      </c>
      <c r="F194" s="14" t="s">
        <v>18</v>
      </c>
      <c r="G194" s="16">
        <v>70</v>
      </c>
    </row>
    <row r="195" spans="1:7" x14ac:dyDescent="0.25">
      <c r="A195" s="13" t="s">
        <v>1351</v>
      </c>
      <c r="B195" s="13">
        <v>2055</v>
      </c>
      <c r="C195" s="14" t="str">
        <f>+VLOOKUP(B195,[1]LISTE!$A$1:$D$431,4,FALSE)</f>
        <v>BEN YAHIA AHMED</v>
      </c>
      <c r="D195" s="14" t="s">
        <v>481</v>
      </c>
      <c r="E195" s="15">
        <v>45765</v>
      </c>
      <c r="F195" s="14" t="s">
        <v>20</v>
      </c>
      <c r="G195" s="16">
        <v>56.194000000000003</v>
      </c>
    </row>
    <row r="196" spans="1:7" x14ac:dyDescent="0.25">
      <c r="A196" s="13" t="s">
        <v>1347</v>
      </c>
      <c r="B196" s="13">
        <v>2102</v>
      </c>
      <c r="C196" s="14" t="str">
        <f>+VLOOKUP(B196,[1]LISTE!$A$1:$D$431,4,FALSE)</f>
        <v>BENAMER MARWA</v>
      </c>
      <c r="D196" s="14" t="s">
        <v>22</v>
      </c>
      <c r="E196" s="15">
        <v>45767</v>
      </c>
      <c r="F196" s="14" t="s">
        <v>21</v>
      </c>
      <c r="G196" s="16">
        <v>111.4</v>
      </c>
    </row>
    <row r="197" spans="1:7" x14ac:dyDescent="0.25">
      <c r="A197" s="13" t="s">
        <v>1443</v>
      </c>
      <c r="B197" s="13">
        <v>2102</v>
      </c>
      <c r="C197" s="14" t="str">
        <f>+VLOOKUP(B197,[1]LISTE!$A$1:$D$431,4,FALSE)</f>
        <v>BENAMER MARWA</v>
      </c>
      <c r="D197" s="14" t="s">
        <v>22</v>
      </c>
      <c r="E197" s="15">
        <v>45787</v>
      </c>
      <c r="F197" s="14" t="s">
        <v>18</v>
      </c>
      <c r="G197" s="16">
        <v>70</v>
      </c>
    </row>
    <row r="198" spans="1:7" x14ac:dyDescent="0.25">
      <c r="A198" s="13" t="s">
        <v>1443</v>
      </c>
      <c r="B198" s="13">
        <v>2102</v>
      </c>
      <c r="C198" s="14" t="str">
        <f>+VLOOKUP(B198,[1]LISTE!$A$1:$D$431,4,FALSE)</f>
        <v>BENAMER MARWA</v>
      </c>
      <c r="D198" s="14" t="s">
        <v>22</v>
      </c>
      <c r="E198" s="15">
        <v>45787</v>
      </c>
      <c r="F198" s="14" t="s">
        <v>20</v>
      </c>
      <c r="G198" s="16">
        <v>48.445999999999998</v>
      </c>
    </row>
    <row r="199" spans="1:7" x14ac:dyDescent="0.25">
      <c r="A199" s="13" t="s">
        <v>1353</v>
      </c>
      <c r="B199" s="13">
        <v>2128</v>
      </c>
      <c r="C199" s="14" t="str">
        <f>+VLOOKUP(B199,[1]LISTE!$A$1:$D$431,4,FALSE)</f>
        <v>ILYES DHIFALLAH</v>
      </c>
      <c r="D199" s="15" t="s">
        <v>744</v>
      </c>
      <c r="E199" s="15">
        <v>45768</v>
      </c>
      <c r="F199" s="14" t="s">
        <v>363</v>
      </c>
      <c r="G199" s="16">
        <v>800</v>
      </c>
    </row>
    <row r="200" spans="1:7" x14ac:dyDescent="0.25">
      <c r="A200" s="13" t="s">
        <v>1353</v>
      </c>
      <c r="B200" s="13">
        <v>2128</v>
      </c>
      <c r="C200" s="14" t="str">
        <f>+VLOOKUP(B200,[1]LISTE!$A$1:$D$431,4,FALSE)</f>
        <v>ILYES DHIFALLAH</v>
      </c>
      <c r="D200" s="14" t="s">
        <v>744</v>
      </c>
      <c r="E200" s="15">
        <v>45768</v>
      </c>
      <c r="F200" s="14" t="s">
        <v>363</v>
      </c>
      <c r="G200" s="16">
        <v>140</v>
      </c>
    </row>
    <row r="201" spans="1:7" x14ac:dyDescent="0.25">
      <c r="A201" s="13" t="s">
        <v>1353</v>
      </c>
      <c r="B201" s="13">
        <v>2128</v>
      </c>
      <c r="C201" s="14" t="str">
        <f>+VLOOKUP(B201,[1]LISTE!$A$1:$D$431,4,FALSE)</f>
        <v>ILYES DHIFALLAH</v>
      </c>
      <c r="D201" s="14" t="s">
        <v>744</v>
      </c>
      <c r="E201" s="15">
        <v>45768</v>
      </c>
      <c r="F201" s="14" t="s">
        <v>364</v>
      </c>
      <c r="G201" s="16">
        <v>860</v>
      </c>
    </row>
    <row r="202" spans="1:7" x14ac:dyDescent="0.25">
      <c r="A202" s="13" t="s">
        <v>1336</v>
      </c>
      <c r="B202" s="13">
        <v>2137</v>
      </c>
      <c r="C202" s="14" t="str">
        <f>+VLOOKUP(B202,[1]LISTE!$A$1:$D$431,4,FALSE)</f>
        <v>MOHAMED BOUZAMOUCHA</v>
      </c>
      <c r="D202" s="14" t="s">
        <v>22</v>
      </c>
      <c r="E202" s="15">
        <v>45759</v>
      </c>
      <c r="F202" s="14" t="s">
        <v>18</v>
      </c>
      <c r="G202" s="16">
        <v>70</v>
      </c>
    </row>
    <row r="203" spans="1:7" x14ac:dyDescent="0.25">
      <c r="A203" s="13" t="s">
        <v>1336</v>
      </c>
      <c r="B203" s="13">
        <v>2137</v>
      </c>
      <c r="C203" s="14" t="str">
        <f>+VLOOKUP(B203,[1]LISTE!$A$1:$D$431,4,FALSE)</f>
        <v>MOHAMED BOUZAMOUCHA</v>
      </c>
      <c r="D203" s="15" t="s">
        <v>22</v>
      </c>
      <c r="E203" s="15">
        <v>45766</v>
      </c>
      <c r="F203" s="14" t="s">
        <v>65</v>
      </c>
      <c r="G203" s="16">
        <v>70</v>
      </c>
    </row>
    <row r="204" spans="1:7" x14ac:dyDescent="0.25">
      <c r="A204" s="13" t="s">
        <v>1336</v>
      </c>
      <c r="B204" s="13">
        <v>2137</v>
      </c>
      <c r="C204" s="14" t="str">
        <f>+VLOOKUP(B204,[1]LISTE!$A$1:$D$431,4,FALSE)</f>
        <v>MOHAMED BOUZAMOUCHA</v>
      </c>
      <c r="D204" s="14" t="s">
        <v>22</v>
      </c>
      <c r="E204" s="15">
        <v>45769</v>
      </c>
      <c r="F204" s="14" t="s">
        <v>20</v>
      </c>
      <c r="G204" s="16">
        <v>179.08500000000001</v>
      </c>
    </row>
    <row r="205" spans="1:7" x14ac:dyDescent="0.25">
      <c r="A205" s="13" t="s">
        <v>1336</v>
      </c>
      <c r="B205" s="13">
        <v>2137</v>
      </c>
      <c r="C205" s="14" t="str">
        <f>+VLOOKUP(B205,[1]LISTE!$A$1:$D$431,4,FALSE)</f>
        <v>MOHAMED BOUZAMOUCHA</v>
      </c>
      <c r="D205" s="15" t="s">
        <v>22</v>
      </c>
      <c r="E205" s="15">
        <v>45766</v>
      </c>
      <c r="F205" s="14" t="s">
        <v>363</v>
      </c>
      <c r="G205" s="16">
        <v>30</v>
      </c>
    </row>
    <row r="206" spans="1:7" x14ac:dyDescent="0.25">
      <c r="A206" s="13" t="s">
        <v>1336</v>
      </c>
      <c r="B206" s="13">
        <v>2137</v>
      </c>
      <c r="C206" s="14" t="str">
        <f>+VLOOKUP(B206,[1]LISTE!$A$1:$D$431,4,FALSE)</f>
        <v>MOHAMED BOUZAMOUCHA</v>
      </c>
      <c r="D206" s="15" t="s">
        <v>22</v>
      </c>
      <c r="E206" s="15">
        <v>45766</v>
      </c>
      <c r="F206" s="14" t="s">
        <v>363</v>
      </c>
      <c r="G206" s="16">
        <v>200</v>
      </c>
    </row>
    <row r="207" spans="1:7" x14ac:dyDescent="0.25">
      <c r="A207" s="13" t="s">
        <v>1336</v>
      </c>
      <c r="B207" s="13">
        <v>2137</v>
      </c>
      <c r="C207" s="14" t="str">
        <f>+VLOOKUP(B207,[1]LISTE!$A$1:$D$431,4,FALSE)</f>
        <v>MOHAMED BOUZAMOUCHA</v>
      </c>
      <c r="D207" s="15" t="s">
        <v>22</v>
      </c>
      <c r="E207" s="15">
        <v>45766</v>
      </c>
      <c r="F207" s="14" t="s">
        <v>364</v>
      </c>
      <c r="G207" s="16">
        <v>120</v>
      </c>
    </row>
    <row r="208" spans="1:7" x14ac:dyDescent="0.25">
      <c r="A208" s="13" t="s">
        <v>1380</v>
      </c>
      <c r="B208" s="13">
        <v>2145</v>
      </c>
      <c r="C208" s="14" t="str">
        <f>+VLOOKUP(B208,[1]LISTE!$A$1:$D$431,4,FALSE)</f>
        <v>MRIBAH HAMZA</v>
      </c>
      <c r="D208" s="15" t="s">
        <v>44</v>
      </c>
      <c r="E208" s="15">
        <v>45776</v>
      </c>
      <c r="F208" s="14" t="s">
        <v>18</v>
      </c>
      <c r="G208" s="16">
        <v>70</v>
      </c>
    </row>
    <row r="209" spans="1:7" x14ac:dyDescent="0.25">
      <c r="A209" s="13" t="s">
        <v>1380</v>
      </c>
      <c r="B209" s="13">
        <v>2145</v>
      </c>
      <c r="C209" s="14" t="str">
        <f>+VLOOKUP(B209,[1]LISTE!$A$1:$D$431,4,FALSE)</f>
        <v>MRIBAH HAMZA</v>
      </c>
      <c r="D209" s="14" t="s">
        <v>44</v>
      </c>
      <c r="E209" s="15">
        <v>45777</v>
      </c>
      <c r="F209" s="14" t="s">
        <v>19</v>
      </c>
      <c r="G209" s="16">
        <v>112.35</v>
      </c>
    </row>
    <row r="210" spans="1:7" x14ac:dyDescent="0.25">
      <c r="A210" s="13" t="s">
        <v>1380</v>
      </c>
      <c r="B210" s="13">
        <v>2145</v>
      </c>
      <c r="C210" s="14" t="str">
        <f>+VLOOKUP(B210,[1]LISTE!$A$1:$D$431,4,FALSE)</f>
        <v>MRIBAH HAMZA</v>
      </c>
      <c r="D210" s="14" t="s">
        <v>44</v>
      </c>
      <c r="E210" s="15">
        <v>45777</v>
      </c>
      <c r="F210" s="14" t="s">
        <v>20</v>
      </c>
      <c r="G210" s="16">
        <v>109.53</v>
      </c>
    </row>
    <row r="211" spans="1:7" x14ac:dyDescent="0.25">
      <c r="A211" s="13" t="s">
        <v>1400</v>
      </c>
      <c r="B211" s="13">
        <v>2170</v>
      </c>
      <c r="C211" s="14" t="str">
        <f>+VLOOKUP(B211,[1]LISTE!$A$1:$D$431,4,FALSE)</f>
        <v>BEN AHMED ANOUAR</v>
      </c>
      <c r="D211" s="15" t="s">
        <v>22</v>
      </c>
      <c r="E211" s="15">
        <v>45778</v>
      </c>
      <c r="F211" s="14" t="s">
        <v>23</v>
      </c>
      <c r="G211" s="16">
        <v>35</v>
      </c>
    </row>
    <row r="212" spans="1:7" x14ac:dyDescent="0.25">
      <c r="A212" s="13" t="s">
        <v>1400</v>
      </c>
      <c r="B212" s="13">
        <v>2170</v>
      </c>
      <c r="C212" s="14" t="str">
        <f>+VLOOKUP(B212,[1]LISTE!$A$1:$D$431,4,FALSE)</f>
        <v>BEN AHMED ANOUAR</v>
      </c>
      <c r="D212" s="14" t="s">
        <v>22</v>
      </c>
      <c r="E212" s="15">
        <v>45778</v>
      </c>
      <c r="F212" s="14" t="s">
        <v>20</v>
      </c>
      <c r="G212" s="16">
        <v>56.780999999999999</v>
      </c>
    </row>
    <row r="213" spans="1:7" x14ac:dyDescent="0.25">
      <c r="A213" s="13" t="s">
        <v>1392</v>
      </c>
      <c r="B213" s="13">
        <v>2180</v>
      </c>
      <c r="C213" s="14" t="s">
        <v>92</v>
      </c>
      <c r="D213" s="14" t="s">
        <v>513</v>
      </c>
      <c r="E213" s="15">
        <v>45777</v>
      </c>
      <c r="F213" s="14" t="s">
        <v>18</v>
      </c>
      <c r="G213" s="16">
        <v>60</v>
      </c>
    </row>
    <row r="214" spans="1:7" x14ac:dyDescent="0.25">
      <c r="A214" s="13" t="s">
        <v>1392</v>
      </c>
      <c r="B214" s="13">
        <v>2180</v>
      </c>
      <c r="C214" s="14" t="s">
        <v>92</v>
      </c>
      <c r="D214" s="15" t="s">
        <v>513</v>
      </c>
      <c r="E214" s="15">
        <v>45777</v>
      </c>
      <c r="F214" s="14" t="s">
        <v>20</v>
      </c>
      <c r="G214" s="16">
        <v>4.76</v>
      </c>
    </row>
    <row r="215" spans="1:7" x14ac:dyDescent="0.25">
      <c r="A215" s="13" t="s">
        <v>1392</v>
      </c>
      <c r="B215" s="13">
        <v>2180</v>
      </c>
      <c r="C215" s="14" t="s">
        <v>92</v>
      </c>
      <c r="D215" s="14" t="s">
        <v>513</v>
      </c>
      <c r="E215" s="15">
        <v>45777</v>
      </c>
      <c r="F215" s="14" t="s">
        <v>363</v>
      </c>
      <c r="G215" s="16">
        <v>250</v>
      </c>
    </row>
    <row r="216" spans="1:7" x14ac:dyDescent="0.25">
      <c r="A216" s="13" t="s">
        <v>1393</v>
      </c>
      <c r="B216" s="13">
        <v>2180</v>
      </c>
      <c r="C216" s="14" t="s">
        <v>92</v>
      </c>
      <c r="D216" s="14" t="s">
        <v>513</v>
      </c>
      <c r="E216" s="15">
        <v>45737</v>
      </c>
      <c r="F216" s="14" t="s">
        <v>18</v>
      </c>
      <c r="G216" s="16">
        <v>60</v>
      </c>
    </row>
    <row r="217" spans="1:7" x14ac:dyDescent="0.25">
      <c r="A217" s="13" t="s">
        <v>1393</v>
      </c>
      <c r="B217" s="13">
        <v>2180</v>
      </c>
      <c r="C217" s="14" t="s">
        <v>92</v>
      </c>
      <c r="D217" s="14" t="s">
        <v>513</v>
      </c>
      <c r="E217" s="15">
        <v>45737</v>
      </c>
      <c r="F217" s="14" t="s">
        <v>20</v>
      </c>
      <c r="G217" s="16">
        <v>53.271999999999998</v>
      </c>
    </row>
    <row r="218" spans="1:7" x14ac:dyDescent="0.25">
      <c r="A218" s="13" t="s">
        <v>1337</v>
      </c>
      <c r="B218" s="13">
        <v>2219</v>
      </c>
      <c r="C218" s="14" t="s">
        <v>518</v>
      </c>
      <c r="D218" s="14" t="s">
        <v>519</v>
      </c>
      <c r="E218" s="15">
        <v>45777</v>
      </c>
      <c r="F218" s="14" t="s">
        <v>18</v>
      </c>
      <c r="G218" s="16">
        <v>60</v>
      </c>
    </row>
    <row r="219" spans="1:7" x14ac:dyDescent="0.25">
      <c r="A219" s="13" t="s">
        <v>1337</v>
      </c>
      <c r="B219" s="13">
        <v>2219</v>
      </c>
      <c r="C219" s="14" t="s">
        <v>518</v>
      </c>
      <c r="D219" s="15" t="s">
        <v>519</v>
      </c>
      <c r="E219" s="15">
        <v>45777</v>
      </c>
      <c r="F219" s="14" t="s">
        <v>20</v>
      </c>
      <c r="G219" s="16">
        <v>10.513999999999999</v>
      </c>
    </row>
    <row r="220" spans="1:7" x14ac:dyDescent="0.25">
      <c r="A220" s="13" t="s">
        <v>1396</v>
      </c>
      <c r="B220" s="13">
        <v>2227</v>
      </c>
      <c r="C220" s="14" t="s">
        <v>1397</v>
      </c>
      <c r="D220" s="14" t="s">
        <v>22</v>
      </c>
      <c r="E220" s="15">
        <v>45775</v>
      </c>
      <c r="F220" s="14" t="s">
        <v>23</v>
      </c>
      <c r="G220" s="16">
        <v>50</v>
      </c>
    </row>
    <row r="221" spans="1:7" x14ac:dyDescent="0.25">
      <c r="A221" s="13" t="s">
        <v>1396</v>
      </c>
      <c r="B221" s="13">
        <v>2227</v>
      </c>
      <c r="C221" s="14" t="s">
        <v>1397</v>
      </c>
      <c r="D221" s="15" t="s">
        <v>22</v>
      </c>
      <c r="E221" s="15">
        <v>45775</v>
      </c>
      <c r="F221" s="14" t="s">
        <v>20</v>
      </c>
      <c r="G221" s="16">
        <v>22.03</v>
      </c>
    </row>
    <row r="222" spans="1:7" x14ac:dyDescent="0.25">
      <c r="A222" s="13" t="s">
        <v>1445</v>
      </c>
      <c r="B222" s="13">
        <v>2235</v>
      </c>
      <c r="C222" s="14" t="s">
        <v>1446</v>
      </c>
      <c r="D222" s="14" t="s">
        <v>22</v>
      </c>
      <c r="E222" s="15">
        <v>45765</v>
      </c>
      <c r="F222" s="14" t="s">
        <v>20</v>
      </c>
      <c r="G222" s="16">
        <v>31.855</v>
      </c>
    </row>
    <row r="223" spans="1:7" x14ac:dyDescent="0.25">
      <c r="A223" s="13" t="s">
        <v>1445</v>
      </c>
      <c r="B223" s="13">
        <v>2235</v>
      </c>
      <c r="C223" s="14" t="s">
        <v>1446</v>
      </c>
      <c r="D223" s="14" t="s">
        <v>22</v>
      </c>
      <c r="E223" s="15">
        <v>45766</v>
      </c>
      <c r="F223" s="14" t="s">
        <v>20</v>
      </c>
      <c r="G223" s="16">
        <v>48.22</v>
      </c>
    </row>
    <row r="224" spans="1:7" x14ac:dyDescent="0.25">
      <c r="A224" s="13" t="s">
        <v>1445</v>
      </c>
      <c r="B224" s="13">
        <v>2235</v>
      </c>
      <c r="C224" s="14" t="s">
        <v>1446</v>
      </c>
      <c r="D224" s="14" t="s">
        <v>22</v>
      </c>
      <c r="E224" s="15">
        <v>45766</v>
      </c>
      <c r="F224" s="14" t="s">
        <v>363</v>
      </c>
      <c r="G224" s="16">
        <v>450</v>
      </c>
    </row>
    <row r="225" spans="1:7" x14ac:dyDescent="0.25">
      <c r="A225" s="13" t="s">
        <v>1445</v>
      </c>
      <c r="B225" s="13">
        <v>2235</v>
      </c>
      <c r="C225" s="14" t="s">
        <v>1446</v>
      </c>
      <c r="D225" s="15" t="s">
        <v>22</v>
      </c>
      <c r="E225" s="15">
        <v>45766</v>
      </c>
      <c r="F225" s="14" t="s">
        <v>363</v>
      </c>
      <c r="G225" s="16">
        <v>120</v>
      </c>
    </row>
    <row r="226" spans="1:7" x14ac:dyDescent="0.25">
      <c r="A226" s="13" t="s">
        <v>1445</v>
      </c>
      <c r="B226" s="13">
        <v>2235</v>
      </c>
      <c r="C226" s="14" t="s">
        <v>1446</v>
      </c>
      <c r="D226" s="15" t="s">
        <v>22</v>
      </c>
      <c r="E226" s="15">
        <v>45766</v>
      </c>
      <c r="F226" s="14" t="s">
        <v>364</v>
      </c>
      <c r="G226" s="16">
        <v>430</v>
      </c>
    </row>
    <row r="227" spans="1:7" x14ac:dyDescent="0.25">
      <c r="A227" s="13" t="s">
        <v>1448</v>
      </c>
      <c r="B227" s="13">
        <v>2235</v>
      </c>
      <c r="C227" s="14" t="s">
        <v>1446</v>
      </c>
      <c r="D227" s="15" t="s">
        <v>22</v>
      </c>
      <c r="E227" s="15">
        <v>45762</v>
      </c>
      <c r="F227" s="14" t="s">
        <v>23</v>
      </c>
      <c r="G227" s="16">
        <v>40</v>
      </c>
    </row>
    <row r="228" spans="1:7" x14ac:dyDescent="0.25">
      <c r="A228" s="13" t="s">
        <v>1343</v>
      </c>
      <c r="B228" s="13">
        <v>2243</v>
      </c>
      <c r="C228" s="14" t="s">
        <v>1344</v>
      </c>
      <c r="D228" s="15" t="s">
        <v>22</v>
      </c>
      <c r="E228" s="15">
        <v>45772</v>
      </c>
      <c r="F228" s="14" t="s">
        <v>18</v>
      </c>
      <c r="G228" s="16">
        <v>60</v>
      </c>
    </row>
    <row r="229" spans="1:7" x14ac:dyDescent="0.25">
      <c r="A229" s="13" t="s">
        <v>1343</v>
      </c>
      <c r="B229" s="13">
        <v>2243</v>
      </c>
      <c r="C229" s="14" t="s">
        <v>1344</v>
      </c>
      <c r="D229" s="14" t="s">
        <v>22</v>
      </c>
      <c r="E229" s="15">
        <v>45775</v>
      </c>
      <c r="F229" s="14" t="s">
        <v>20</v>
      </c>
      <c r="G229" s="16">
        <v>218.79300000000001</v>
      </c>
    </row>
    <row r="230" spans="1:7" x14ac:dyDescent="0.25">
      <c r="A230" s="13" t="s">
        <v>1343</v>
      </c>
      <c r="B230" s="13">
        <v>2243</v>
      </c>
      <c r="C230" s="14" t="s">
        <v>1344</v>
      </c>
      <c r="D230" s="14" t="s">
        <v>22</v>
      </c>
      <c r="E230" s="15">
        <v>45752</v>
      </c>
      <c r="F230" s="14" t="s">
        <v>21</v>
      </c>
      <c r="G230" s="16">
        <v>135</v>
      </c>
    </row>
    <row r="231" spans="1:7" x14ac:dyDescent="0.25">
      <c r="A231" s="13" t="s">
        <v>1348</v>
      </c>
      <c r="B231" s="13">
        <v>2246</v>
      </c>
      <c r="C231" s="14" t="s">
        <v>664</v>
      </c>
      <c r="D231" s="15" t="s">
        <v>665</v>
      </c>
      <c r="E231" s="15">
        <v>45764</v>
      </c>
      <c r="F231" s="14" t="s">
        <v>18</v>
      </c>
      <c r="G231" s="16">
        <v>100</v>
      </c>
    </row>
    <row r="232" spans="1:7" x14ac:dyDescent="0.25">
      <c r="A232" s="13" t="s">
        <v>1348</v>
      </c>
      <c r="B232" s="13">
        <v>2246</v>
      </c>
      <c r="C232" s="14" t="s">
        <v>664</v>
      </c>
      <c r="D232" s="15" t="s">
        <v>665</v>
      </c>
      <c r="E232" s="15">
        <v>45764</v>
      </c>
      <c r="F232" s="14" t="s">
        <v>20</v>
      </c>
      <c r="G232" s="16">
        <v>28.54</v>
      </c>
    </row>
    <row r="233" spans="1:7" x14ac:dyDescent="0.25">
      <c r="A233" s="13" t="s">
        <v>1387</v>
      </c>
      <c r="B233" s="13">
        <v>2254</v>
      </c>
      <c r="C233" s="14" t="s">
        <v>106</v>
      </c>
      <c r="D233" s="14" t="s">
        <v>22</v>
      </c>
      <c r="E233" s="15">
        <v>45779</v>
      </c>
      <c r="F233" s="14" t="s">
        <v>23</v>
      </c>
      <c r="G233" s="16">
        <v>50</v>
      </c>
    </row>
    <row r="234" spans="1:7" x14ac:dyDescent="0.25">
      <c r="A234" s="13" t="s">
        <v>1387</v>
      </c>
      <c r="B234" s="13">
        <v>2254</v>
      </c>
      <c r="C234" s="14" t="s">
        <v>106</v>
      </c>
      <c r="D234" s="15" t="s">
        <v>22</v>
      </c>
      <c r="E234" s="15">
        <v>45779</v>
      </c>
      <c r="F234" s="14" t="s">
        <v>20</v>
      </c>
      <c r="G234" s="16">
        <v>2.605</v>
      </c>
    </row>
    <row r="235" spans="1:7" x14ac:dyDescent="0.25">
      <c r="A235" s="13" t="s">
        <v>1387</v>
      </c>
      <c r="B235" s="13">
        <v>2254</v>
      </c>
      <c r="C235" s="14" t="s">
        <v>106</v>
      </c>
      <c r="D235" s="15" t="s">
        <v>22</v>
      </c>
      <c r="E235" s="15">
        <v>45783</v>
      </c>
      <c r="F235" s="14" t="s">
        <v>24</v>
      </c>
      <c r="G235" s="16">
        <v>220</v>
      </c>
    </row>
    <row r="236" spans="1:7" x14ac:dyDescent="0.25">
      <c r="A236" s="13" t="s">
        <v>1419</v>
      </c>
      <c r="B236" s="13">
        <v>2271</v>
      </c>
      <c r="C236" s="14" t="s">
        <v>27</v>
      </c>
      <c r="D236" s="14" t="s">
        <v>63</v>
      </c>
      <c r="E236" s="15">
        <v>45784</v>
      </c>
      <c r="F236" s="14" t="s">
        <v>18</v>
      </c>
      <c r="G236" s="16">
        <v>60</v>
      </c>
    </row>
    <row r="237" spans="1:7" x14ac:dyDescent="0.25">
      <c r="A237" s="13" t="s">
        <v>1419</v>
      </c>
      <c r="B237" s="13">
        <v>2271</v>
      </c>
      <c r="C237" s="14" t="s">
        <v>27</v>
      </c>
      <c r="D237" s="14" t="s">
        <v>63</v>
      </c>
      <c r="E237" s="15">
        <v>45784</v>
      </c>
      <c r="F237" s="14" t="s">
        <v>20</v>
      </c>
      <c r="G237" s="16">
        <v>24.33</v>
      </c>
    </row>
    <row r="238" spans="1:7" x14ac:dyDescent="0.25">
      <c r="A238" s="13" t="s">
        <v>1355</v>
      </c>
      <c r="B238" s="13">
        <v>2275</v>
      </c>
      <c r="C238" s="14" t="s">
        <v>916</v>
      </c>
      <c r="D238" s="15" t="s">
        <v>917</v>
      </c>
      <c r="E238" s="15">
        <v>45764</v>
      </c>
      <c r="F238" s="14" t="s">
        <v>18</v>
      </c>
      <c r="G238" s="16">
        <v>70</v>
      </c>
    </row>
    <row r="239" spans="1:7" x14ac:dyDescent="0.25">
      <c r="A239" s="13" t="s">
        <v>1355</v>
      </c>
      <c r="B239" s="13">
        <v>2275</v>
      </c>
      <c r="C239" s="14" t="s">
        <v>916</v>
      </c>
      <c r="D239" s="15" t="s">
        <v>917</v>
      </c>
      <c r="E239" s="15">
        <v>45764</v>
      </c>
      <c r="F239" s="14" t="s">
        <v>20</v>
      </c>
      <c r="G239" s="16">
        <v>3.33</v>
      </c>
    </row>
    <row r="240" spans="1:7" x14ac:dyDescent="0.25">
      <c r="A240" s="13" t="s">
        <v>1362</v>
      </c>
      <c r="B240" s="13">
        <v>2312</v>
      </c>
      <c r="C240" s="14" t="s">
        <v>398</v>
      </c>
      <c r="D240" s="14" t="s">
        <v>327</v>
      </c>
      <c r="E240" s="15">
        <v>45778</v>
      </c>
      <c r="F240" s="14" t="s">
        <v>23</v>
      </c>
      <c r="G240" s="16">
        <v>3</v>
      </c>
    </row>
    <row r="241" spans="1:7" x14ac:dyDescent="0.25">
      <c r="A241" s="13" t="s">
        <v>1362</v>
      </c>
      <c r="B241" s="13">
        <v>2312</v>
      </c>
      <c r="C241" s="14" t="s">
        <v>398</v>
      </c>
      <c r="D241" s="14" t="s">
        <v>327</v>
      </c>
      <c r="E241" s="15">
        <v>45778</v>
      </c>
      <c r="F241" s="14" t="s">
        <v>20</v>
      </c>
      <c r="G241" s="16">
        <v>22.1</v>
      </c>
    </row>
    <row r="242" spans="1:7" x14ac:dyDescent="0.25">
      <c r="A242" s="13" t="s">
        <v>1444</v>
      </c>
      <c r="B242" s="13">
        <v>2319</v>
      </c>
      <c r="C242" s="14" t="s">
        <v>1145</v>
      </c>
      <c r="D242" s="14" t="s">
        <v>22</v>
      </c>
      <c r="E242" s="15">
        <v>45787</v>
      </c>
      <c r="F242" s="14" t="s">
        <v>18</v>
      </c>
      <c r="G242" s="16">
        <v>70</v>
      </c>
    </row>
    <row r="243" spans="1:7" x14ac:dyDescent="0.25">
      <c r="A243" s="13" t="s">
        <v>1444</v>
      </c>
      <c r="B243" s="13">
        <v>2319</v>
      </c>
      <c r="C243" s="14" t="s">
        <v>1145</v>
      </c>
      <c r="D243" s="14" t="s">
        <v>22</v>
      </c>
      <c r="E243" s="15">
        <v>45787</v>
      </c>
      <c r="F243" s="14" t="s">
        <v>20</v>
      </c>
      <c r="G243" s="16">
        <v>25.565000000000001</v>
      </c>
    </row>
    <row r="244" spans="1:7" x14ac:dyDescent="0.25">
      <c r="A244" s="13" t="s">
        <v>1341</v>
      </c>
      <c r="B244" s="13">
        <v>2326</v>
      </c>
      <c r="C244" s="14" t="s">
        <v>28</v>
      </c>
      <c r="D244" s="14" t="s">
        <v>22</v>
      </c>
      <c r="E244" s="15">
        <v>45775</v>
      </c>
      <c r="F244" s="14" t="s">
        <v>18</v>
      </c>
      <c r="G244" s="16">
        <v>70</v>
      </c>
    </row>
    <row r="245" spans="1:7" x14ac:dyDescent="0.25">
      <c r="A245" s="13" t="s">
        <v>1341</v>
      </c>
      <c r="B245" s="13">
        <v>2326</v>
      </c>
      <c r="C245" s="14" t="s">
        <v>28</v>
      </c>
      <c r="D245" s="15" t="s">
        <v>22</v>
      </c>
      <c r="E245" s="15">
        <v>45776</v>
      </c>
      <c r="F245" s="14" t="s">
        <v>20</v>
      </c>
      <c r="G245" s="16">
        <v>420</v>
      </c>
    </row>
    <row r="246" spans="1:7" x14ac:dyDescent="0.25">
      <c r="A246" s="13" t="s">
        <v>1374</v>
      </c>
      <c r="B246" s="13">
        <v>2414</v>
      </c>
      <c r="C246" s="14" t="s">
        <v>1375</v>
      </c>
      <c r="D246" s="14" t="s">
        <v>22</v>
      </c>
      <c r="E246" s="15">
        <v>45761</v>
      </c>
      <c r="F246" s="14" t="s">
        <v>18</v>
      </c>
      <c r="G246" s="16">
        <v>70</v>
      </c>
    </row>
    <row r="247" spans="1:7" x14ac:dyDescent="0.25">
      <c r="A247" s="13" t="s">
        <v>1374</v>
      </c>
      <c r="B247" s="13">
        <v>2414</v>
      </c>
      <c r="C247" s="14" t="s">
        <v>1375</v>
      </c>
      <c r="D247" s="15" t="s">
        <v>22</v>
      </c>
      <c r="E247" s="15">
        <v>45761</v>
      </c>
      <c r="F247" s="14" t="s">
        <v>20</v>
      </c>
      <c r="G247" s="16">
        <v>2.4550000000000001</v>
      </c>
    </row>
    <row r="248" spans="1:7" x14ac:dyDescent="0.25">
      <c r="A248" s="13" t="s">
        <v>1338</v>
      </c>
      <c r="B248" s="13">
        <v>2497</v>
      </c>
      <c r="C248" s="14" t="s">
        <v>1263</v>
      </c>
      <c r="D248" s="14" t="s">
        <v>669</v>
      </c>
      <c r="E248" s="15">
        <v>45776</v>
      </c>
      <c r="F248" s="14" t="s">
        <v>23</v>
      </c>
      <c r="G248" s="16">
        <v>3</v>
      </c>
    </row>
    <row r="249" spans="1:7" x14ac:dyDescent="0.25">
      <c r="A249" s="13" t="s">
        <v>1338</v>
      </c>
      <c r="B249" s="13">
        <v>2497</v>
      </c>
      <c r="C249" s="14" t="s">
        <v>1263</v>
      </c>
      <c r="D249" s="14" t="s">
        <v>669</v>
      </c>
      <c r="E249" s="15">
        <v>45776</v>
      </c>
      <c r="F249" s="14" t="s">
        <v>20</v>
      </c>
      <c r="G249" s="16">
        <v>45.265000000000001</v>
      </c>
    </row>
    <row r="250" spans="1:7" x14ac:dyDescent="0.25">
      <c r="A250" s="13" t="s">
        <v>1418</v>
      </c>
      <c r="B250" s="13">
        <v>2535</v>
      </c>
      <c r="C250" s="14" t="s">
        <v>30</v>
      </c>
      <c r="D250" s="15" t="s">
        <v>22</v>
      </c>
      <c r="E250" s="15">
        <v>45780</v>
      </c>
      <c r="F250" s="14" t="s">
        <v>18</v>
      </c>
      <c r="G250" s="16">
        <v>70</v>
      </c>
    </row>
    <row r="251" spans="1:7" x14ac:dyDescent="0.25">
      <c r="A251" s="13" t="s">
        <v>1418</v>
      </c>
      <c r="B251" s="13">
        <v>2535</v>
      </c>
      <c r="C251" s="14" t="s">
        <v>30</v>
      </c>
      <c r="D251" s="15" t="s">
        <v>22</v>
      </c>
      <c r="E251" s="15">
        <v>45782</v>
      </c>
      <c r="F251" s="14" t="s">
        <v>19</v>
      </c>
      <c r="G251" s="16">
        <v>67.760000000000005</v>
      </c>
    </row>
    <row r="252" spans="1:7" x14ac:dyDescent="0.25">
      <c r="A252" s="13" t="s">
        <v>1418</v>
      </c>
      <c r="B252" s="13">
        <v>2535</v>
      </c>
      <c r="C252" s="14" t="s">
        <v>30</v>
      </c>
      <c r="D252" s="15" t="s">
        <v>22</v>
      </c>
      <c r="E252" s="15">
        <v>45784</v>
      </c>
      <c r="F252" s="14" t="s">
        <v>20</v>
      </c>
      <c r="G252" s="16">
        <v>66.265000000000001</v>
      </c>
    </row>
    <row r="253" spans="1:7" x14ac:dyDescent="0.25">
      <c r="A253" s="13" t="s">
        <v>1405</v>
      </c>
      <c r="B253" s="13">
        <v>2596</v>
      </c>
      <c r="C253" s="14" t="s">
        <v>1406</v>
      </c>
      <c r="D253" s="15" t="s">
        <v>22</v>
      </c>
      <c r="E253" s="15">
        <v>45776</v>
      </c>
      <c r="F253" s="14" t="s">
        <v>18</v>
      </c>
      <c r="G253" s="16">
        <v>70</v>
      </c>
    </row>
    <row r="254" spans="1:7" x14ac:dyDescent="0.25">
      <c r="A254" s="13" t="s">
        <v>1405</v>
      </c>
      <c r="B254" s="13">
        <v>2596</v>
      </c>
      <c r="C254" s="14" t="s">
        <v>1406</v>
      </c>
      <c r="D254" s="15" t="s">
        <v>22</v>
      </c>
      <c r="E254" s="15">
        <v>45779</v>
      </c>
      <c r="F254" s="14" t="s">
        <v>69</v>
      </c>
      <c r="G254" s="16">
        <v>500</v>
      </c>
    </row>
    <row r="255" spans="1:7" x14ac:dyDescent="0.25">
      <c r="A255" s="13" t="s">
        <v>1334</v>
      </c>
      <c r="B255" s="13">
        <v>2633</v>
      </c>
      <c r="C255" s="14" t="s">
        <v>157</v>
      </c>
      <c r="D255" s="15" t="s">
        <v>22</v>
      </c>
      <c r="E255" s="15">
        <v>45775</v>
      </c>
      <c r="F255" s="14" t="s">
        <v>23</v>
      </c>
      <c r="G255" s="16">
        <v>50</v>
      </c>
    </row>
    <row r="256" spans="1:7" x14ac:dyDescent="0.25">
      <c r="A256" s="13" t="s">
        <v>1334</v>
      </c>
      <c r="B256" s="13">
        <v>2633</v>
      </c>
      <c r="C256" s="14" t="s">
        <v>157</v>
      </c>
      <c r="D256" s="15" t="s">
        <v>22</v>
      </c>
      <c r="E256" s="15">
        <v>45775</v>
      </c>
      <c r="F256" s="14" t="s">
        <v>20</v>
      </c>
      <c r="G256" s="16">
        <v>1.7150000000000001</v>
      </c>
    </row>
    <row r="257" spans="1:7" x14ac:dyDescent="0.25">
      <c r="A257" s="13" t="s">
        <v>1334</v>
      </c>
      <c r="B257" s="13">
        <v>2633</v>
      </c>
      <c r="C257" s="14" t="s">
        <v>157</v>
      </c>
      <c r="D257" s="14" t="s">
        <v>22</v>
      </c>
      <c r="E257" s="15">
        <v>45775</v>
      </c>
      <c r="F257" s="14" t="s">
        <v>24</v>
      </c>
      <c r="G257" s="16">
        <v>150</v>
      </c>
    </row>
    <row r="258" spans="1:7" x14ac:dyDescent="0.25">
      <c r="A258" s="13" t="s">
        <v>1417</v>
      </c>
      <c r="B258" s="13">
        <v>2633</v>
      </c>
      <c r="C258" s="14" t="s">
        <v>157</v>
      </c>
      <c r="D258" s="15" t="s">
        <v>158</v>
      </c>
      <c r="E258" s="15">
        <v>45784</v>
      </c>
      <c r="F258" s="14" t="s">
        <v>21</v>
      </c>
      <c r="G258" s="16">
        <v>150</v>
      </c>
    </row>
    <row r="259" spans="1:7" ht="18.75" x14ac:dyDescent="0.3">
      <c r="A259" s="14"/>
      <c r="B259" s="28"/>
      <c r="C259" s="29"/>
      <c r="D259" s="14"/>
      <c r="E259" s="28"/>
      <c r="F259" s="17" t="s">
        <v>11</v>
      </c>
      <c r="G259" s="17">
        <f>SUM(G10:G258)</f>
        <v>25827.02399999999</v>
      </c>
    </row>
    <row r="260" spans="1:7" ht="18.75" x14ac:dyDescent="0.3">
      <c r="A260" s="38"/>
      <c r="B260" s="39"/>
      <c r="C260" s="40"/>
      <c r="D260" s="41"/>
      <c r="E260" s="19"/>
      <c r="F260" s="18"/>
      <c r="G260" s="34"/>
    </row>
    <row r="261" spans="1:7" ht="18.75" x14ac:dyDescent="0.3">
      <c r="A261" s="35"/>
      <c r="B261" s="36"/>
      <c r="C261" s="37"/>
      <c r="D261" s="42"/>
      <c r="E261" s="43"/>
      <c r="F261" s="44"/>
      <c r="G261" s="44"/>
    </row>
    <row r="262" spans="1:7" ht="15.75" x14ac:dyDescent="0.25">
      <c r="A262" s="35"/>
      <c r="B262" s="36" t="s">
        <v>12</v>
      </c>
      <c r="C262" s="37"/>
      <c r="E262" s="36" t="s">
        <v>13</v>
      </c>
      <c r="F262" s="18"/>
      <c r="G262" s="18"/>
    </row>
    <row r="263" spans="1:7" ht="15.75" x14ac:dyDescent="0.25">
      <c r="A263" s="45"/>
      <c r="B263" s="46" t="s">
        <v>14</v>
      </c>
      <c r="C263" s="47"/>
      <c r="E263" s="36" t="s">
        <v>15</v>
      </c>
      <c r="F263" s="18"/>
      <c r="G263" s="18"/>
    </row>
    <row r="264" spans="1:7" ht="15.75" x14ac:dyDescent="0.25">
      <c r="A264" s="23"/>
      <c r="B264" s="24"/>
      <c r="C264" s="25"/>
      <c r="E264" s="27"/>
      <c r="F264" s="18"/>
      <c r="G264" s="18"/>
    </row>
    <row r="265" spans="1:7" ht="18.75" x14ac:dyDescent="0.3">
      <c r="B265" s="19"/>
      <c r="C265" s="20"/>
      <c r="D265" s="21"/>
      <c r="E265" s="22"/>
      <c r="F265" s="19"/>
      <c r="G265" s="22"/>
    </row>
    <row r="266" spans="1:7" ht="15.75" x14ac:dyDescent="0.25">
      <c r="A266" s="23"/>
      <c r="B266" s="24"/>
      <c r="C266" s="25"/>
      <c r="D266" s="26"/>
      <c r="E266" s="22"/>
      <c r="F266" s="27"/>
      <c r="G266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4"/>
  <sheetViews>
    <sheetView workbookViewId="0">
      <pane ySplit="9" topLeftCell="A10" activePane="bottomLeft" state="frozen"/>
      <selection pane="bottomLeft" sqref="A1:A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1451</v>
      </c>
      <c r="C5" s="7"/>
      <c r="D5" s="4"/>
    </row>
    <row r="6" spans="1:7" ht="22.5" customHeight="1" x14ac:dyDescent="0.25">
      <c r="A6" s="6"/>
      <c r="B6" s="8" t="s">
        <v>1566</v>
      </c>
      <c r="C6" s="9"/>
      <c r="D6" s="4"/>
    </row>
    <row r="7" spans="1:7" ht="22.5" customHeight="1" x14ac:dyDescent="0.35">
      <c r="A7" s="4"/>
      <c r="B7" s="10"/>
      <c r="C7" s="11" t="s">
        <v>1564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1458</v>
      </c>
      <c r="B10" s="13">
        <v>192</v>
      </c>
      <c r="C10" s="14" t="s">
        <v>998</v>
      </c>
      <c r="D10" s="14" t="s">
        <v>234</v>
      </c>
      <c r="E10" s="15">
        <v>45791</v>
      </c>
      <c r="F10" s="14" t="s">
        <v>20</v>
      </c>
      <c r="G10" s="16">
        <v>105.28</v>
      </c>
    </row>
    <row r="11" spans="1:7" x14ac:dyDescent="0.25">
      <c r="A11" s="13" t="s">
        <v>1513</v>
      </c>
      <c r="B11" s="13">
        <v>590</v>
      </c>
      <c r="C11" s="14" t="str">
        <f>+VLOOKUP(B11,[1]LISTE!$A$1:$D$431,4,FALSE)</f>
        <v>KHALFALLAH ABDELAZIZ</v>
      </c>
      <c r="D11" s="14" t="s">
        <v>744</v>
      </c>
      <c r="E11" s="15">
        <v>45792</v>
      </c>
      <c r="F11" s="14" t="s">
        <v>23</v>
      </c>
      <c r="G11" s="16">
        <v>40</v>
      </c>
    </row>
    <row r="12" spans="1:7" x14ac:dyDescent="0.25">
      <c r="A12" s="13" t="s">
        <v>1513</v>
      </c>
      <c r="B12" s="13">
        <v>590</v>
      </c>
      <c r="C12" s="14" t="str">
        <f>+VLOOKUP(B12,[1]LISTE!$A$1:$D$431,4,FALSE)</f>
        <v>KHALFALLAH ABDELAZIZ</v>
      </c>
      <c r="D12" s="14" t="s">
        <v>744</v>
      </c>
      <c r="E12" s="15">
        <v>45794</v>
      </c>
      <c r="F12" s="14" t="s">
        <v>20</v>
      </c>
      <c r="G12" s="16">
        <v>218.69499999999999</v>
      </c>
    </row>
    <row r="13" spans="1:7" x14ac:dyDescent="0.25">
      <c r="A13" s="13" t="s">
        <v>1518</v>
      </c>
      <c r="B13" s="13">
        <v>590</v>
      </c>
      <c r="C13" s="14" t="str">
        <f>+VLOOKUP(B13,[1]LISTE!$A$1:$D$431,4,FALSE)</f>
        <v>KHALFALLAH ABDELAZIZ</v>
      </c>
      <c r="D13" s="15" t="s">
        <v>279</v>
      </c>
      <c r="E13" s="15">
        <v>45779</v>
      </c>
      <c r="F13" s="14" t="s">
        <v>23</v>
      </c>
      <c r="G13" s="16">
        <v>40</v>
      </c>
    </row>
    <row r="14" spans="1:7" x14ac:dyDescent="0.25">
      <c r="A14" s="13" t="s">
        <v>1518</v>
      </c>
      <c r="B14" s="13">
        <v>590</v>
      </c>
      <c r="C14" s="14" t="str">
        <f>+VLOOKUP(B14,[1]LISTE!$A$1:$D$431,4,FALSE)</f>
        <v>KHALFALLAH ABDELAZIZ</v>
      </c>
      <c r="D14" s="14" t="s">
        <v>279</v>
      </c>
      <c r="E14" s="15">
        <v>45779</v>
      </c>
      <c r="F14" s="14" t="s">
        <v>20</v>
      </c>
      <c r="G14" s="16">
        <v>36.299999999999997</v>
      </c>
    </row>
    <row r="15" spans="1:7" x14ac:dyDescent="0.25">
      <c r="A15" s="13" t="s">
        <v>1547</v>
      </c>
      <c r="B15" s="13">
        <v>700</v>
      </c>
      <c r="C15" s="14" t="str">
        <f>+VLOOKUP(B15,[1]LISTE!$A$1:$D$431,4,FALSE)</f>
        <v>ZORGATI ABDELFATTEH</v>
      </c>
      <c r="D15" s="14" t="s">
        <v>22</v>
      </c>
      <c r="E15" s="15">
        <v>45800</v>
      </c>
      <c r="F15" s="14" t="s">
        <v>23</v>
      </c>
      <c r="G15" s="16">
        <v>25</v>
      </c>
    </row>
    <row r="16" spans="1:7" x14ac:dyDescent="0.25">
      <c r="A16" s="13" t="s">
        <v>1547</v>
      </c>
      <c r="B16" s="13">
        <v>700</v>
      </c>
      <c r="C16" s="14" t="str">
        <f>+VLOOKUP(B16,[1]LISTE!$A$1:$D$431,4,FALSE)</f>
        <v>ZORGATI ABDELFATTEH</v>
      </c>
      <c r="D16" s="15" t="s">
        <v>22</v>
      </c>
      <c r="E16" s="15">
        <v>45800</v>
      </c>
      <c r="F16" s="14" t="s">
        <v>20</v>
      </c>
      <c r="G16" s="16">
        <v>50.176000000000002</v>
      </c>
    </row>
    <row r="17" spans="1:7" x14ac:dyDescent="0.25">
      <c r="A17" s="13" t="s">
        <v>1548</v>
      </c>
      <c r="B17" s="13">
        <v>700</v>
      </c>
      <c r="C17" s="14" t="str">
        <f>+VLOOKUP(B17,[1]LISTE!$A$1:$D$431,4,FALSE)</f>
        <v>ZORGATI ABDELFATTEH</v>
      </c>
      <c r="D17" s="15" t="s">
        <v>22</v>
      </c>
      <c r="E17" s="15">
        <v>45800</v>
      </c>
      <c r="F17" s="14" t="s">
        <v>18</v>
      </c>
      <c r="G17" s="16">
        <v>70</v>
      </c>
    </row>
    <row r="18" spans="1:7" x14ac:dyDescent="0.25">
      <c r="A18" s="13" t="s">
        <v>1548</v>
      </c>
      <c r="B18" s="13">
        <v>700</v>
      </c>
      <c r="C18" s="14" t="str">
        <f>+VLOOKUP(B18,[1]LISTE!$A$1:$D$431,4,FALSE)</f>
        <v>ZORGATI ABDELFATTEH</v>
      </c>
      <c r="D18" s="14" t="s">
        <v>22</v>
      </c>
      <c r="E18" s="15">
        <v>45800</v>
      </c>
      <c r="F18" s="14" t="s">
        <v>20</v>
      </c>
      <c r="G18" s="16">
        <v>340</v>
      </c>
    </row>
    <row r="19" spans="1:7" x14ac:dyDescent="0.25">
      <c r="A19" s="13" t="s">
        <v>1466</v>
      </c>
      <c r="B19" s="13">
        <v>879</v>
      </c>
      <c r="C19" s="14" t="str">
        <f>+VLOOKUP(B19,[1]LISTE!$A$1:$D$431,4,FALSE)</f>
        <v>MOUSSA ABDERRAZEK</v>
      </c>
      <c r="D19" s="14" t="s">
        <v>79</v>
      </c>
      <c r="E19" s="15">
        <v>45777</v>
      </c>
      <c r="F19" s="14" t="s">
        <v>18</v>
      </c>
      <c r="G19" s="16">
        <v>70</v>
      </c>
    </row>
    <row r="20" spans="1:7" x14ac:dyDescent="0.25">
      <c r="A20" s="13" t="s">
        <v>1466</v>
      </c>
      <c r="B20" s="13">
        <v>879</v>
      </c>
      <c r="C20" s="14" t="str">
        <f>+VLOOKUP(B20,[1]LISTE!$A$1:$D$431,4,FALSE)</f>
        <v>MOUSSA ABDERRAZEK</v>
      </c>
      <c r="D20" s="14" t="s">
        <v>79</v>
      </c>
      <c r="E20" s="15">
        <v>45777</v>
      </c>
      <c r="F20" s="14" t="s">
        <v>20</v>
      </c>
      <c r="G20" s="16">
        <v>55.600999999999999</v>
      </c>
    </row>
    <row r="21" spans="1:7" x14ac:dyDescent="0.25">
      <c r="A21" s="13" t="s">
        <v>1466</v>
      </c>
      <c r="B21" s="13">
        <v>879</v>
      </c>
      <c r="C21" s="14" t="str">
        <f>+VLOOKUP(B21,[1]LISTE!$A$1:$D$431,4,FALSE)</f>
        <v>MOUSSA ABDERRAZEK</v>
      </c>
      <c r="D21" s="15" t="s">
        <v>79</v>
      </c>
      <c r="E21" s="15">
        <v>45782</v>
      </c>
      <c r="F21" s="14" t="s">
        <v>19</v>
      </c>
      <c r="G21" s="16">
        <v>25.05</v>
      </c>
    </row>
    <row r="22" spans="1:7" x14ac:dyDescent="0.25">
      <c r="A22" s="13" t="s">
        <v>1467</v>
      </c>
      <c r="B22" s="13">
        <v>879</v>
      </c>
      <c r="C22" s="14" t="str">
        <f>+VLOOKUP(B22,[1]LISTE!$A$1:$D$431,4,FALSE)</f>
        <v>MOUSSA ABDERRAZEK</v>
      </c>
      <c r="D22" s="15" t="s">
        <v>79</v>
      </c>
      <c r="E22" s="15">
        <v>45784</v>
      </c>
      <c r="F22" s="14" t="s">
        <v>363</v>
      </c>
      <c r="G22" s="16">
        <v>250</v>
      </c>
    </row>
    <row r="23" spans="1:7" x14ac:dyDescent="0.25">
      <c r="A23" s="13" t="s">
        <v>1467</v>
      </c>
      <c r="B23" s="13">
        <v>879</v>
      </c>
      <c r="C23" s="14" t="str">
        <f>+VLOOKUP(B23,[1]LISTE!$A$1:$D$431,4,FALSE)</f>
        <v>MOUSSA ABDERRAZEK</v>
      </c>
      <c r="D23" s="15" t="s">
        <v>79</v>
      </c>
      <c r="E23" s="15">
        <v>45784</v>
      </c>
      <c r="F23" s="14" t="s">
        <v>19</v>
      </c>
      <c r="G23" s="16">
        <v>150</v>
      </c>
    </row>
    <row r="24" spans="1:7" x14ac:dyDescent="0.25">
      <c r="A24" s="13" t="s">
        <v>1499</v>
      </c>
      <c r="B24" s="13">
        <v>879</v>
      </c>
      <c r="C24" s="14" t="str">
        <f>+VLOOKUP(B24,[1]LISTE!$A$1:$D$431,4,FALSE)</f>
        <v>MOUSSA ABDERRAZEK</v>
      </c>
      <c r="D24" s="15" t="s">
        <v>79</v>
      </c>
      <c r="E24" s="15">
        <v>45793</v>
      </c>
      <c r="F24" s="14" t="s">
        <v>18</v>
      </c>
      <c r="G24" s="16">
        <v>70</v>
      </c>
    </row>
    <row r="25" spans="1:7" x14ac:dyDescent="0.25">
      <c r="A25" s="13" t="s">
        <v>1499</v>
      </c>
      <c r="B25" s="13">
        <v>879</v>
      </c>
      <c r="C25" s="14" t="str">
        <f>+VLOOKUP(B25,[1]LISTE!$A$1:$D$431,4,FALSE)</f>
        <v>MOUSSA ABDERRAZEK</v>
      </c>
      <c r="D25" s="14" t="s">
        <v>79</v>
      </c>
      <c r="E25" s="15">
        <v>45793</v>
      </c>
      <c r="F25" s="14" t="s">
        <v>20</v>
      </c>
      <c r="G25" s="16">
        <v>75.167000000000002</v>
      </c>
    </row>
    <row r="26" spans="1:7" x14ac:dyDescent="0.25">
      <c r="A26" s="13" t="s">
        <v>1482</v>
      </c>
      <c r="B26" s="13">
        <v>923</v>
      </c>
      <c r="C26" s="14" t="str">
        <f>+VLOOKUP(B26,[1]LISTE!$A$1:$D$431,4,FALSE)</f>
        <v>BEN AZIZA SLAH</v>
      </c>
      <c r="D26" s="14" t="s">
        <v>1436</v>
      </c>
      <c r="E26" s="15">
        <v>45792</v>
      </c>
      <c r="F26" s="14" t="s">
        <v>18</v>
      </c>
      <c r="G26" s="16">
        <v>70</v>
      </c>
    </row>
    <row r="27" spans="1:7" x14ac:dyDescent="0.25">
      <c r="A27" s="13" t="s">
        <v>1482</v>
      </c>
      <c r="B27" s="13">
        <v>923</v>
      </c>
      <c r="C27" s="14" t="str">
        <f>+VLOOKUP(B27,[1]LISTE!$A$1:$D$431,4,FALSE)</f>
        <v>BEN AZIZA SLAH</v>
      </c>
      <c r="D27" s="15" t="s">
        <v>1436</v>
      </c>
      <c r="E27" s="15">
        <v>45793</v>
      </c>
      <c r="F27" s="14" t="s">
        <v>20</v>
      </c>
      <c r="G27" s="16">
        <v>48.877000000000002</v>
      </c>
    </row>
    <row r="28" spans="1:7" x14ac:dyDescent="0.25">
      <c r="A28" s="13" t="s">
        <v>1470</v>
      </c>
      <c r="B28" s="13">
        <v>1504</v>
      </c>
      <c r="C28" s="14" t="str">
        <f>+VLOOKUP(B28,[1]LISTE!$A$1:$D$431,4,FALSE)</f>
        <v>ABBADI HABIB</v>
      </c>
      <c r="D28" s="15" t="s">
        <v>40</v>
      </c>
      <c r="E28" s="15">
        <v>45782</v>
      </c>
      <c r="F28" s="14" t="s">
        <v>18</v>
      </c>
      <c r="G28" s="16">
        <v>60</v>
      </c>
    </row>
    <row r="29" spans="1:7" x14ac:dyDescent="0.25">
      <c r="A29" s="13" t="s">
        <v>1470</v>
      </c>
      <c r="B29" s="13">
        <v>1504</v>
      </c>
      <c r="C29" s="14" t="str">
        <f>+VLOOKUP(B29,[1]LISTE!$A$1:$D$431,4,FALSE)</f>
        <v>ABBADI HABIB</v>
      </c>
      <c r="D29" s="14" t="s">
        <v>40</v>
      </c>
      <c r="E29" s="15">
        <v>45782</v>
      </c>
      <c r="F29" s="14" t="s">
        <v>20</v>
      </c>
      <c r="G29" s="16">
        <v>144.52500000000001</v>
      </c>
    </row>
    <row r="30" spans="1:7" x14ac:dyDescent="0.25">
      <c r="A30" s="13" t="s">
        <v>1471</v>
      </c>
      <c r="B30" s="13">
        <v>1504</v>
      </c>
      <c r="C30" s="14" t="str">
        <f>+VLOOKUP(B30,[1]LISTE!$A$1:$D$431,4,FALSE)</f>
        <v>ABBADI HABIB</v>
      </c>
      <c r="D30" s="14" t="s">
        <v>22</v>
      </c>
      <c r="E30" s="15">
        <v>45784</v>
      </c>
      <c r="F30" s="14" t="s">
        <v>18</v>
      </c>
      <c r="G30" s="16">
        <v>60</v>
      </c>
    </row>
    <row r="31" spans="1:7" x14ac:dyDescent="0.25">
      <c r="A31" s="13" t="s">
        <v>1471</v>
      </c>
      <c r="B31" s="13">
        <v>1504</v>
      </c>
      <c r="C31" s="14" t="str">
        <f>+VLOOKUP(B31,[1]LISTE!$A$1:$D$431,4,FALSE)</f>
        <v>ABBADI HABIB</v>
      </c>
      <c r="D31" s="14" t="s">
        <v>22</v>
      </c>
      <c r="E31" s="15">
        <v>45784</v>
      </c>
      <c r="F31" s="14" t="s">
        <v>20</v>
      </c>
      <c r="G31" s="16">
        <v>172.22</v>
      </c>
    </row>
    <row r="32" spans="1:7" x14ac:dyDescent="0.25">
      <c r="A32" s="13" t="s">
        <v>1487</v>
      </c>
      <c r="B32" s="13">
        <v>1524</v>
      </c>
      <c r="C32" s="14" t="str">
        <f>+VLOOKUP(B32,[1]LISTE!$A$1:$D$431,4,FALSE)</f>
        <v>BABAY ROUIS LOTFI</v>
      </c>
      <c r="D32" s="14" t="s">
        <v>394</v>
      </c>
      <c r="E32" s="15">
        <v>45792</v>
      </c>
      <c r="F32" s="14" t="s">
        <v>20</v>
      </c>
      <c r="G32" s="16">
        <v>15</v>
      </c>
    </row>
    <row r="33" spans="1:7" x14ac:dyDescent="0.25">
      <c r="A33" s="13" t="s">
        <v>1487</v>
      </c>
      <c r="B33" s="13">
        <v>1524</v>
      </c>
      <c r="C33" s="14" t="str">
        <f>+VLOOKUP(B33,[1]LISTE!$A$1:$D$431,4,FALSE)</f>
        <v>BABAY ROUIS LOTFI</v>
      </c>
      <c r="D33" s="15" t="s">
        <v>394</v>
      </c>
      <c r="E33" s="15">
        <v>45792</v>
      </c>
      <c r="F33" s="14" t="s">
        <v>21</v>
      </c>
      <c r="G33" s="16">
        <v>90</v>
      </c>
    </row>
    <row r="34" spans="1:7" x14ac:dyDescent="0.25">
      <c r="A34" s="13" t="s">
        <v>1504</v>
      </c>
      <c r="B34" s="13">
        <v>1524</v>
      </c>
      <c r="C34" s="14" t="str">
        <f>+VLOOKUP(B34,[1]LISTE!$A$1:$D$431,4,FALSE)</f>
        <v>BABAY ROUIS LOTFI</v>
      </c>
      <c r="D34" s="14" t="s">
        <v>394</v>
      </c>
      <c r="E34" s="15">
        <v>45790</v>
      </c>
      <c r="F34" s="14" t="s">
        <v>23</v>
      </c>
      <c r="G34" s="16">
        <v>50</v>
      </c>
    </row>
    <row r="35" spans="1:7" x14ac:dyDescent="0.25">
      <c r="A35" s="13" t="s">
        <v>1504</v>
      </c>
      <c r="B35" s="13">
        <v>1524</v>
      </c>
      <c r="C35" s="14" t="str">
        <f>+VLOOKUP(B35,[1]LISTE!$A$1:$D$431,4,FALSE)</f>
        <v>BABAY ROUIS LOTFI</v>
      </c>
      <c r="D35" s="15" t="s">
        <v>394</v>
      </c>
      <c r="E35" s="15">
        <v>45790</v>
      </c>
      <c r="F35" s="14" t="s">
        <v>20</v>
      </c>
      <c r="G35" s="16">
        <v>2.68</v>
      </c>
    </row>
    <row r="36" spans="1:7" x14ac:dyDescent="0.25">
      <c r="A36" s="13" t="s">
        <v>1504</v>
      </c>
      <c r="B36" s="13">
        <v>1524</v>
      </c>
      <c r="C36" s="14" t="str">
        <f>+VLOOKUP(B36,[1]LISTE!$A$1:$D$431,4,FALSE)</f>
        <v>BABAY ROUIS LOTFI</v>
      </c>
      <c r="D36" s="15" t="s">
        <v>394</v>
      </c>
      <c r="E36" s="15">
        <v>45797</v>
      </c>
      <c r="F36" s="14" t="s">
        <v>24</v>
      </c>
      <c r="G36" s="16">
        <v>150</v>
      </c>
    </row>
    <row r="37" spans="1:7" x14ac:dyDescent="0.25">
      <c r="A37" s="13" t="s">
        <v>1552</v>
      </c>
      <c r="B37" s="13">
        <v>1535</v>
      </c>
      <c r="C37" s="14" t="str">
        <f>+VLOOKUP(B37,[1]LISTE!$A$1:$D$431,4,FALSE)</f>
        <v>ROUIS LOTFI</v>
      </c>
      <c r="D37" s="15" t="s">
        <v>22</v>
      </c>
      <c r="E37" s="15">
        <v>45803</v>
      </c>
      <c r="F37" s="14" t="s">
        <v>23</v>
      </c>
      <c r="G37" s="16">
        <v>45</v>
      </c>
    </row>
    <row r="38" spans="1:7" x14ac:dyDescent="0.25">
      <c r="A38" s="13" t="s">
        <v>1552</v>
      </c>
      <c r="B38" s="13">
        <v>1535</v>
      </c>
      <c r="C38" s="14" t="str">
        <f>+VLOOKUP(B38,[1]LISTE!$A$1:$D$431,4,FALSE)</f>
        <v>ROUIS LOTFI</v>
      </c>
      <c r="D38" s="15" t="s">
        <v>22</v>
      </c>
      <c r="E38" s="15">
        <v>45803</v>
      </c>
      <c r="F38" s="14" t="s">
        <v>20</v>
      </c>
      <c r="G38" s="16">
        <v>50.98</v>
      </c>
    </row>
    <row r="39" spans="1:7" x14ac:dyDescent="0.25">
      <c r="A39" s="13" t="s">
        <v>1544</v>
      </c>
      <c r="B39" s="13">
        <v>1541</v>
      </c>
      <c r="C39" s="14" t="str">
        <f>+VLOOKUP(B39,[1]LISTE!$A$1:$D$431,4,FALSE)</f>
        <v>MAHJOUB MOUNIR</v>
      </c>
      <c r="D39" s="14" t="s">
        <v>1545</v>
      </c>
      <c r="E39" s="15">
        <v>45785</v>
      </c>
      <c r="F39" s="14" t="s">
        <v>23</v>
      </c>
      <c r="G39" s="16">
        <v>3</v>
      </c>
    </row>
    <row r="40" spans="1:7" x14ac:dyDescent="0.25">
      <c r="A40" s="13" t="s">
        <v>1544</v>
      </c>
      <c r="B40" s="13">
        <v>1541</v>
      </c>
      <c r="C40" s="14" t="str">
        <f>+VLOOKUP(B40,[1]LISTE!$A$1:$D$431,4,FALSE)</f>
        <v>MAHJOUB MOUNIR</v>
      </c>
      <c r="D40" s="14" t="s">
        <v>1545</v>
      </c>
      <c r="E40" s="15">
        <v>45785</v>
      </c>
      <c r="F40" s="14" t="s">
        <v>19</v>
      </c>
      <c r="G40" s="16">
        <v>9.5</v>
      </c>
    </row>
    <row r="41" spans="1:7" x14ac:dyDescent="0.25">
      <c r="A41" s="13" t="s">
        <v>1544</v>
      </c>
      <c r="B41" s="13">
        <v>1541</v>
      </c>
      <c r="C41" s="14" t="str">
        <f>+VLOOKUP(B41,[1]LISTE!$A$1:$D$431,4,FALSE)</f>
        <v>MAHJOUB MOUNIR</v>
      </c>
      <c r="D41" s="15" t="s">
        <v>1545</v>
      </c>
      <c r="E41" s="15">
        <v>45785</v>
      </c>
      <c r="F41" s="14" t="s">
        <v>20</v>
      </c>
      <c r="G41" s="16">
        <v>40.74</v>
      </c>
    </row>
    <row r="42" spans="1:7" x14ac:dyDescent="0.25">
      <c r="A42" s="13" t="s">
        <v>1544</v>
      </c>
      <c r="B42" s="13">
        <v>1541</v>
      </c>
      <c r="C42" s="14" t="str">
        <f>+VLOOKUP(B42,[1]LISTE!$A$1:$D$431,4,FALSE)</f>
        <v>MAHJOUB MOUNIR</v>
      </c>
      <c r="D42" s="15" t="s">
        <v>1545</v>
      </c>
      <c r="E42" s="15">
        <v>45785</v>
      </c>
      <c r="F42" s="14" t="s">
        <v>20</v>
      </c>
      <c r="G42" s="16">
        <v>16.88</v>
      </c>
    </row>
    <row r="43" spans="1:7" x14ac:dyDescent="0.25">
      <c r="A43" s="13" t="s">
        <v>1464</v>
      </c>
      <c r="B43" s="13">
        <v>1548</v>
      </c>
      <c r="C43" s="14" t="str">
        <f>+VLOOKUP(B43,[1]LISTE!$A$1:$D$431,4,FALSE)</f>
        <v>YOUSSEF WAHID</v>
      </c>
      <c r="D43" s="14" t="s">
        <v>613</v>
      </c>
      <c r="E43" s="15">
        <v>45789</v>
      </c>
      <c r="F43" s="14" t="s">
        <v>23</v>
      </c>
      <c r="G43" s="16">
        <v>45</v>
      </c>
    </row>
    <row r="44" spans="1:7" x14ac:dyDescent="0.25">
      <c r="A44" s="13" t="s">
        <v>1464</v>
      </c>
      <c r="B44" s="13">
        <v>1548</v>
      </c>
      <c r="C44" s="14" t="str">
        <f>+VLOOKUP(B44,[1]LISTE!$A$1:$D$431,4,FALSE)</f>
        <v>YOUSSEF WAHID</v>
      </c>
      <c r="D44" s="14" t="s">
        <v>613</v>
      </c>
      <c r="E44" s="15">
        <v>45789</v>
      </c>
      <c r="F44" s="14" t="s">
        <v>20</v>
      </c>
      <c r="G44" s="16">
        <v>53.185000000000002</v>
      </c>
    </row>
    <row r="45" spans="1:7" x14ac:dyDescent="0.25">
      <c r="A45" s="13" t="s">
        <v>1503</v>
      </c>
      <c r="B45" s="13">
        <v>1575</v>
      </c>
      <c r="C45" s="14" t="str">
        <f>+VLOOKUP(B45,[1]LISTE!$A$1:$D$431,4,FALSE)</f>
        <v>BEN ABDELJELIL ZOUHAIER</v>
      </c>
      <c r="D45" s="14" t="s">
        <v>163</v>
      </c>
      <c r="E45" s="15">
        <v>45797</v>
      </c>
      <c r="F45" s="14" t="s">
        <v>18</v>
      </c>
      <c r="G45" s="16">
        <v>70</v>
      </c>
    </row>
    <row r="46" spans="1:7" x14ac:dyDescent="0.25">
      <c r="A46" s="13" t="s">
        <v>1503</v>
      </c>
      <c r="B46" s="13">
        <v>1575</v>
      </c>
      <c r="C46" s="14" t="str">
        <f>+VLOOKUP(B46,[1]LISTE!$A$1:$D$431,4,FALSE)</f>
        <v>BEN ABDELJELIL ZOUHAIER</v>
      </c>
      <c r="D46" s="14" t="s">
        <v>163</v>
      </c>
      <c r="E46" s="15">
        <v>45797</v>
      </c>
      <c r="F46" s="14" t="s">
        <v>20</v>
      </c>
      <c r="G46" s="16">
        <v>16.744</v>
      </c>
    </row>
    <row r="47" spans="1:7" x14ac:dyDescent="0.25">
      <c r="A47" s="13" t="s">
        <v>1472</v>
      </c>
      <c r="B47" s="13">
        <v>1576</v>
      </c>
      <c r="C47" s="14" t="s">
        <v>1473</v>
      </c>
      <c r="D47" s="15" t="s">
        <v>22</v>
      </c>
      <c r="E47" s="15">
        <v>45779</v>
      </c>
      <c r="F47" s="14" t="s">
        <v>23</v>
      </c>
      <c r="G47" s="16">
        <v>50</v>
      </c>
    </row>
    <row r="48" spans="1:7" x14ac:dyDescent="0.25">
      <c r="A48" s="13" t="s">
        <v>1472</v>
      </c>
      <c r="B48" s="13">
        <v>1576</v>
      </c>
      <c r="C48" s="14" t="s">
        <v>1473</v>
      </c>
      <c r="D48" s="15" t="s">
        <v>22</v>
      </c>
      <c r="E48" s="15">
        <v>45779</v>
      </c>
      <c r="F48" s="14" t="s">
        <v>20</v>
      </c>
      <c r="G48" s="16">
        <v>3.71</v>
      </c>
    </row>
    <row r="49" spans="1:7" x14ac:dyDescent="0.25">
      <c r="A49" s="13" t="s">
        <v>1472</v>
      </c>
      <c r="B49" s="13">
        <v>1576</v>
      </c>
      <c r="C49" s="14" t="s">
        <v>1473</v>
      </c>
      <c r="D49" s="14" t="s">
        <v>22</v>
      </c>
      <c r="E49" s="15">
        <v>45697</v>
      </c>
      <c r="F49" s="14" t="s">
        <v>24</v>
      </c>
      <c r="G49" s="16">
        <v>60</v>
      </c>
    </row>
    <row r="50" spans="1:7" x14ac:dyDescent="0.25">
      <c r="A50" s="13" t="s">
        <v>1460</v>
      </c>
      <c r="B50" s="13">
        <v>1595</v>
      </c>
      <c r="C50" s="14" t="str">
        <f>+VLOOKUP(B50,[1]LISTE!$A$1:$D$431,4,FALSE)</f>
        <v>BEN SALEM FETHI</v>
      </c>
      <c r="D50" s="15" t="s">
        <v>192</v>
      </c>
      <c r="E50" s="15">
        <v>45777</v>
      </c>
      <c r="F50" s="14" t="s">
        <v>23</v>
      </c>
      <c r="G50" s="16">
        <v>20</v>
      </c>
    </row>
    <row r="51" spans="1:7" x14ac:dyDescent="0.25">
      <c r="A51" s="13" t="s">
        <v>1460</v>
      </c>
      <c r="B51" s="13">
        <v>1595</v>
      </c>
      <c r="C51" s="14" t="str">
        <f>+VLOOKUP(B51,[1]LISTE!$A$1:$D$431,4,FALSE)</f>
        <v>BEN SALEM FETHI</v>
      </c>
      <c r="D51" s="14" t="s">
        <v>192</v>
      </c>
      <c r="E51" s="15">
        <v>45777</v>
      </c>
      <c r="F51" s="14" t="s">
        <v>20</v>
      </c>
      <c r="G51" s="16">
        <v>33.426000000000002</v>
      </c>
    </row>
    <row r="52" spans="1:7" x14ac:dyDescent="0.25">
      <c r="A52" s="13" t="s">
        <v>1454</v>
      </c>
      <c r="B52" s="13">
        <v>1597</v>
      </c>
      <c r="C52" s="14" t="str">
        <f>+VLOOKUP(B52,[1]LISTE!$A$1:$D$431,4,FALSE)</f>
        <v>AMARA KARIM</v>
      </c>
      <c r="D52" s="14" t="s">
        <v>371</v>
      </c>
      <c r="E52" s="15">
        <v>45789</v>
      </c>
      <c r="F52" s="14" t="s">
        <v>20</v>
      </c>
      <c r="G52" s="16">
        <v>2.7149999999999999</v>
      </c>
    </row>
    <row r="53" spans="1:7" x14ac:dyDescent="0.25">
      <c r="A53" s="13" t="s">
        <v>1454</v>
      </c>
      <c r="B53" s="13">
        <v>1597</v>
      </c>
      <c r="C53" s="14" t="str">
        <f>+VLOOKUP(B53,[1]LISTE!$A$1:$D$431,4,FALSE)</f>
        <v>AMARA KARIM</v>
      </c>
      <c r="D53" s="15" t="s">
        <v>371</v>
      </c>
      <c r="E53" s="15">
        <v>45789</v>
      </c>
      <c r="F53" s="14" t="s">
        <v>24</v>
      </c>
      <c r="G53" s="16">
        <v>80</v>
      </c>
    </row>
    <row r="54" spans="1:7" x14ac:dyDescent="0.25">
      <c r="A54" s="13" t="s">
        <v>1492</v>
      </c>
      <c r="B54" s="13">
        <v>1597</v>
      </c>
      <c r="C54" s="14" t="str">
        <f>+VLOOKUP(B54,[1]LISTE!$A$1:$D$431,4,FALSE)</f>
        <v>AMARA KARIM</v>
      </c>
      <c r="D54" s="15" t="s">
        <v>153</v>
      </c>
      <c r="E54" s="15">
        <v>45783</v>
      </c>
      <c r="F54" s="14" t="s">
        <v>18</v>
      </c>
      <c r="G54" s="16">
        <v>70</v>
      </c>
    </row>
    <row r="55" spans="1:7" x14ac:dyDescent="0.25">
      <c r="A55" s="13" t="s">
        <v>1492</v>
      </c>
      <c r="B55" s="13">
        <v>1597</v>
      </c>
      <c r="C55" s="14" t="str">
        <f>+VLOOKUP(B55,[1]LISTE!$A$1:$D$431,4,FALSE)</f>
        <v>AMARA KARIM</v>
      </c>
      <c r="D55" s="14" t="s">
        <v>153</v>
      </c>
      <c r="E55" s="15">
        <v>45783</v>
      </c>
      <c r="F55" s="14" t="s">
        <v>20</v>
      </c>
      <c r="G55" s="16">
        <v>15.84</v>
      </c>
    </row>
    <row r="56" spans="1:7" x14ac:dyDescent="0.25">
      <c r="A56" s="13" t="s">
        <v>1529</v>
      </c>
      <c r="B56" s="13">
        <v>1601</v>
      </c>
      <c r="C56" s="14" t="str">
        <f>+VLOOKUP(B56,[1]LISTE!$A$1:$D$431,4,FALSE)</f>
        <v>BOUKADIDA JAMEL</v>
      </c>
      <c r="D56" s="14" t="s">
        <v>22</v>
      </c>
      <c r="E56" s="15">
        <v>45790</v>
      </c>
      <c r="F56" s="14" t="s">
        <v>18</v>
      </c>
      <c r="G56" s="16">
        <v>70</v>
      </c>
    </row>
    <row r="57" spans="1:7" x14ac:dyDescent="0.25">
      <c r="A57" s="13" t="s">
        <v>1529</v>
      </c>
      <c r="B57" s="13">
        <v>1601</v>
      </c>
      <c r="C57" s="14" t="str">
        <f>+VLOOKUP(B57,[1]LISTE!$A$1:$D$431,4,FALSE)</f>
        <v>BOUKADIDA JAMEL</v>
      </c>
      <c r="D57" s="14" t="s">
        <v>22</v>
      </c>
      <c r="E57" s="15">
        <v>45790</v>
      </c>
      <c r="F57" s="14" t="s">
        <v>20</v>
      </c>
      <c r="G57" s="16">
        <v>236.63499999999999</v>
      </c>
    </row>
    <row r="58" spans="1:7" x14ac:dyDescent="0.25">
      <c r="A58" s="13" t="s">
        <v>1529</v>
      </c>
      <c r="B58" s="13">
        <v>1601</v>
      </c>
      <c r="C58" s="14" t="str">
        <f>+VLOOKUP(B58,[1]LISTE!$A$1:$D$431,4,FALSE)</f>
        <v>BOUKADIDA JAMEL</v>
      </c>
      <c r="D58" s="15" t="s">
        <v>22</v>
      </c>
      <c r="E58" s="15">
        <v>45790</v>
      </c>
      <c r="F58" s="14" t="s">
        <v>19</v>
      </c>
      <c r="G58" s="16">
        <v>70.510000000000005</v>
      </c>
    </row>
    <row r="59" spans="1:7" x14ac:dyDescent="0.25">
      <c r="A59" s="13" t="s">
        <v>1529</v>
      </c>
      <c r="B59" s="13">
        <v>1601</v>
      </c>
      <c r="C59" s="14" t="str">
        <f>+VLOOKUP(B59,[1]LISTE!$A$1:$D$431,4,FALSE)</f>
        <v>BOUKADIDA JAMEL</v>
      </c>
      <c r="D59" s="14" t="s">
        <v>22</v>
      </c>
      <c r="E59" s="15">
        <v>45796</v>
      </c>
      <c r="F59" s="14" t="s">
        <v>21</v>
      </c>
      <c r="G59" s="16">
        <v>151</v>
      </c>
    </row>
    <row r="60" spans="1:7" x14ac:dyDescent="0.25">
      <c r="A60" s="13" t="s">
        <v>1505</v>
      </c>
      <c r="B60" s="13">
        <v>1602</v>
      </c>
      <c r="C60" s="14" t="str">
        <f>+VLOOKUP(B60,[1]LISTE!$A$1:$D$431,4,FALSE)</f>
        <v>MAMIA RAMZI</v>
      </c>
      <c r="D60" s="15" t="s">
        <v>1506</v>
      </c>
      <c r="E60" s="15">
        <v>45797</v>
      </c>
      <c r="F60" s="14" t="s">
        <v>18</v>
      </c>
      <c r="G60" s="16">
        <v>70</v>
      </c>
    </row>
    <row r="61" spans="1:7" x14ac:dyDescent="0.25">
      <c r="A61" s="13" t="s">
        <v>1505</v>
      </c>
      <c r="B61" s="13">
        <v>1602</v>
      </c>
      <c r="C61" s="14" t="str">
        <f>+VLOOKUP(B61,[1]LISTE!$A$1:$D$431,4,FALSE)</f>
        <v>MAMIA RAMZI</v>
      </c>
      <c r="D61" s="14" t="s">
        <v>1506</v>
      </c>
      <c r="E61" s="15">
        <v>45797</v>
      </c>
      <c r="F61" s="14" t="s">
        <v>20</v>
      </c>
      <c r="G61" s="16">
        <v>40.615000000000002</v>
      </c>
    </row>
    <row r="62" spans="1:7" x14ac:dyDescent="0.25">
      <c r="A62" s="13" t="s">
        <v>1556</v>
      </c>
      <c r="B62" s="13">
        <v>1602</v>
      </c>
      <c r="C62" s="14" t="str">
        <f>+VLOOKUP(B62,[1]LISTE!$A$1:$D$431,4,FALSE)</f>
        <v>MAMIA RAMZI</v>
      </c>
      <c r="D62" s="15" t="s">
        <v>22</v>
      </c>
      <c r="E62" s="15">
        <v>45801</v>
      </c>
      <c r="F62" s="14" t="s">
        <v>18</v>
      </c>
      <c r="G62" s="16">
        <v>70</v>
      </c>
    </row>
    <row r="63" spans="1:7" x14ac:dyDescent="0.25">
      <c r="A63" s="13" t="s">
        <v>1556</v>
      </c>
      <c r="B63" s="13">
        <v>1602</v>
      </c>
      <c r="C63" s="14" t="str">
        <f>+VLOOKUP(B63,[1]LISTE!$A$1:$D$431,4,FALSE)</f>
        <v>MAMIA RAMZI</v>
      </c>
      <c r="D63" s="14" t="s">
        <v>22</v>
      </c>
      <c r="E63" s="15">
        <v>45801</v>
      </c>
      <c r="F63" s="14" t="s">
        <v>20</v>
      </c>
      <c r="G63" s="16">
        <v>12.397</v>
      </c>
    </row>
    <row r="64" spans="1:7" x14ac:dyDescent="0.25">
      <c r="A64" s="13" t="s">
        <v>1479</v>
      </c>
      <c r="B64" s="13">
        <v>1603</v>
      </c>
      <c r="C64" s="14" t="str">
        <f>+VLOOKUP(B64,[1]LISTE!$A$1:$D$431,4,FALSE)</f>
        <v>MANSOUR SALHA</v>
      </c>
      <c r="D64" s="15" t="s">
        <v>22</v>
      </c>
      <c r="E64" s="15">
        <v>45791</v>
      </c>
      <c r="F64" s="14" t="s">
        <v>20</v>
      </c>
      <c r="G64" s="16">
        <v>172.99</v>
      </c>
    </row>
    <row r="65" spans="1:7" x14ac:dyDescent="0.25">
      <c r="A65" s="13" t="s">
        <v>1476</v>
      </c>
      <c r="B65" s="13">
        <v>1612</v>
      </c>
      <c r="C65" s="14" t="str">
        <f>+VLOOKUP(B65,[1]LISTE!$A$1:$D$431,4,FALSE)</f>
        <v>LADHERI NAJEH</v>
      </c>
      <c r="D65" s="14" t="s">
        <v>22</v>
      </c>
      <c r="E65" s="15">
        <v>45786</v>
      </c>
      <c r="F65" s="14" t="s">
        <v>23</v>
      </c>
      <c r="G65" s="16">
        <v>45</v>
      </c>
    </row>
    <row r="66" spans="1:7" x14ac:dyDescent="0.25">
      <c r="A66" s="13" t="s">
        <v>1476</v>
      </c>
      <c r="B66" s="13">
        <v>1612</v>
      </c>
      <c r="C66" s="14" t="str">
        <f>+VLOOKUP(B66,[1]LISTE!$A$1:$D$431,4,FALSE)</f>
        <v>LADHERI NAJEH</v>
      </c>
      <c r="D66" s="14" t="s">
        <v>22</v>
      </c>
      <c r="E66" s="15">
        <v>45786</v>
      </c>
      <c r="F66" s="14" t="s">
        <v>20</v>
      </c>
      <c r="G66" s="16">
        <v>55.43</v>
      </c>
    </row>
    <row r="67" spans="1:7" x14ac:dyDescent="0.25">
      <c r="A67" s="13" t="s">
        <v>1550</v>
      </c>
      <c r="B67" s="13">
        <v>1618</v>
      </c>
      <c r="C67" s="14" t="str">
        <f>+VLOOKUP(B67,[1]LISTE!$A$1:$D$431,4,FALSE)</f>
        <v>SLAMA MAHER</v>
      </c>
      <c r="D67" s="14" t="s">
        <v>641</v>
      </c>
      <c r="E67" s="15">
        <v>45791</v>
      </c>
      <c r="F67" s="14" t="s">
        <v>23</v>
      </c>
      <c r="G67" s="16">
        <v>40</v>
      </c>
    </row>
    <row r="68" spans="1:7" x14ac:dyDescent="0.25">
      <c r="A68" s="13" t="s">
        <v>1550</v>
      </c>
      <c r="B68" s="13">
        <v>1618</v>
      </c>
      <c r="C68" s="14" t="str">
        <f>+VLOOKUP(B68,[1]LISTE!$A$1:$D$431,4,FALSE)</f>
        <v>SLAMA MAHER</v>
      </c>
      <c r="D68" s="15" t="s">
        <v>641</v>
      </c>
      <c r="E68" s="15">
        <v>45791</v>
      </c>
      <c r="F68" s="14" t="s">
        <v>20</v>
      </c>
      <c r="G68" s="16">
        <v>2.69</v>
      </c>
    </row>
    <row r="69" spans="1:7" x14ac:dyDescent="0.25">
      <c r="A69" s="13" t="s">
        <v>1550</v>
      </c>
      <c r="B69" s="13">
        <v>1618</v>
      </c>
      <c r="C69" s="14" t="str">
        <f>+VLOOKUP(B69,[1]LISTE!$A$1:$D$431,4,FALSE)</f>
        <v>SLAMA MAHER</v>
      </c>
      <c r="D69" s="14" t="s">
        <v>641</v>
      </c>
      <c r="E69" s="15">
        <v>45799</v>
      </c>
      <c r="F69" s="14" t="s">
        <v>25</v>
      </c>
      <c r="G69" s="16">
        <v>310</v>
      </c>
    </row>
    <row r="70" spans="1:7" x14ac:dyDescent="0.25">
      <c r="A70" s="13" t="s">
        <v>1495</v>
      </c>
      <c r="B70" s="13">
        <v>1625</v>
      </c>
      <c r="C70" s="14" t="str">
        <f>+VLOOKUP(B70,[1]LISTE!$A$1:$D$431,4,FALSE)</f>
        <v>HAMILA SAMIR</v>
      </c>
      <c r="D70" s="15" t="s">
        <v>22</v>
      </c>
      <c r="E70" s="15">
        <v>45798</v>
      </c>
      <c r="F70" s="14" t="s">
        <v>23</v>
      </c>
      <c r="G70" s="16">
        <v>20</v>
      </c>
    </row>
    <row r="71" spans="1:7" x14ac:dyDescent="0.25">
      <c r="A71" s="13" t="s">
        <v>1495</v>
      </c>
      <c r="B71" s="13">
        <v>1625</v>
      </c>
      <c r="C71" s="14" t="str">
        <f>+VLOOKUP(B71,[1]LISTE!$A$1:$D$431,4,FALSE)</f>
        <v>HAMILA SAMIR</v>
      </c>
      <c r="D71" s="15" t="s">
        <v>22</v>
      </c>
      <c r="E71" s="15">
        <v>45798</v>
      </c>
      <c r="F71" s="14" t="s">
        <v>20</v>
      </c>
      <c r="G71" s="16">
        <v>8.0389999999999997</v>
      </c>
    </row>
    <row r="72" spans="1:7" x14ac:dyDescent="0.25">
      <c r="A72" s="13" t="s">
        <v>1558</v>
      </c>
      <c r="B72" s="13">
        <v>1664</v>
      </c>
      <c r="C72" s="14" t="str">
        <f>+VLOOKUP(B72,[1]LISTE!$A$1:$D$431,4,FALSE)</f>
        <v>BEN SAOUD SOFIANE</v>
      </c>
      <c r="D72" s="14" t="s">
        <v>37</v>
      </c>
      <c r="E72" s="15">
        <v>45801</v>
      </c>
      <c r="F72" s="14" t="s">
        <v>20</v>
      </c>
      <c r="G72" s="16">
        <v>23.893999999999998</v>
      </c>
    </row>
    <row r="73" spans="1:7" x14ac:dyDescent="0.25">
      <c r="A73" s="13" t="s">
        <v>1558</v>
      </c>
      <c r="B73" s="13">
        <v>1664</v>
      </c>
      <c r="C73" s="14" t="str">
        <f>+VLOOKUP(B73,[1]LISTE!$A$1:$D$431,4,FALSE)</f>
        <v>BEN SAOUD SOFIANE</v>
      </c>
      <c r="D73" s="14" t="s">
        <v>37</v>
      </c>
      <c r="E73" s="15">
        <v>45793</v>
      </c>
      <c r="F73" s="14" t="s">
        <v>21</v>
      </c>
      <c r="G73" s="16">
        <v>90</v>
      </c>
    </row>
    <row r="74" spans="1:7" x14ac:dyDescent="0.25">
      <c r="A74" s="13" t="s">
        <v>1512</v>
      </c>
      <c r="B74" s="13">
        <v>1667</v>
      </c>
      <c r="C74" s="14" t="str">
        <f>+VLOOKUP(B74,[1]LISTE!$A$1:$D$431,4,FALSE)</f>
        <v>MRIZEK TAOUFIK</v>
      </c>
      <c r="D74" s="14" t="s">
        <v>214</v>
      </c>
      <c r="E74" s="15">
        <v>45793</v>
      </c>
      <c r="F74" s="14" t="s">
        <v>18</v>
      </c>
      <c r="G74" s="16">
        <v>60</v>
      </c>
    </row>
    <row r="75" spans="1:7" x14ac:dyDescent="0.25">
      <c r="A75" s="13" t="s">
        <v>1512</v>
      </c>
      <c r="B75" s="13">
        <v>1667</v>
      </c>
      <c r="C75" s="14" t="str">
        <f>+VLOOKUP(B75,[1]LISTE!$A$1:$D$431,4,FALSE)</f>
        <v>MRIZEK TAOUFIK</v>
      </c>
      <c r="D75" s="14" t="s">
        <v>214</v>
      </c>
      <c r="E75" s="15">
        <v>45793</v>
      </c>
      <c r="F75" s="14" t="s">
        <v>20</v>
      </c>
      <c r="G75" s="16">
        <v>9.0649999999999995</v>
      </c>
    </row>
    <row r="76" spans="1:7" x14ac:dyDescent="0.25">
      <c r="A76" s="13" t="s">
        <v>1512</v>
      </c>
      <c r="B76" s="13">
        <v>1667</v>
      </c>
      <c r="C76" s="14" t="str">
        <f>+VLOOKUP(B76,[1]LISTE!$A$1:$D$431,4,FALSE)</f>
        <v>MRIZEK TAOUFIK</v>
      </c>
      <c r="D76" s="14" t="s">
        <v>214</v>
      </c>
      <c r="E76" s="15">
        <v>45793</v>
      </c>
      <c r="F76" s="14" t="s">
        <v>21</v>
      </c>
      <c r="G76" s="16">
        <v>90</v>
      </c>
    </row>
    <row r="77" spans="1:7" x14ac:dyDescent="0.25">
      <c r="A77" s="13" t="s">
        <v>1496</v>
      </c>
      <c r="B77" s="13">
        <v>1680</v>
      </c>
      <c r="C77" s="14" t="str">
        <f>+VLOOKUP(B77,[1]LISTE!$A$1:$D$431,4,FALSE)</f>
        <v>SASSI WALID</v>
      </c>
      <c r="D77" s="15" t="s">
        <v>242</v>
      </c>
      <c r="E77" s="15">
        <v>45796</v>
      </c>
      <c r="F77" s="14" t="s">
        <v>23</v>
      </c>
      <c r="G77" s="16">
        <v>40</v>
      </c>
    </row>
    <row r="78" spans="1:7" x14ac:dyDescent="0.25">
      <c r="A78" s="13" t="s">
        <v>1496</v>
      </c>
      <c r="B78" s="13">
        <v>1680</v>
      </c>
      <c r="C78" s="14" t="str">
        <f>+VLOOKUP(B78,[1]LISTE!$A$1:$D$431,4,FALSE)</f>
        <v>SASSI WALID</v>
      </c>
      <c r="D78" s="15" t="s">
        <v>242</v>
      </c>
      <c r="E78" s="15">
        <v>45796</v>
      </c>
      <c r="F78" s="14" t="s">
        <v>20</v>
      </c>
      <c r="G78" s="16">
        <v>30.594000000000001</v>
      </c>
    </row>
    <row r="79" spans="1:7" x14ac:dyDescent="0.25">
      <c r="A79" s="13" t="s">
        <v>1526</v>
      </c>
      <c r="B79" s="13">
        <v>1685</v>
      </c>
      <c r="C79" s="14" t="str">
        <f>+VLOOKUP(B79,[1]LISTE!$A$1:$D$431,4,FALSE)</f>
        <v>MAHJOUB MOHAMED KARIM</v>
      </c>
      <c r="D79" s="14" t="s">
        <v>1527</v>
      </c>
      <c r="E79" s="15">
        <v>45800</v>
      </c>
      <c r="F79" s="14" t="s">
        <v>23</v>
      </c>
      <c r="G79" s="16">
        <v>50</v>
      </c>
    </row>
    <row r="80" spans="1:7" x14ac:dyDescent="0.25">
      <c r="A80" s="13" t="s">
        <v>1526</v>
      </c>
      <c r="B80" s="13">
        <v>1685</v>
      </c>
      <c r="C80" s="14" t="str">
        <f>+VLOOKUP(B80,[1]LISTE!$A$1:$D$431,4,FALSE)</f>
        <v>MAHJOUB MOHAMED KARIM</v>
      </c>
      <c r="D80" s="15" t="s">
        <v>1527</v>
      </c>
      <c r="E80" s="15">
        <v>45800</v>
      </c>
      <c r="F80" s="14" t="s">
        <v>20</v>
      </c>
      <c r="G80" s="16">
        <v>41.92</v>
      </c>
    </row>
    <row r="81" spans="1:7" x14ac:dyDescent="0.25">
      <c r="A81" s="13" t="s">
        <v>1520</v>
      </c>
      <c r="B81" s="13">
        <v>1687</v>
      </c>
      <c r="C81" s="14" t="str">
        <f>+VLOOKUP(B81,[1]LISTE!$A$1:$D$431,4,FALSE)</f>
        <v>LACHHAB SAHBI</v>
      </c>
      <c r="D81" s="14" t="s">
        <v>54</v>
      </c>
      <c r="E81" s="15">
        <v>45795</v>
      </c>
      <c r="F81" s="14" t="s">
        <v>23</v>
      </c>
      <c r="G81" s="16">
        <v>3</v>
      </c>
    </row>
    <row r="82" spans="1:7" x14ac:dyDescent="0.25">
      <c r="A82" s="13" t="s">
        <v>1520</v>
      </c>
      <c r="B82" s="13">
        <v>1687</v>
      </c>
      <c r="C82" s="14" t="str">
        <f>+VLOOKUP(B82,[1]LISTE!$A$1:$D$431,4,FALSE)</f>
        <v>LACHHAB SAHBI</v>
      </c>
      <c r="D82" s="15" t="s">
        <v>54</v>
      </c>
      <c r="E82" s="15">
        <v>45795</v>
      </c>
      <c r="F82" s="14" t="s">
        <v>20</v>
      </c>
      <c r="G82" s="16">
        <v>41.774999999999999</v>
      </c>
    </row>
    <row r="83" spans="1:7" x14ac:dyDescent="0.25">
      <c r="A83" s="13" t="s">
        <v>1488</v>
      </c>
      <c r="B83" s="13">
        <v>1689</v>
      </c>
      <c r="C83" s="14" t="str">
        <f>+VLOOKUP(B83,[1]LISTE!$A$1:$D$431,4,FALSE)</f>
        <v>GRAA SKANDER</v>
      </c>
      <c r="D83" s="14" t="s">
        <v>200</v>
      </c>
      <c r="E83" s="15">
        <v>45779</v>
      </c>
      <c r="F83" s="14" t="s">
        <v>23</v>
      </c>
      <c r="G83" s="16">
        <v>45</v>
      </c>
    </row>
    <row r="84" spans="1:7" x14ac:dyDescent="0.25">
      <c r="A84" s="13" t="s">
        <v>1488</v>
      </c>
      <c r="B84" s="13">
        <v>1689</v>
      </c>
      <c r="C84" s="14" t="str">
        <f>+VLOOKUP(B84,[1]LISTE!$A$1:$D$431,4,FALSE)</f>
        <v>GRAA SKANDER</v>
      </c>
      <c r="D84" s="14" t="s">
        <v>200</v>
      </c>
      <c r="E84" s="15">
        <v>45779</v>
      </c>
      <c r="F84" s="14" t="s">
        <v>20</v>
      </c>
      <c r="G84" s="16">
        <v>18.190000000000001</v>
      </c>
    </row>
    <row r="85" spans="1:7" x14ac:dyDescent="0.25">
      <c r="A85" s="13" t="s">
        <v>1541</v>
      </c>
      <c r="B85" s="13">
        <v>1691</v>
      </c>
      <c r="C85" s="14" t="str">
        <f>+VLOOKUP(B85,[1]LISTE!$A$1:$D$431,4,FALSE)</f>
        <v>GADHI MOHAMED</v>
      </c>
      <c r="D85" s="15" t="s">
        <v>22</v>
      </c>
      <c r="E85" s="15">
        <v>45797</v>
      </c>
      <c r="F85" s="14" t="s">
        <v>23</v>
      </c>
      <c r="G85" s="16">
        <v>40</v>
      </c>
    </row>
    <row r="86" spans="1:7" x14ac:dyDescent="0.25">
      <c r="A86" s="13" t="s">
        <v>1541</v>
      </c>
      <c r="B86" s="13">
        <v>1691</v>
      </c>
      <c r="C86" s="14" t="str">
        <f>+VLOOKUP(B86,[1]LISTE!$A$1:$D$431,4,FALSE)</f>
        <v>GADHI MOHAMED</v>
      </c>
      <c r="D86" s="15" t="s">
        <v>22</v>
      </c>
      <c r="E86" s="15">
        <v>45797</v>
      </c>
      <c r="F86" s="14" t="s">
        <v>20</v>
      </c>
      <c r="G86" s="16">
        <v>44</v>
      </c>
    </row>
    <row r="87" spans="1:7" x14ac:dyDescent="0.25">
      <c r="A87" s="13" t="s">
        <v>1540</v>
      </c>
      <c r="B87" s="13">
        <v>1695</v>
      </c>
      <c r="C87" s="14" t="str">
        <f>+VLOOKUP(B87,[1]LISTE!$A$1:$D$431,4,FALSE)</f>
        <v>BEN AROUS FOUED</v>
      </c>
      <c r="D87" s="14" t="s">
        <v>163</v>
      </c>
      <c r="E87" s="15">
        <v>45784</v>
      </c>
      <c r="F87" s="14" t="s">
        <v>23</v>
      </c>
      <c r="G87" s="16">
        <v>50</v>
      </c>
    </row>
    <row r="88" spans="1:7" x14ac:dyDescent="0.25">
      <c r="A88" s="13" t="s">
        <v>1540</v>
      </c>
      <c r="B88" s="13">
        <v>1695</v>
      </c>
      <c r="C88" s="14" t="str">
        <f>+VLOOKUP(B88,[1]LISTE!$A$1:$D$431,4,FALSE)</f>
        <v>BEN AROUS FOUED</v>
      </c>
      <c r="D88" s="14" t="s">
        <v>163</v>
      </c>
      <c r="E88" s="15">
        <v>45791</v>
      </c>
      <c r="F88" s="14" t="s">
        <v>24</v>
      </c>
      <c r="G88" s="16">
        <v>120</v>
      </c>
    </row>
    <row r="89" spans="1:7" x14ac:dyDescent="0.25">
      <c r="A89" s="13" t="s">
        <v>1560</v>
      </c>
      <c r="B89" s="13">
        <v>1698</v>
      </c>
      <c r="C89" s="14" t="str">
        <f>+VLOOKUP(B89,[1]LISTE!$A$1:$D$431,4,FALSE)</f>
        <v>BEL HADJ NABIL</v>
      </c>
      <c r="D89" s="14" t="s">
        <v>472</v>
      </c>
      <c r="E89" s="15">
        <v>45793</v>
      </c>
      <c r="F89" s="14" t="s">
        <v>23</v>
      </c>
      <c r="G89" s="16">
        <v>1.5</v>
      </c>
    </row>
    <row r="90" spans="1:7" x14ac:dyDescent="0.25">
      <c r="A90" s="13" t="s">
        <v>1560</v>
      </c>
      <c r="B90" s="13">
        <v>1698</v>
      </c>
      <c r="C90" s="14" t="str">
        <f>+VLOOKUP(B90,[1]LISTE!$A$1:$D$431,4,FALSE)</f>
        <v>BEL HADJ NABIL</v>
      </c>
      <c r="D90" s="14" t="s">
        <v>472</v>
      </c>
      <c r="E90" s="15">
        <v>45794</v>
      </c>
      <c r="F90" s="14" t="s">
        <v>20</v>
      </c>
      <c r="G90" s="16">
        <v>79.3</v>
      </c>
    </row>
    <row r="91" spans="1:7" x14ac:dyDescent="0.25">
      <c r="A91" s="13" t="s">
        <v>1469</v>
      </c>
      <c r="B91" s="13">
        <v>1716</v>
      </c>
      <c r="C91" s="14" t="s">
        <v>219</v>
      </c>
      <c r="D91" s="14" t="s">
        <v>44</v>
      </c>
      <c r="E91" s="15">
        <v>45779</v>
      </c>
      <c r="F91" s="14" t="s">
        <v>20</v>
      </c>
      <c r="G91" s="16">
        <v>165.161</v>
      </c>
    </row>
    <row r="92" spans="1:7" x14ac:dyDescent="0.25">
      <c r="A92" s="13" t="s">
        <v>1525</v>
      </c>
      <c r="B92" s="13">
        <v>1735</v>
      </c>
      <c r="C92" s="14" t="str">
        <f>+VLOOKUP(B92,[1]LISTE!$A$1:$D$431,4,FALSE)</f>
        <v>SAKKA ROUIS MED HAFEDH</v>
      </c>
      <c r="D92" s="14" t="s">
        <v>22</v>
      </c>
      <c r="E92" s="15">
        <v>45793</v>
      </c>
      <c r="F92" s="14" t="s">
        <v>20</v>
      </c>
      <c r="G92" s="16">
        <v>22.625</v>
      </c>
    </row>
    <row r="93" spans="1:7" x14ac:dyDescent="0.25">
      <c r="A93" s="13" t="s">
        <v>1525</v>
      </c>
      <c r="B93" s="13">
        <v>1735</v>
      </c>
      <c r="C93" s="14" t="str">
        <f>+VLOOKUP(B93,[1]LISTE!$A$1:$D$431,4,FALSE)</f>
        <v>SAKKA ROUIS MED HAFEDH</v>
      </c>
      <c r="D93" s="14" t="s">
        <v>22</v>
      </c>
      <c r="E93" s="15">
        <v>45793</v>
      </c>
      <c r="F93" s="14" t="s">
        <v>24</v>
      </c>
      <c r="G93" s="16">
        <v>60</v>
      </c>
    </row>
    <row r="94" spans="1:7" x14ac:dyDescent="0.25">
      <c r="A94" s="13" t="s">
        <v>1456</v>
      </c>
      <c r="B94" s="13">
        <v>1767</v>
      </c>
      <c r="C94" s="14" t="str">
        <f>+VLOOKUP(B94,[1]LISTE!$A$1:$D$431,4,FALSE)</f>
        <v>B.H.SGHAIER NAOUFEL</v>
      </c>
      <c r="D94" s="15" t="s">
        <v>63</v>
      </c>
      <c r="E94" s="15">
        <v>45790</v>
      </c>
      <c r="F94" s="14" t="s">
        <v>20</v>
      </c>
      <c r="G94" s="16">
        <v>31.279</v>
      </c>
    </row>
    <row r="95" spans="1:7" x14ac:dyDescent="0.25">
      <c r="A95" s="13" t="s">
        <v>1474</v>
      </c>
      <c r="B95" s="13">
        <v>1767</v>
      </c>
      <c r="C95" s="14" t="str">
        <f>+VLOOKUP(B95,[1]LISTE!$A$1:$D$431,4,FALSE)</f>
        <v>B.H.SGHAIER NAOUFEL</v>
      </c>
      <c r="D95" s="14" t="s">
        <v>251</v>
      </c>
      <c r="E95" s="15">
        <v>45785</v>
      </c>
      <c r="F95" s="14" t="s">
        <v>18</v>
      </c>
      <c r="G95" s="16">
        <v>70</v>
      </c>
    </row>
    <row r="96" spans="1:7" x14ac:dyDescent="0.25">
      <c r="A96" s="13" t="s">
        <v>1474</v>
      </c>
      <c r="B96" s="13">
        <v>1767</v>
      </c>
      <c r="C96" s="14" t="str">
        <f>+VLOOKUP(B96,[1]LISTE!$A$1:$D$431,4,FALSE)</f>
        <v>B.H.SGHAIER NAOUFEL</v>
      </c>
      <c r="D96" s="14" t="s">
        <v>251</v>
      </c>
      <c r="E96" s="15">
        <v>45785</v>
      </c>
      <c r="F96" s="14" t="s">
        <v>20</v>
      </c>
      <c r="G96" s="16">
        <v>65.7</v>
      </c>
    </row>
    <row r="97" spans="1:7" x14ac:dyDescent="0.25">
      <c r="A97" s="13" t="s">
        <v>1474</v>
      </c>
      <c r="B97" s="13">
        <v>1767</v>
      </c>
      <c r="C97" s="14" t="str">
        <f>+VLOOKUP(B97,[1]LISTE!$A$1:$D$431,4,FALSE)</f>
        <v>B.H.SGHAIER NAOUFEL</v>
      </c>
      <c r="D97" s="14" t="s">
        <v>251</v>
      </c>
      <c r="E97" s="15">
        <v>45779</v>
      </c>
      <c r="F97" s="14" t="s">
        <v>19</v>
      </c>
      <c r="G97" s="16">
        <v>226.947</v>
      </c>
    </row>
    <row r="98" spans="1:7" x14ac:dyDescent="0.25">
      <c r="A98" s="13" t="s">
        <v>1519</v>
      </c>
      <c r="B98" s="13">
        <v>1780</v>
      </c>
      <c r="C98" s="14" t="str">
        <f>+VLOOKUP(B98,[1]LISTE!$A$1:$D$431,4,FALSE)</f>
        <v>SASSI SAIFELLAH</v>
      </c>
      <c r="D98" s="15" t="s">
        <v>22</v>
      </c>
      <c r="E98" s="15">
        <v>45770</v>
      </c>
      <c r="F98" s="14" t="s">
        <v>19</v>
      </c>
      <c r="G98" s="16">
        <v>63.237000000000002</v>
      </c>
    </row>
    <row r="99" spans="1:7" x14ac:dyDescent="0.25">
      <c r="A99" s="13" t="s">
        <v>1481</v>
      </c>
      <c r="B99" s="13">
        <v>1781</v>
      </c>
      <c r="C99" s="14" t="str">
        <f>+VLOOKUP(B99,[1]LISTE!$A$1:$D$431,4,FALSE)</f>
        <v>KEMIMECH MOHAMED</v>
      </c>
      <c r="D99" s="14" t="s">
        <v>217</v>
      </c>
      <c r="E99" s="15">
        <v>45786</v>
      </c>
      <c r="F99" s="14" t="s">
        <v>23</v>
      </c>
      <c r="G99" s="16">
        <v>50</v>
      </c>
    </row>
    <row r="100" spans="1:7" x14ac:dyDescent="0.25">
      <c r="A100" s="13" t="s">
        <v>1481</v>
      </c>
      <c r="B100" s="13">
        <v>1781</v>
      </c>
      <c r="C100" s="14" t="str">
        <f>+VLOOKUP(B100,[1]LISTE!$A$1:$D$431,4,FALSE)</f>
        <v>KEMIMECH MOHAMED</v>
      </c>
      <c r="D100" s="15" t="s">
        <v>217</v>
      </c>
      <c r="E100" s="15">
        <v>45786</v>
      </c>
      <c r="F100" s="14" t="s">
        <v>20</v>
      </c>
      <c r="G100" s="16">
        <v>17.105</v>
      </c>
    </row>
    <row r="101" spans="1:7" x14ac:dyDescent="0.25">
      <c r="A101" s="13" t="s">
        <v>1481</v>
      </c>
      <c r="B101" s="13">
        <v>1781</v>
      </c>
      <c r="C101" s="14" t="str">
        <f>+VLOOKUP(B101,[1]LISTE!$A$1:$D$431,4,FALSE)</f>
        <v>KEMIMECH MOHAMED</v>
      </c>
      <c r="D101" s="15" t="s">
        <v>217</v>
      </c>
      <c r="E101" s="15">
        <v>45792</v>
      </c>
      <c r="F101" s="14" t="s">
        <v>24</v>
      </c>
      <c r="G101" s="16">
        <v>20</v>
      </c>
    </row>
    <row r="102" spans="1:7" x14ac:dyDescent="0.25">
      <c r="A102" s="13" t="s">
        <v>1481</v>
      </c>
      <c r="B102" s="13">
        <v>1781</v>
      </c>
      <c r="C102" s="14" t="str">
        <f>+VLOOKUP(B102,[1]LISTE!$A$1:$D$431,4,FALSE)</f>
        <v>KEMIMECH MOHAMED</v>
      </c>
      <c r="D102" s="14" t="s">
        <v>217</v>
      </c>
      <c r="E102" s="15">
        <v>45790</v>
      </c>
      <c r="F102" s="14" t="s">
        <v>25</v>
      </c>
      <c r="G102" s="16">
        <v>220</v>
      </c>
    </row>
    <row r="103" spans="1:7" x14ac:dyDescent="0.25">
      <c r="A103" s="13" t="s">
        <v>1533</v>
      </c>
      <c r="B103" s="13">
        <v>1786</v>
      </c>
      <c r="C103" s="14" t="str">
        <f>+VLOOKUP(B103,[1]LISTE!$A$1:$D$431,4,FALSE)</f>
        <v>GUIZANI MOHAMED</v>
      </c>
      <c r="D103" s="14" t="s">
        <v>1534</v>
      </c>
      <c r="E103" s="15">
        <v>45798</v>
      </c>
      <c r="F103" s="14" t="s">
        <v>23</v>
      </c>
      <c r="G103" s="16">
        <v>40</v>
      </c>
    </row>
    <row r="104" spans="1:7" x14ac:dyDescent="0.25">
      <c r="A104" s="13" t="s">
        <v>1533</v>
      </c>
      <c r="B104" s="13">
        <v>1786</v>
      </c>
      <c r="C104" s="14" t="str">
        <f>+VLOOKUP(B104,[1]LISTE!$A$1:$D$431,4,FALSE)</f>
        <v>GUIZANI MOHAMED</v>
      </c>
      <c r="D104" s="15" t="s">
        <v>1534</v>
      </c>
      <c r="E104" s="15">
        <v>45798</v>
      </c>
      <c r="F104" s="14" t="s">
        <v>20</v>
      </c>
      <c r="G104" s="16">
        <v>24.98</v>
      </c>
    </row>
    <row r="105" spans="1:7" x14ac:dyDescent="0.25">
      <c r="A105" s="13" t="s">
        <v>1524</v>
      </c>
      <c r="B105" s="13">
        <v>1801</v>
      </c>
      <c r="C105" s="14" t="str">
        <f>+VLOOKUP(B105,[1]LISTE!$A$1:$D$431,4,FALSE)</f>
        <v>MAHJOUB MOHAMED</v>
      </c>
      <c r="D105" s="15" t="s">
        <v>128</v>
      </c>
      <c r="E105" s="15">
        <v>45794</v>
      </c>
      <c r="F105" s="14" t="s">
        <v>18</v>
      </c>
      <c r="G105" s="16">
        <v>70</v>
      </c>
    </row>
    <row r="106" spans="1:7" x14ac:dyDescent="0.25">
      <c r="A106" s="13" t="s">
        <v>1524</v>
      </c>
      <c r="B106" s="13">
        <v>1801</v>
      </c>
      <c r="C106" s="14" t="str">
        <f>+VLOOKUP(B106,[1]LISTE!$A$1:$D$431,4,FALSE)</f>
        <v>MAHJOUB MOHAMED</v>
      </c>
      <c r="D106" s="14" t="s">
        <v>128</v>
      </c>
      <c r="E106" s="15">
        <v>45794</v>
      </c>
      <c r="F106" s="14" t="s">
        <v>20</v>
      </c>
      <c r="G106" s="16">
        <v>61.152000000000001</v>
      </c>
    </row>
    <row r="107" spans="1:7" x14ac:dyDescent="0.25">
      <c r="A107" s="13" t="s">
        <v>1551</v>
      </c>
      <c r="B107" s="13">
        <v>1809</v>
      </c>
      <c r="C107" s="14" t="str">
        <f>+VLOOKUP(B107,[1]LISTE!$A$1:$D$431,4,FALSE)</f>
        <v>JUILI AFIF</v>
      </c>
      <c r="D107" s="14" t="s">
        <v>144</v>
      </c>
      <c r="E107" s="15">
        <v>45781</v>
      </c>
      <c r="F107" s="14" t="s">
        <v>23</v>
      </c>
      <c r="G107" s="16">
        <v>40</v>
      </c>
    </row>
    <row r="108" spans="1:7" x14ac:dyDescent="0.25">
      <c r="A108" s="13" t="s">
        <v>1551</v>
      </c>
      <c r="B108" s="13">
        <v>1809</v>
      </c>
      <c r="C108" s="14" t="str">
        <f>+VLOOKUP(B108,[1]LISTE!$A$1:$D$431,4,FALSE)</f>
        <v>JUILI AFIF</v>
      </c>
      <c r="D108" s="14" t="s">
        <v>144</v>
      </c>
      <c r="E108" s="15">
        <v>45781</v>
      </c>
      <c r="F108" s="14" t="s">
        <v>20</v>
      </c>
      <c r="G108" s="16">
        <v>6.7249999999999996</v>
      </c>
    </row>
    <row r="109" spans="1:7" x14ac:dyDescent="0.25">
      <c r="A109" s="13" t="s">
        <v>1551</v>
      </c>
      <c r="B109" s="13">
        <v>1809</v>
      </c>
      <c r="C109" s="14" t="str">
        <f>+VLOOKUP(B109,[1]LISTE!$A$1:$D$431,4,FALSE)</f>
        <v>JUILI AFIF</v>
      </c>
      <c r="D109" s="15" t="s">
        <v>144</v>
      </c>
      <c r="E109" s="15">
        <v>45788</v>
      </c>
      <c r="F109" s="14" t="s">
        <v>24</v>
      </c>
      <c r="G109" s="16">
        <v>70</v>
      </c>
    </row>
    <row r="110" spans="1:7" x14ac:dyDescent="0.25">
      <c r="A110" s="13" t="s">
        <v>1551</v>
      </c>
      <c r="B110" s="13">
        <v>1809</v>
      </c>
      <c r="C110" s="14" t="str">
        <f>+VLOOKUP(B110,[1]LISTE!$A$1:$D$431,4,FALSE)</f>
        <v>JUILI AFIF</v>
      </c>
      <c r="D110" s="14" t="s">
        <v>144</v>
      </c>
      <c r="E110" s="15">
        <v>45801</v>
      </c>
      <c r="F110" s="14" t="s">
        <v>25</v>
      </c>
      <c r="G110" s="16">
        <v>600</v>
      </c>
    </row>
    <row r="111" spans="1:7" x14ac:dyDescent="0.25">
      <c r="A111" s="13" t="s">
        <v>1483</v>
      </c>
      <c r="B111" s="13">
        <v>1814</v>
      </c>
      <c r="C111" s="14" t="str">
        <f>+VLOOKUP(B111,[1]LISTE!$A$1:$D$431,4,FALSE)</f>
        <v>BEL ARBIA SLAH</v>
      </c>
      <c r="D111" s="14" t="s">
        <v>641</v>
      </c>
      <c r="E111" s="15">
        <v>45790</v>
      </c>
      <c r="F111" s="14" t="s">
        <v>23</v>
      </c>
      <c r="G111" s="16">
        <v>20</v>
      </c>
    </row>
    <row r="112" spans="1:7" x14ac:dyDescent="0.25">
      <c r="A112" s="13" t="s">
        <v>1483</v>
      </c>
      <c r="B112" s="13">
        <v>1814</v>
      </c>
      <c r="C112" s="14" t="str">
        <f>+VLOOKUP(B112,[1]LISTE!$A$1:$D$431,4,FALSE)</f>
        <v>BEL ARBIA SLAH</v>
      </c>
      <c r="D112" s="14" t="s">
        <v>641</v>
      </c>
      <c r="E112" s="15">
        <v>45790</v>
      </c>
      <c r="F112" s="14" t="s">
        <v>20</v>
      </c>
      <c r="G112" s="16">
        <v>19.21</v>
      </c>
    </row>
    <row r="113" spans="1:7" x14ac:dyDescent="0.25">
      <c r="A113" s="13" t="s">
        <v>1536</v>
      </c>
      <c r="B113" s="13">
        <v>1814</v>
      </c>
      <c r="C113" s="14" t="str">
        <f>+VLOOKUP(B113,[1]LISTE!$A$1:$D$431,4,FALSE)</f>
        <v>BEL ARBIA SLAH</v>
      </c>
      <c r="D113" s="14" t="s">
        <v>59</v>
      </c>
      <c r="E113" s="15">
        <v>45800</v>
      </c>
      <c r="F113" s="14" t="s">
        <v>18</v>
      </c>
      <c r="G113" s="16">
        <v>70</v>
      </c>
    </row>
    <row r="114" spans="1:7" x14ac:dyDescent="0.25">
      <c r="A114" s="13" t="s">
        <v>1536</v>
      </c>
      <c r="B114" s="13">
        <v>1814</v>
      </c>
      <c r="C114" s="14" t="str">
        <f>+VLOOKUP(B114,[1]LISTE!$A$1:$D$431,4,FALSE)</f>
        <v>BEL ARBIA SLAH</v>
      </c>
      <c r="D114" s="14" t="s">
        <v>59</v>
      </c>
      <c r="E114" s="15">
        <v>45800</v>
      </c>
      <c r="F114" s="14" t="s">
        <v>20</v>
      </c>
      <c r="G114" s="16">
        <v>27.177</v>
      </c>
    </row>
    <row r="115" spans="1:7" x14ac:dyDescent="0.25">
      <c r="A115" s="13" t="s">
        <v>1543</v>
      </c>
      <c r="B115" s="13">
        <v>1814</v>
      </c>
      <c r="C115" s="14" t="str">
        <f>+VLOOKUP(B115,[1]LISTE!$A$1:$D$431,4,FALSE)</f>
        <v>BEL ARBIA SLAH</v>
      </c>
      <c r="D115" s="14" t="s">
        <v>641</v>
      </c>
      <c r="E115" s="15">
        <v>45798</v>
      </c>
      <c r="F115" s="14" t="s">
        <v>18</v>
      </c>
      <c r="G115" s="16">
        <v>70</v>
      </c>
    </row>
    <row r="116" spans="1:7" x14ac:dyDescent="0.25">
      <c r="A116" s="13" t="s">
        <v>1543</v>
      </c>
      <c r="B116" s="13">
        <v>1814</v>
      </c>
      <c r="C116" s="14" t="str">
        <f>+VLOOKUP(B116,[1]LISTE!$A$1:$D$431,4,FALSE)</f>
        <v>BEL ARBIA SLAH</v>
      </c>
      <c r="D116" s="14" t="s">
        <v>641</v>
      </c>
      <c r="E116" s="15">
        <v>45799</v>
      </c>
      <c r="F116" s="14" t="s">
        <v>20</v>
      </c>
      <c r="G116" s="16">
        <v>24.751999999999999</v>
      </c>
    </row>
    <row r="117" spans="1:7" x14ac:dyDescent="0.25">
      <c r="A117" s="13" t="s">
        <v>1543</v>
      </c>
      <c r="B117" s="13">
        <v>1814</v>
      </c>
      <c r="C117" s="14" t="str">
        <f>+VLOOKUP(B117,[1]LISTE!$A$1:$D$431,4,FALSE)</f>
        <v>BEL ARBIA SLAH</v>
      </c>
      <c r="D117" s="14" t="s">
        <v>641</v>
      </c>
      <c r="E117" s="15">
        <v>45799</v>
      </c>
      <c r="F117" s="14" t="s">
        <v>69</v>
      </c>
      <c r="G117" s="16">
        <v>500</v>
      </c>
    </row>
    <row r="118" spans="1:7" x14ac:dyDescent="0.25">
      <c r="A118" s="13" t="s">
        <v>1497</v>
      </c>
      <c r="B118" s="13">
        <v>1830</v>
      </c>
      <c r="C118" s="14" t="str">
        <f>+VLOOKUP(B118,[1]LISTE!$A$1:$D$431,4,FALSE)</f>
        <v>LOURIMI ABDALLAH</v>
      </c>
      <c r="D118" s="14" t="s">
        <v>1498</v>
      </c>
      <c r="E118" s="15">
        <v>45796</v>
      </c>
      <c r="F118" s="14" t="s">
        <v>23</v>
      </c>
      <c r="G118" s="16">
        <v>45</v>
      </c>
    </row>
    <row r="119" spans="1:7" x14ac:dyDescent="0.25">
      <c r="A119" s="13" t="s">
        <v>1497</v>
      </c>
      <c r="B119" s="13">
        <v>1830</v>
      </c>
      <c r="C119" s="14" t="str">
        <f>+VLOOKUP(B119,[1]LISTE!$A$1:$D$431,4,FALSE)</f>
        <v>LOURIMI ABDALLAH</v>
      </c>
      <c r="D119" s="14" t="s">
        <v>1498</v>
      </c>
      <c r="E119" s="15">
        <v>45796</v>
      </c>
      <c r="F119" s="14" t="s">
        <v>20</v>
      </c>
      <c r="G119" s="16">
        <v>31.956</v>
      </c>
    </row>
    <row r="120" spans="1:7" x14ac:dyDescent="0.25">
      <c r="A120" s="13" t="s">
        <v>1497</v>
      </c>
      <c r="B120" s="13">
        <v>1830</v>
      </c>
      <c r="C120" s="14" t="str">
        <f>+VLOOKUP(B120,[1]LISTE!$A$1:$D$431,4,FALSE)</f>
        <v>LOURIMI ABDALLAH</v>
      </c>
      <c r="D120" s="14" t="s">
        <v>1498</v>
      </c>
      <c r="E120" s="15">
        <v>45796</v>
      </c>
      <c r="F120" s="14" t="s">
        <v>65</v>
      </c>
      <c r="G120" s="16">
        <v>2</v>
      </c>
    </row>
    <row r="121" spans="1:7" x14ac:dyDescent="0.25">
      <c r="A121" s="13" t="s">
        <v>1565</v>
      </c>
      <c r="B121" s="13">
        <v>1831</v>
      </c>
      <c r="C121" s="14" t="str">
        <f>+VLOOKUP(B121,[1]LISTE!$A$1:$D$431,4,FALSE)</f>
        <v>KEMIMECH MOHAMED BEN MOHAMED</v>
      </c>
      <c r="D121" s="15" t="s">
        <v>343</v>
      </c>
      <c r="E121" s="15">
        <v>45793</v>
      </c>
      <c r="F121" s="14" t="s">
        <v>23</v>
      </c>
      <c r="G121" s="16">
        <v>50</v>
      </c>
    </row>
    <row r="122" spans="1:7" x14ac:dyDescent="0.25">
      <c r="A122" s="13" t="s">
        <v>1565</v>
      </c>
      <c r="B122" s="13">
        <v>1831</v>
      </c>
      <c r="C122" s="14" t="str">
        <f>+VLOOKUP(B122,[1]LISTE!$A$1:$D$431,4,FALSE)</f>
        <v>KEMIMECH MOHAMED BEN MOHAMED</v>
      </c>
      <c r="D122" s="14" t="s">
        <v>343</v>
      </c>
      <c r="E122" s="15">
        <v>45793</v>
      </c>
      <c r="F122" s="14" t="s">
        <v>20</v>
      </c>
      <c r="G122" s="16">
        <v>49.454999999999998</v>
      </c>
    </row>
    <row r="123" spans="1:7" x14ac:dyDescent="0.25">
      <c r="A123" s="13" t="s">
        <v>1457</v>
      </c>
      <c r="B123" s="13">
        <v>1833</v>
      </c>
      <c r="C123" s="14" t="str">
        <f>+VLOOKUP(B123,[1]LISTE!$A$1:$D$431,4,FALSE)</f>
        <v>BOUZAABIA MOHAMED</v>
      </c>
      <c r="D123" s="14" t="s">
        <v>22</v>
      </c>
      <c r="E123" s="15">
        <v>45788</v>
      </c>
      <c r="F123" s="14" t="s">
        <v>23</v>
      </c>
      <c r="G123" s="16">
        <v>55</v>
      </c>
    </row>
    <row r="124" spans="1:7" x14ac:dyDescent="0.25">
      <c r="A124" s="13" t="s">
        <v>1457</v>
      </c>
      <c r="B124" s="13">
        <v>1833</v>
      </c>
      <c r="C124" s="14" t="str">
        <f>+VLOOKUP(B124,[1]LISTE!$A$1:$D$431,4,FALSE)</f>
        <v>BOUZAABIA MOHAMED</v>
      </c>
      <c r="D124" s="14" t="s">
        <v>22</v>
      </c>
      <c r="E124" s="15">
        <v>45788</v>
      </c>
      <c r="F124" s="14" t="s">
        <v>20</v>
      </c>
      <c r="G124" s="16">
        <v>36.442</v>
      </c>
    </row>
    <row r="125" spans="1:7" x14ac:dyDescent="0.25">
      <c r="A125" s="13" t="s">
        <v>1517</v>
      </c>
      <c r="B125" s="13">
        <v>1833</v>
      </c>
      <c r="C125" s="14" t="str">
        <f>+VLOOKUP(B125,[1]LISTE!$A$1:$D$431,4,FALSE)</f>
        <v>BOUZAABIA MOHAMED</v>
      </c>
      <c r="D125" s="14" t="s">
        <v>79</v>
      </c>
      <c r="E125" s="15">
        <v>45779</v>
      </c>
      <c r="F125" s="14" t="s">
        <v>18</v>
      </c>
      <c r="G125" s="16">
        <v>70</v>
      </c>
    </row>
    <row r="126" spans="1:7" x14ac:dyDescent="0.25">
      <c r="A126" s="13" t="s">
        <v>1517</v>
      </c>
      <c r="B126" s="13">
        <v>1833</v>
      </c>
      <c r="C126" s="14" t="str">
        <f>+VLOOKUP(B126,[1]LISTE!$A$1:$D$431,4,FALSE)</f>
        <v>BOUZAABIA MOHAMED</v>
      </c>
      <c r="D126" s="14" t="s">
        <v>79</v>
      </c>
      <c r="E126" s="15">
        <v>45779</v>
      </c>
      <c r="F126" s="14" t="s">
        <v>20</v>
      </c>
      <c r="G126" s="16">
        <v>25.969000000000001</v>
      </c>
    </row>
    <row r="127" spans="1:7" x14ac:dyDescent="0.25">
      <c r="A127" s="13" t="s">
        <v>1517</v>
      </c>
      <c r="B127" s="13">
        <v>1833</v>
      </c>
      <c r="C127" s="14" t="str">
        <f>+VLOOKUP(B127,[1]LISTE!$A$1:$D$431,4,FALSE)</f>
        <v>BOUZAABIA MOHAMED</v>
      </c>
      <c r="D127" s="15" t="s">
        <v>79</v>
      </c>
      <c r="E127" s="15">
        <v>45779</v>
      </c>
      <c r="F127" s="14" t="s">
        <v>69</v>
      </c>
      <c r="G127" s="16">
        <v>400</v>
      </c>
    </row>
    <row r="128" spans="1:7" x14ac:dyDescent="0.25">
      <c r="A128" s="13" t="s">
        <v>1554</v>
      </c>
      <c r="B128" s="13">
        <v>1833</v>
      </c>
      <c r="C128" s="14" t="str">
        <f>+VLOOKUP(B128,[1]LISTE!$A$1:$D$431,4,FALSE)</f>
        <v>BOUZAABIA MOHAMED</v>
      </c>
      <c r="D128" s="14" t="s">
        <v>22</v>
      </c>
      <c r="E128" s="15">
        <v>45798</v>
      </c>
      <c r="F128" s="14" t="s">
        <v>23</v>
      </c>
      <c r="G128" s="16">
        <v>40</v>
      </c>
    </row>
    <row r="129" spans="1:7" x14ac:dyDescent="0.25">
      <c r="A129" s="13" t="s">
        <v>1554</v>
      </c>
      <c r="B129" s="13">
        <v>1833</v>
      </c>
      <c r="C129" s="14" t="str">
        <f>+VLOOKUP(B129,[1]LISTE!$A$1:$D$431,4,FALSE)</f>
        <v>BOUZAABIA MOHAMED</v>
      </c>
      <c r="D129" s="14" t="s">
        <v>22</v>
      </c>
      <c r="E129" s="15">
        <v>45798</v>
      </c>
      <c r="F129" s="14" t="s">
        <v>20</v>
      </c>
      <c r="G129" s="16">
        <v>42.27</v>
      </c>
    </row>
    <row r="130" spans="1:7" x14ac:dyDescent="0.25">
      <c r="A130" s="13" t="s">
        <v>1502</v>
      </c>
      <c r="B130" s="13">
        <v>1837</v>
      </c>
      <c r="C130" s="14" t="str">
        <f>+VLOOKUP(B130,[1]LISTE!$A$1:$D$431,4,FALSE)</f>
        <v>SLAMA SALEM</v>
      </c>
      <c r="D130" s="14" t="s">
        <v>242</v>
      </c>
      <c r="E130" s="15">
        <v>45797</v>
      </c>
      <c r="F130" s="14" t="s">
        <v>23</v>
      </c>
      <c r="G130" s="16">
        <v>35</v>
      </c>
    </row>
    <row r="131" spans="1:7" x14ac:dyDescent="0.25">
      <c r="A131" s="13" t="s">
        <v>1502</v>
      </c>
      <c r="B131" s="13">
        <v>1837</v>
      </c>
      <c r="C131" s="14" t="str">
        <f>+VLOOKUP(B131,[1]LISTE!$A$1:$D$431,4,FALSE)</f>
        <v>SLAMA SALEM</v>
      </c>
      <c r="D131" s="15" t="s">
        <v>242</v>
      </c>
      <c r="E131" s="15">
        <v>45797</v>
      </c>
      <c r="F131" s="14" t="s">
        <v>20</v>
      </c>
      <c r="G131" s="16">
        <v>91.113</v>
      </c>
    </row>
    <row r="132" spans="1:7" x14ac:dyDescent="0.25">
      <c r="A132" s="13" t="s">
        <v>1559</v>
      </c>
      <c r="B132" s="13">
        <v>1842</v>
      </c>
      <c r="C132" s="14" t="str">
        <f>+VLOOKUP(B132,[1]LISTE!$A$1:$D$431,4,FALSE)</f>
        <v>SAKKA ROUIS SAMI</v>
      </c>
      <c r="D132" s="15" t="s">
        <v>22</v>
      </c>
      <c r="E132" s="15">
        <v>45803</v>
      </c>
      <c r="F132" s="14" t="s">
        <v>18</v>
      </c>
      <c r="G132" s="16">
        <v>60</v>
      </c>
    </row>
    <row r="133" spans="1:7" x14ac:dyDescent="0.25">
      <c r="A133" s="13" t="s">
        <v>1559</v>
      </c>
      <c r="B133" s="13">
        <v>1842</v>
      </c>
      <c r="C133" s="14" t="str">
        <f>+VLOOKUP(B133,[1]LISTE!$A$1:$D$431,4,FALSE)</f>
        <v>SAKKA ROUIS SAMI</v>
      </c>
      <c r="D133" s="14" t="s">
        <v>22</v>
      </c>
      <c r="E133" s="15">
        <v>45803</v>
      </c>
      <c r="F133" s="14" t="s">
        <v>19</v>
      </c>
      <c r="G133" s="16">
        <v>45.05</v>
      </c>
    </row>
    <row r="134" spans="1:7" x14ac:dyDescent="0.25">
      <c r="A134" s="13" t="s">
        <v>1559</v>
      </c>
      <c r="B134" s="13">
        <v>1842</v>
      </c>
      <c r="C134" s="14" t="str">
        <f>+VLOOKUP(B134,[1]LISTE!$A$1:$D$431,4,FALSE)</f>
        <v>SAKKA ROUIS SAMI</v>
      </c>
      <c r="D134" s="15" t="s">
        <v>22</v>
      </c>
      <c r="E134" s="15">
        <v>45803</v>
      </c>
      <c r="F134" s="14" t="s">
        <v>20</v>
      </c>
      <c r="G134" s="16">
        <v>24.443999999999999</v>
      </c>
    </row>
    <row r="135" spans="1:7" x14ac:dyDescent="0.25">
      <c r="A135" s="13" t="s">
        <v>1553</v>
      </c>
      <c r="B135" s="13">
        <v>1877</v>
      </c>
      <c r="C135" s="14" t="str">
        <f>+VLOOKUP(B135,[1]LISTE!$A$1:$D$431,4,FALSE)</f>
        <v>SOUSSI MAHER</v>
      </c>
      <c r="D135" s="15" t="s">
        <v>475</v>
      </c>
      <c r="E135" s="15">
        <v>45782</v>
      </c>
      <c r="F135" s="14" t="s">
        <v>18</v>
      </c>
      <c r="G135" s="16">
        <v>70</v>
      </c>
    </row>
    <row r="136" spans="1:7" x14ac:dyDescent="0.25">
      <c r="A136" s="13" t="s">
        <v>1553</v>
      </c>
      <c r="B136" s="13">
        <v>1877</v>
      </c>
      <c r="C136" s="14" t="str">
        <f>+VLOOKUP(B136,[1]LISTE!$A$1:$D$431,4,FALSE)</f>
        <v>SOUSSI MAHER</v>
      </c>
      <c r="D136" s="15" t="s">
        <v>475</v>
      </c>
      <c r="E136" s="15">
        <v>45782</v>
      </c>
      <c r="F136" s="14" t="s">
        <v>20</v>
      </c>
      <c r="G136" s="16">
        <v>47.156999999999996</v>
      </c>
    </row>
    <row r="137" spans="1:7" x14ac:dyDescent="0.25">
      <c r="A137" s="13" t="s">
        <v>1514</v>
      </c>
      <c r="B137" s="13">
        <v>1878</v>
      </c>
      <c r="C137" s="14" t="str">
        <f>+VLOOKUP(B137,[1]LISTE!$A$1:$D$431,4,FALSE)</f>
        <v>BOUHLEL MED ALI</v>
      </c>
      <c r="D137" s="14" t="s">
        <v>31</v>
      </c>
      <c r="E137" s="15">
        <v>45794</v>
      </c>
      <c r="F137" s="14" t="s">
        <v>23</v>
      </c>
      <c r="G137" s="16">
        <v>50</v>
      </c>
    </row>
    <row r="138" spans="1:7" x14ac:dyDescent="0.25">
      <c r="A138" s="13" t="s">
        <v>1514</v>
      </c>
      <c r="B138" s="13">
        <v>1878</v>
      </c>
      <c r="C138" s="14" t="str">
        <f>+VLOOKUP(B138,[1]LISTE!$A$1:$D$431,4,FALSE)</f>
        <v>BOUHLEL MED ALI</v>
      </c>
      <c r="D138" s="14" t="s">
        <v>31</v>
      </c>
      <c r="E138" s="15">
        <v>45795</v>
      </c>
      <c r="F138" s="14" t="s">
        <v>20</v>
      </c>
      <c r="G138" s="16">
        <v>2.2149999999999999</v>
      </c>
    </row>
    <row r="139" spans="1:7" x14ac:dyDescent="0.25">
      <c r="A139" s="13" t="s">
        <v>1477</v>
      </c>
      <c r="B139" s="13">
        <v>1901</v>
      </c>
      <c r="C139" s="14" t="str">
        <f>+VLOOKUP(B139,[1]LISTE!$A$1:$D$431,4,FALSE)</f>
        <v>BACH ZOUHAIER</v>
      </c>
      <c r="D139" s="14" t="s">
        <v>22</v>
      </c>
      <c r="E139" s="15">
        <v>45785</v>
      </c>
      <c r="F139" s="14" t="s">
        <v>23</v>
      </c>
      <c r="G139" s="16">
        <v>50</v>
      </c>
    </row>
    <row r="140" spans="1:7" x14ac:dyDescent="0.25">
      <c r="A140" s="13" t="s">
        <v>1477</v>
      </c>
      <c r="B140" s="13">
        <v>1901</v>
      </c>
      <c r="C140" s="14" t="str">
        <f>+VLOOKUP(B140,[1]LISTE!$A$1:$D$431,4,FALSE)</f>
        <v>BACH ZOUHAIER</v>
      </c>
      <c r="D140" s="14" t="s">
        <v>22</v>
      </c>
      <c r="E140" s="15">
        <v>45785</v>
      </c>
      <c r="F140" s="14" t="s">
        <v>20</v>
      </c>
      <c r="G140" s="16">
        <v>16.920000000000002</v>
      </c>
    </row>
    <row r="141" spans="1:7" x14ac:dyDescent="0.25">
      <c r="A141" s="13" t="s">
        <v>1491</v>
      </c>
      <c r="B141" s="13">
        <v>1905</v>
      </c>
      <c r="C141" s="14" t="str">
        <f>+VLOOKUP(B141,[1]LISTE!$A$1:$D$431,4,FALSE)</f>
        <v>LADHARI MOHAMED</v>
      </c>
      <c r="D141" s="14" t="s">
        <v>923</v>
      </c>
      <c r="E141" s="15">
        <v>45789</v>
      </c>
      <c r="F141" s="14" t="s">
        <v>18</v>
      </c>
      <c r="G141" s="16">
        <v>70</v>
      </c>
    </row>
    <row r="142" spans="1:7" x14ac:dyDescent="0.25">
      <c r="A142" s="13" t="s">
        <v>1491</v>
      </c>
      <c r="B142" s="13">
        <v>1905</v>
      </c>
      <c r="C142" s="14" t="str">
        <f>+VLOOKUP(B142,[1]LISTE!$A$1:$D$431,4,FALSE)</f>
        <v>LADHARI MOHAMED</v>
      </c>
      <c r="D142" s="15" t="s">
        <v>923</v>
      </c>
      <c r="E142" s="15">
        <v>45789</v>
      </c>
      <c r="F142" s="14" t="s">
        <v>20</v>
      </c>
      <c r="G142" s="16">
        <v>19.155999999999999</v>
      </c>
    </row>
    <row r="143" spans="1:7" x14ac:dyDescent="0.25">
      <c r="A143" s="13" t="s">
        <v>1531</v>
      </c>
      <c r="B143" s="13">
        <v>1910</v>
      </c>
      <c r="C143" s="14" t="str">
        <f>+VLOOKUP(B143,[1]LISTE!$A$1:$D$431,4,FALSE)</f>
        <v>YOUSFI MEHDI</v>
      </c>
      <c r="D143" s="14" t="s">
        <v>22</v>
      </c>
      <c r="E143" s="15">
        <v>45797</v>
      </c>
      <c r="F143" s="14" t="s">
        <v>23</v>
      </c>
      <c r="G143" s="16">
        <v>50</v>
      </c>
    </row>
    <row r="144" spans="1:7" x14ac:dyDescent="0.25">
      <c r="A144" s="13" t="s">
        <v>1531</v>
      </c>
      <c r="B144" s="13">
        <v>1910</v>
      </c>
      <c r="C144" s="14" t="str">
        <f>+VLOOKUP(B144,[1]LISTE!$A$1:$D$431,4,FALSE)</f>
        <v>YOUSFI MEHDI</v>
      </c>
      <c r="D144" s="14" t="s">
        <v>22</v>
      </c>
      <c r="E144" s="15">
        <v>45797</v>
      </c>
      <c r="F144" s="14" t="s">
        <v>20</v>
      </c>
      <c r="G144" s="16">
        <v>12.8</v>
      </c>
    </row>
    <row r="145" spans="1:7" x14ac:dyDescent="0.25">
      <c r="A145" s="13" t="s">
        <v>1531</v>
      </c>
      <c r="B145" s="13">
        <v>1910</v>
      </c>
      <c r="C145" s="14" t="str">
        <f>+VLOOKUP(B145,[1]LISTE!$A$1:$D$431,4,FALSE)</f>
        <v>YOUSFI MEHDI</v>
      </c>
      <c r="D145" s="14" t="s">
        <v>22</v>
      </c>
      <c r="E145" s="15">
        <v>45795</v>
      </c>
      <c r="F145" s="14" t="s">
        <v>24</v>
      </c>
      <c r="G145" s="16">
        <v>350</v>
      </c>
    </row>
    <row r="146" spans="1:7" x14ac:dyDescent="0.25">
      <c r="A146" s="13" t="s">
        <v>1465</v>
      </c>
      <c r="B146" s="13">
        <v>1914</v>
      </c>
      <c r="C146" s="14" t="str">
        <f>+VLOOKUP(B146,[1]LISTE!$A$1:$D$431,4,FALSE)</f>
        <v>EL FKIH LAMJED</v>
      </c>
      <c r="D146" s="14" t="s">
        <v>1304</v>
      </c>
      <c r="E146" s="15">
        <v>45779</v>
      </c>
      <c r="F146" s="14" t="s">
        <v>20</v>
      </c>
      <c r="G146" s="16">
        <v>2.2149999999999999</v>
      </c>
    </row>
    <row r="147" spans="1:7" x14ac:dyDescent="0.25">
      <c r="A147" s="13" t="s">
        <v>1465</v>
      </c>
      <c r="B147" s="13">
        <v>1914</v>
      </c>
      <c r="C147" s="14" t="str">
        <f>+VLOOKUP(B147,[1]LISTE!$A$1:$D$431,4,FALSE)</f>
        <v>EL FKIH LAMJED</v>
      </c>
      <c r="D147" s="14" t="s">
        <v>1304</v>
      </c>
      <c r="E147" s="15">
        <v>45786</v>
      </c>
      <c r="F147" s="14" t="s">
        <v>24</v>
      </c>
      <c r="G147" s="16">
        <v>180</v>
      </c>
    </row>
    <row r="148" spans="1:7" x14ac:dyDescent="0.25">
      <c r="A148" s="13" t="s">
        <v>1493</v>
      </c>
      <c r="B148" s="13">
        <v>1924</v>
      </c>
      <c r="C148" s="14" t="str">
        <f>+VLOOKUP(B148,[1]LISTE!$A$1:$D$431,4,FALSE)</f>
        <v>BRAHIM Wahiba</v>
      </c>
      <c r="D148" s="14" t="s">
        <v>22</v>
      </c>
      <c r="E148" s="15">
        <v>45783</v>
      </c>
      <c r="F148" s="14" t="s">
        <v>18</v>
      </c>
      <c r="G148" s="16">
        <v>70</v>
      </c>
    </row>
    <row r="149" spans="1:7" x14ac:dyDescent="0.25">
      <c r="A149" s="13" t="s">
        <v>1493</v>
      </c>
      <c r="B149" s="13">
        <v>1924</v>
      </c>
      <c r="C149" s="14" t="str">
        <f>+VLOOKUP(B149,[1]LISTE!$A$1:$D$431,4,FALSE)</f>
        <v>BRAHIM Wahiba</v>
      </c>
      <c r="D149" s="15" t="s">
        <v>22</v>
      </c>
      <c r="E149" s="15">
        <v>45783</v>
      </c>
      <c r="F149" s="14" t="s">
        <v>20</v>
      </c>
      <c r="G149" s="16">
        <v>286</v>
      </c>
    </row>
    <row r="150" spans="1:7" x14ac:dyDescent="0.25">
      <c r="A150" s="13" t="s">
        <v>1561</v>
      </c>
      <c r="B150" s="13">
        <v>1924</v>
      </c>
      <c r="C150" s="14" t="str">
        <f>+VLOOKUP(B150,[1]LISTE!$A$1:$D$431,4,FALSE)</f>
        <v>BRAHIM Wahiba</v>
      </c>
      <c r="D150" s="14" t="s">
        <v>580</v>
      </c>
      <c r="E150" s="15">
        <v>45783</v>
      </c>
      <c r="F150" s="14" t="s">
        <v>18</v>
      </c>
      <c r="G150" s="16">
        <v>70</v>
      </c>
    </row>
    <row r="151" spans="1:7" x14ac:dyDescent="0.25">
      <c r="A151" s="13" t="s">
        <v>1561</v>
      </c>
      <c r="B151" s="13">
        <v>1924</v>
      </c>
      <c r="C151" s="14" t="str">
        <f>+VLOOKUP(B151,[1]LISTE!$A$1:$D$431,4,FALSE)</f>
        <v>BRAHIM Wahiba</v>
      </c>
      <c r="D151" s="15" t="s">
        <v>580</v>
      </c>
      <c r="E151" s="15">
        <v>45786</v>
      </c>
      <c r="F151" s="14" t="s">
        <v>20</v>
      </c>
      <c r="G151" s="16">
        <v>67.399000000000001</v>
      </c>
    </row>
    <row r="152" spans="1:7" x14ac:dyDescent="0.25">
      <c r="A152" s="13" t="s">
        <v>1561</v>
      </c>
      <c r="B152" s="13">
        <v>1924</v>
      </c>
      <c r="C152" s="14" t="str">
        <f>+VLOOKUP(B152,[1]LISTE!$A$1:$D$431,4,FALSE)</f>
        <v>BRAHIM Wahiba</v>
      </c>
      <c r="D152" s="15" t="s">
        <v>580</v>
      </c>
      <c r="E152" s="15">
        <v>45783</v>
      </c>
      <c r="F152" s="14" t="s">
        <v>19</v>
      </c>
      <c r="G152" s="16">
        <v>57.81</v>
      </c>
    </row>
    <row r="153" spans="1:7" x14ac:dyDescent="0.25">
      <c r="A153" s="13" t="s">
        <v>1561</v>
      </c>
      <c r="B153" s="13">
        <v>1924</v>
      </c>
      <c r="C153" s="14" t="str">
        <f>+VLOOKUP(B153,[1]LISTE!$A$1:$D$431,4,FALSE)</f>
        <v>BRAHIM Wahiba</v>
      </c>
      <c r="D153" s="15" t="s">
        <v>580</v>
      </c>
      <c r="E153" s="15">
        <v>45790</v>
      </c>
      <c r="F153" s="14" t="s">
        <v>19</v>
      </c>
      <c r="G153" s="16">
        <v>120</v>
      </c>
    </row>
    <row r="154" spans="1:7" x14ac:dyDescent="0.25">
      <c r="A154" s="13" t="s">
        <v>1561</v>
      </c>
      <c r="B154" s="13">
        <v>1924</v>
      </c>
      <c r="C154" s="14" t="str">
        <f>+VLOOKUP(B154,[1]LISTE!$A$1:$D$431,4,FALSE)</f>
        <v>BRAHIM Wahiba</v>
      </c>
      <c r="D154" s="15" t="s">
        <v>580</v>
      </c>
      <c r="E154" s="15">
        <v>45790</v>
      </c>
      <c r="F154" s="14" t="s">
        <v>363</v>
      </c>
      <c r="G154" s="16">
        <v>250</v>
      </c>
    </row>
    <row r="155" spans="1:7" x14ac:dyDescent="0.25">
      <c r="A155" s="13" t="s">
        <v>1515</v>
      </c>
      <c r="B155" s="13">
        <v>1938</v>
      </c>
      <c r="C155" s="14" t="str">
        <f>+VLOOKUP(B155,[1]LISTE!$A$1:$D$431,4,FALSE)</f>
        <v>NAFFATI SOFIENE</v>
      </c>
      <c r="D155" s="14" t="s">
        <v>1516</v>
      </c>
      <c r="E155" s="15">
        <v>45791</v>
      </c>
      <c r="F155" s="14" t="s">
        <v>23</v>
      </c>
      <c r="G155" s="16">
        <v>35</v>
      </c>
    </row>
    <row r="156" spans="1:7" x14ac:dyDescent="0.25">
      <c r="A156" s="13" t="s">
        <v>1515</v>
      </c>
      <c r="B156" s="13">
        <v>1938</v>
      </c>
      <c r="C156" s="14" t="str">
        <f>+VLOOKUP(B156,[1]LISTE!$A$1:$D$431,4,FALSE)</f>
        <v>NAFFATI SOFIENE</v>
      </c>
      <c r="D156" s="15" t="s">
        <v>1516</v>
      </c>
      <c r="E156" s="15">
        <v>45791</v>
      </c>
      <c r="F156" s="14" t="s">
        <v>20</v>
      </c>
      <c r="G156" s="16">
        <v>531.6</v>
      </c>
    </row>
    <row r="157" spans="1:7" x14ac:dyDescent="0.25">
      <c r="A157" s="13" t="s">
        <v>1480</v>
      </c>
      <c r="B157" s="13">
        <v>1953</v>
      </c>
      <c r="C157" s="14" t="str">
        <f>+VLOOKUP(B157,[1]LISTE!$A$1:$D$431,4,FALSE)</f>
        <v>SGHAIER SAMI</v>
      </c>
      <c r="D157" s="14" t="s">
        <v>163</v>
      </c>
      <c r="E157" s="15">
        <v>45794</v>
      </c>
      <c r="F157" s="14" t="s">
        <v>23</v>
      </c>
      <c r="G157" s="16">
        <v>45</v>
      </c>
    </row>
    <row r="158" spans="1:7" x14ac:dyDescent="0.25">
      <c r="A158" s="13" t="s">
        <v>1480</v>
      </c>
      <c r="B158" s="13">
        <v>1953</v>
      </c>
      <c r="C158" s="14" t="str">
        <f>+VLOOKUP(B158,[1]LISTE!$A$1:$D$431,4,FALSE)</f>
        <v>SGHAIER SAMI</v>
      </c>
      <c r="D158" s="15" t="s">
        <v>163</v>
      </c>
      <c r="E158" s="15">
        <v>45794</v>
      </c>
      <c r="F158" s="14" t="s">
        <v>20</v>
      </c>
      <c r="G158" s="16">
        <v>26.936</v>
      </c>
    </row>
    <row r="159" spans="1:7" x14ac:dyDescent="0.25">
      <c r="A159" s="13" t="s">
        <v>1532</v>
      </c>
      <c r="B159" s="13">
        <v>1983</v>
      </c>
      <c r="C159" s="14" t="str">
        <f>+VLOOKUP(B159,[1]LISTE!$A$1:$D$431,4,FALSE)</f>
        <v>GOUIDER SLAHEDDINE</v>
      </c>
      <c r="D159" s="15" t="s">
        <v>63</v>
      </c>
      <c r="E159" s="15">
        <v>45781</v>
      </c>
      <c r="F159" s="14" t="s">
        <v>23</v>
      </c>
      <c r="G159" s="16">
        <v>3</v>
      </c>
    </row>
    <row r="160" spans="1:7" x14ac:dyDescent="0.25">
      <c r="A160" s="13" t="s">
        <v>1532</v>
      </c>
      <c r="B160" s="13">
        <v>1983</v>
      </c>
      <c r="C160" s="14" t="str">
        <f>+VLOOKUP(B160,[1]LISTE!$A$1:$D$431,4,FALSE)</f>
        <v>GOUIDER SLAHEDDINE</v>
      </c>
      <c r="D160" s="15" t="s">
        <v>63</v>
      </c>
      <c r="E160" s="15">
        <v>45787</v>
      </c>
      <c r="F160" s="14" t="s">
        <v>20</v>
      </c>
      <c r="G160" s="16">
        <v>16.555</v>
      </c>
    </row>
    <row r="161" spans="1:7" x14ac:dyDescent="0.25">
      <c r="A161" s="13" t="s">
        <v>1532</v>
      </c>
      <c r="B161" s="13">
        <v>1983</v>
      </c>
      <c r="C161" s="14" t="str">
        <f>+VLOOKUP(B161,[1]LISTE!$A$1:$D$431,4,FALSE)</f>
        <v>GOUIDER SLAHEDDINE</v>
      </c>
      <c r="D161" s="14" t="s">
        <v>63</v>
      </c>
      <c r="E161" s="15">
        <v>45787</v>
      </c>
      <c r="F161" s="14" t="s">
        <v>21</v>
      </c>
      <c r="G161" s="16">
        <v>90</v>
      </c>
    </row>
    <row r="162" spans="1:7" x14ac:dyDescent="0.25">
      <c r="A162" s="13" t="s">
        <v>1532</v>
      </c>
      <c r="B162" s="13">
        <v>1983</v>
      </c>
      <c r="C162" s="14" t="str">
        <f>+VLOOKUP(B162,[1]LISTE!$A$1:$D$431,4,FALSE)</f>
        <v>GOUIDER SLAHEDDINE</v>
      </c>
      <c r="D162" s="14" t="s">
        <v>63</v>
      </c>
      <c r="E162" s="15">
        <v>45787</v>
      </c>
      <c r="F162" s="14" t="s">
        <v>587</v>
      </c>
      <c r="G162" s="16">
        <v>20</v>
      </c>
    </row>
    <row r="163" spans="1:7" x14ac:dyDescent="0.25">
      <c r="A163" s="13" t="s">
        <v>1535</v>
      </c>
      <c r="B163" s="13">
        <v>1983</v>
      </c>
      <c r="C163" s="14" t="str">
        <f>+VLOOKUP(B163,[1]LISTE!$A$1:$D$431,4,FALSE)</f>
        <v>GOUIDER SLAHEDDINE</v>
      </c>
      <c r="D163" s="14" t="s">
        <v>200</v>
      </c>
      <c r="E163" s="15">
        <v>45788</v>
      </c>
      <c r="F163" s="14" t="s">
        <v>23</v>
      </c>
      <c r="G163" s="16">
        <v>3</v>
      </c>
    </row>
    <row r="164" spans="1:7" x14ac:dyDescent="0.25">
      <c r="A164" s="13" t="s">
        <v>1535</v>
      </c>
      <c r="B164" s="13">
        <v>1983</v>
      </c>
      <c r="C164" s="14" t="str">
        <f>+VLOOKUP(B164,[1]LISTE!$A$1:$D$431,4,FALSE)</f>
        <v>GOUIDER SLAHEDDINE</v>
      </c>
      <c r="D164" s="15" t="s">
        <v>200</v>
      </c>
      <c r="E164" s="15">
        <v>45788</v>
      </c>
      <c r="F164" s="14" t="s">
        <v>20</v>
      </c>
      <c r="G164" s="16">
        <v>18.149999999999999</v>
      </c>
    </row>
    <row r="165" spans="1:7" x14ac:dyDescent="0.25">
      <c r="A165" s="13" t="s">
        <v>1489</v>
      </c>
      <c r="B165" s="13">
        <v>2013</v>
      </c>
      <c r="C165" s="14" t="str">
        <f>+VLOOKUP(B165,[1]LISTE!$A$1:$D$431,4,FALSE)</f>
        <v>BEL HADJ ALI MOHAMED ALI</v>
      </c>
      <c r="D165" s="14" t="s">
        <v>22</v>
      </c>
      <c r="E165" s="15">
        <v>45780</v>
      </c>
      <c r="F165" s="14" t="s">
        <v>23</v>
      </c>
      <c r="G165" s="16">
        <v>45</v>
      </c>
    </row>
    <row r="166" spans="1:7" x14ac:dyDescent="0.25">
      <c r="A166" s="13" t="s">
        <v>1489</v>
      </c>
      <c r="B166" s="13">
        <v>2013</v>
      </c>
      <c r="C166" s="14" t="str">
        <f>+VLOOKUP(B166,[1]LISTE!$A$1:$D$431,4,FALSE)</f>
        <v>BEL HADJ ALI MOHAMED ALI</v>
      </c>
      <c r="D166" s="14" t="s">
        <v>22</v>
      </c>
      <c r="E166" s="15">
        <v>45789</v>
      </c>
      <c r="F166" s="14" t="s">
        <v>20</v>
      </c>
      <c r="G166" s="16">
        <v>20.962</v>
      </c>
    </row>
    <row r="167" spans="1:7" x14ac:dyDescent="0.25">
      <c r="A167" s="13" t="s">
        <v>1489</v>
      </c>
      <c r="B167" s="13">
        <v>2013</v>
      </c>
      <c r="C167" s="14" t="str">
        <f>+VLOOKUP(B167,[1]LISTE!$A$1:$D$431,4,FALSE)</f>
        <v>BEL HADJ ALI MOHAMED ALI</v>
      </c>
      <c r="D167" s="14" t="s">
        <v>22</v>
      </c>
      <c r="E167" s="15">
        <v>45780</v>
      </c>
      <c r="F167" s="14" t="s">
        <v>21</v>
      </c>
      <c r="G167" s="16">
        <v>90</v>
      </c>
    </row>
    <row r="168" spans="1:7" x14ac:dyDescent="0.25">
      <c r="A168" s="13" t="s">
        <v>1507</v>
      </c>
      <c r="B168" s="13">
        <v>2040</v>
      </c>
      <c r="C168" s="14" t="str">
        <f>+VLOOKUP(B168,[1]LISTE!$A$1:$D$431,4,FALSE)</f>
        <v>GHEZAL YOUSSEF</v>
      </c>
      <c r="D168" s="15" t="s">
        <v>268</v>
      </c>
      <c r="E168" s="15">
        <v>45789</v>
      </c>
      <c r="F168" s="14" t="s">
        <v>18</v>
      </c>
      <c r="G168" s="16">
        <v>60</v>
      </c>
    </row>
    <row r="169" spans="1:7" x14ac:dyDescent="0.25">
      <c r="A169" s="13" t="s">
        <v>1549</v>
      </c>
      <c r="B169" s="13">
        <v>2048</v>
      </c>
      <c r="C169" s="14" t="str">
        <f>+VLOOKUP(B169,[1]LISTE!$A$1:$D$431,4,FALSE)</f>
        <v>BEL HADJ FREDJ NOUREDDINE</v>
      </c>
      <c r="D169" s="15" t="s">
        <v>22</v>
      </c>
      <c r="E169" s="15">
        <v>45787</v>
      </c>
      <c r="F169" s="14" t="s">
        <v>18</v>
      </c>
      <c r="G169" s="16">
        <v>60</v>
      </c>
    </row>
    <row r="170" spans="1:7" x14ac:dyDescent="0.25">
      <c r="A170" s="13" t="s">
        <v>1549</v>
      </c>
      <c r="B170" s="13">
        <v>2048</v>
      </c>
      <c r="C170" s="14" t="str">
        <f>+VLOOKUP(B170,[1]LISTE!$A$1:$D$431,4,FALSE)</f>
        <v>BEL HADJ FREDJ NOUREDDINE</v>
      </c>
      <c r="D170" s="15" t="s">
        <v>22</v>
      </c>
      <c r="E170" s="15">
        <v>45787</v>
      </c>
      <c r="F170" s="14" t="s">
        <v>20</v>
      </c>
      <c r="G170" s="16">
        <v>32.9</v>
      </c>
    </row>
    <row r="171" spans="1:7" x14ac:dyDescent="0.25">
      <c r="A171" s="13" t="s">
        <v>1549</v>
      </c>
      <c r="B171" s="13">
        <v>2048</v>
      </c>
      <c r="C171" s="14" t="str">
        <f>+VLOOKUP(B171,[1]LISTE!$A$1:$D$431,4,FALSE)</f>
        <v>BEL HADJ FREDJ NOUREDDINE</v>
      </c>
      <c r="D171" s="14" t="s">
        <v>22</v>
      </c>
      <c r="E171" s="15">
        <v>45787</v>
      </c>
      <c r="F171" s="14" t="s">
        <v>21</v>
      </c>
      <c r="G171" s="16">
        <v>90</v>
      </c>
    </row>
    <row r="172" spans="1:7" x14ac:dyDescent="0.25">
      <c r="A172" s="13" t="s">
        <v>1475</v>
      </c>
      <c r="B172" s="13">
        <v>2065</v>
      </c>
      <c r="C172" s="14" t="str">
        <f>+VLOOKUP(B172,[1]LISTE!$A$1:$D$431,4,FALSE)</f>
        <v>CHIHAOUI ALAAEDDINE</v>
      </c>
      <c r="D172" s="14" t="s">
        <v>22</v>
      </c>
      <c r="E172" s="15">
        <v>45787</v>
      </c>
      <c r="F172" s="14" t="s">
        <v>23</v>
      </c>
      <c r="G172" s="16">
        <v>40</v>
      </c>
    </row>
    <row r="173" spans="1:7" x14ac:dyDescent="0.25">
      <c r="A173" s="13" t="s">
        <v>1475</v>
      </c>
      <c r="B173" s="13">
        <v>2065</v>
      </c>
      <c r="C173" s="14" t="str">
        <f>+VLOOKUP(B173,[1]LISTE!$A$1:$D$431,4,FALSE)</f>
        <v>CHIHAOUI ALAAEDDINE</v>
      </c>
      <c r="D173" s="14" t="s">
        <v>22</v>
      </c>
      <c r="E173" s="15">
        <v>45787</v>
      </c>
      <c r="F173" s="14" t="s">
        <v>20</v>
      </c>
      <c r="G173" s="16">
        <v>57.984999999999999</v>
      </c>
    </row>
    <row r="174" spans="1:7" x14ac:dyDescent="0.25">
      <c r="A174" s="13" t="s">
        <v>1478</v>
      </c>
      <c r="B174" s="13">
        <v>2100</v>
      </c>
      <c r="C174" s="14" t="str">
        <f>+VLOOKUP(B174,[1]LISTE!$A$1:$D$431,4,FALSE)</f>
        <v>MLAYEH NEZIHA</v>
      </c>
      <c r="D174" s="14" t="s">
        <v>112</v>
      </c>
      <c r="E174" s="15">
        <v>45791</v>
      </c>
      <c r="F174" s="14" t="s">
        <v>18</v>
      </c>
      <c r="G174" s="16">
        <v>70</v>
      </c>
    </row>
    <row r="175" spans="1:7" x14ac:dyDescent="0.25">
      <c r="A175" s="13" t="s">
        <v>1478</v>
      </c>
      <c r="B175" s="13">
        <v>2100</v>
      </c>
      <c r="C175" s="14" t="str">
        <f>+VLOOKUP(B175,[1]LISTE!$A$1:$D$431,4,FALSE)</f>
        <v>MLAYEH NEZIHA</v>
      </c>
      <c r="D175" s="14" t="s">
        <v>112</v>
      </c>
      <c r="E175" s="15">
        <v>45791</v>
      </c>
      <c r="F175" s="14" t="s">
        <v>20</v>
      </c>
      <c r="G175" s="16">
        <v>85.09</v>
      </c>
    </row>
    <row r="176" spans="1:7" x14ac:dyDescent="0.25">
      <c r="A176" s="13" t="s">
        <v>1555</v>
      </c>
      <c r="B176" s="13">
        <v>2100</v>
      </c>
      <c r="C176" s="14" t="str">
        <f>+VLOOKUP(B176,[1]LISTE!$A$1:$D$431,4,FALSE)</f>
        <v>MLAYEH NEZIHA</v>
      </c>
      <c r="D176" s="15" t="s">
        <v>22</v>
      </c>
      <c r="E176" s="15">
        <v>45796</v>
      </c>
      <c r="F176" s="14" t="s">
        <v>23</v>
      </c>
      <c r="G176" s="16">
        <v>50</v>
      </c>
    </row>
    <row r="177" spans="1:7" x14ac:dyDescent="0.25">
      <c r="A177" s="13" t="s">
        <v>1555</v>
      </c>
      <c r="B177" s="13">
        <v>2100</v>
      </c>
      <c r="C177" s="14" t="str">
        <f>+VLOOKUP(B177,[1]LISTE!$A$1:$D$431,4,FALSE)</f>
        <v>MLAYEH NEZIHA</v>
      </c>
      <c r="D177" s="14" t="s">
        <v>22</v>
      </c>
      <c r="E177" s="15">
        <v>45796</v>
      </c>
      <c r="F177" s="14" t="s">
        <v>20</v>
      </c>
      <c r="G177" s="16">
        <v>2.9950000000000001</v>
      </c>
    </row>
    <row r="178" spans="1:7" x14ac:dyDescent="0.25">
      <c r="A178" s="13" t="s">
        <v>1555</v>
      </c>
      <c r="B178" s="13">
        <v>2100</v>
      </c>
      <c r="C178" s="14" t="str">
        <f>+VLOOKUP(B178,[1]LISTE!$A$1:$D$431,4,FALSE)</f>
        <v>MLAYEH NEZIHA</v>
      </c>
      <c r="D178" s="14" t="s">
        <v>22</v>
      </c>
      <c r="E178" s="15">
        <v>45803</v>
      </c>
      <c r="F178" s="14" t="s">
        <v>24</v>
      </c>
      <c r="G178" s="16">
        <v>150</v>
      </c>
    </row>
    <row r="179" spans="1:7" x14ac:dyDescent="0.25">
      <c r="A179" s="13" t="s">
        <v>1484</v>
      </c>
      <c r="B179" s="13">
        <v>2125</v>
      </c>
      <c r="C179" s="14" t="str">
        <f>+VLOOKUP(B179,[1]LISTE!$A$1:$D$431,4,FALSE)</f>
        <v>ACHRAF HASSEN</v>
      </c>
      <c r="D179" s="15" t="s">
        <v>1485</v>
      </c>
      <c r="E179" s="15">
        <v>45792</v>
      </c>
      <c r="F179" s="14" t="s">
        <v>23</v>
      </c>
      <c r="G179" s="16">
        <v>3</v>
      </c>
    </row>
    <row r="180" spans="1:7" x14ac:dyDescent="0.25">
      <c r="A180" s="13" t="s">
        <v>1484</v>
      </c>
      <c r="B180" s="13">
        <v>2125</v>
      </c>
      <c r="C180" s="14" t="str">
        <f>+VLOOKUP(B180,[1]LISTE!$A$1:$D$431,4,FALSE)</f>
        <v>ACHRAF HASSEN</v>
      </c>
      <c r="D180" s="15" t="s">
        <v>1485</v>
      </c>
      <c r="E180" s="15">
        <v>45792</v>
      </c>
      <c r="F180" s="14" t="s">
        <v>19</v>
      </c>
      <c r="G180" s="16">
        <v>8.5</v>
      </c>
    </row>
    <row r="181" spans="1:7" x14ac:dyDescent="0.25">
      <c r="A181" s="13" t="s">
        <v>1484</v>
      </c>
      <c r="B181" s="13">
        <v>2125</v>
      </c>
      <c r="C181" s="14" t="str">
        <f>+VLOOKUP(B181,[1]LISTE!$A$1:$D$431,4,FALSE)</f>
        <v>ACHRAF HASSEN</v>
      </c>
      <c r="D181" s="14" t="s">
        <v>1485</v>
      </c>
      <c r="E181" s="15">
        <v>45792</v>
      </c>
      <c r="F181" s="14" t="s">
        <v>20</v>
      </c>
      <c r="G181" s="16">
        <v>34.878</v>
      </c>
    </row>
    <row r="182" spans="1:7" x14ac:dyDescent="0.25">
      <c r="A182" s="13" t="s">
        <v>1484</v>
      </c>
      <c r="B182" s="13">
        <v>2125</v>
      </c>
      <c r="C182" s="14" t="str">
        <f>+VLOOKUP(B182,[1]LISTE!$A$1:$D$431,4,FALSE)</f>
        <v>ACHRAF HASSEN</v>
      </c>
      <c r="D182" s="14" t="s">
        <v>1485</v>
      </c>
      <c r="E182" s="15">
        <v>45792</v>
      </c>
      <c r="F182" s="14" t="s">
        <v>21</v>
      </c>
      <c r="G182" s="16">
        <v>4.5</v>
      </c>
    </row>
    <row r="183" spans="1:7" x14ac:dyDescent="0.25">
      <c r="A183" s="13" t="s">
        <v>1511</v>
      </c>
      <c r="B183" s="13">
        <v>2131</v>
      </c>
      <c r="C183" s="14" t="str">
        <f>+VLOOKUP(B183,[1]LISTE!$A$1:$D$431,4,FALSE)</f>
        <v>HASSEN BAYA</v>
      </c>
      <c r="D183" s="15" t="s">
        <v>22</v>
      </c>
      <c r="E183" s="15">
        <v>45794</v>
      </c>
      <c r="F183" s="14" t="s">
        <v>23</v>
      </c>
      <c r="G183" s="16">
        <v>40</v>
      </c>
    </row>
    <row r="184" spans="1:7" x14ac:dyDescent="0.25">
      <c r="A184" s="13" t="s">
        <v>1500</v>
      </c>
      <c r="B184" s="13">
        <v>2150</v>
      </c>
      <c r="C184" s="14" t="str">
        <f>+VLOOKUP(B184,[1]LISTE!$A$1:$D$431,4,FALSE)</f>
        <v>GAZZAH MOHAMED AMINE</v>
      </c>
      <c r="D184" s="14" t="s">
        <v>22</v>
      </c>
      <c r="E184" s="15">
        <v>45791</v>
      </c>
      <c r="F184" s="14" t="s">
        <v>1501</v>
      </c>
      <c r="G184" s="16">
        <v>60</v>
      </c>
    </row>
    <row r="185" spans="1:7" x14ac:dyDescent="0.25">
      <c r="A185" s="13" t="s">
        <v>1500</v>
      </c>
      <c r="B185" s="13">
        <v>2150</v>
      </c>
      <c r="C185" s="14" t="str">
        <f>+VLOOKUP(B185,[1]LISTE!$A$1:$D$431,4,FALSE)</f>
        <v>GAZZAH MOHAMED AMINE</v>
      </c>
      <c r="D185" s="15" t="s">
        <v>22</v>
      </c>
      <c r="E185" s="15">
        <v>45791</v>
      </c>
      <c r="F185" s="14" t="s">
        <v>20</v>
      </c>
      <c r="G185" s="16">
        <v>28.5</v>
      </c>
    </row>
    <row r="186" spans="1:7" x14ac:dyDescent="0.25">
      <c r="A186" s="13" t="s">
        <v>1490</v>
      </c>
      <c r="B186" s="13">
        <v>2170</v>
      </c>
      <c r="C186" s="14" t="str">
        <f>+VLOOKUP(B186,[1]LISTE!$A$1:$D$431,4,FALSE)</f>
        <v>BEN AHMED ANOUAR</v>
      </c>
      <c r="D186" s="15" t="s">
        <v>327</v>
      </c>
      <c r="E186" s="15">
        <v>45787</v>
      </c>
      <c r="F186" s="14" t="s">
        <v>18</v>
      </c>
      <c r="G186" s="16">
        <v>70</v>
      </c>
    </row>
    <row r="187" spans="1:7" x14ac:dyDescent="0.25">
      <c r="A187" s="13" t="s">
        <v>1490</v>
      </c>
      <c r="B187" s="13">
        <v>2170</v>
      </c>
      <c r="C187" s="14" t="str">
        <f>+VLOOKUP(B187,[1]LISTE!$A$1:$D$431,4,FALSE)</f>
        <v>BEN AHMED ANOUAR</v>
      </c>
      <c r="D187" s="15" t="s">
        <v>327</v>
      </c>
      <c r="E187" s="15">
        <v>45787</v>
      </c>
      <c r="F187" s="14" t="s">
        <v>20</v>
      </c>
      <c r="G187" s="16">
        <v>29.5</v>
      </c>
    </row>
    <row r="188" spans="1:7" x14ac:dyDescent="0.25">
      <c r="A188" s="13" t="s">
        <v>1557</v>
      </c>
      <c r="B188" s="13">
        <v>2180</v>
      </c>
      <c r="C188" s="14" t="s">
        <v>92</v>
      </c>
      <c r="D188" s="14" t="s">
        <v>513</v>
      </c>
      <c r="E188" s="15">
        <v>45798</v>
      </c>
      <c r="F188" s="14" t="s">
        <v>18</v>
      </c>
      <c r="G188" s="16">
        <v>60</v>
      </c>
    </row>
    <row r="189" spans="1:7" x14ac:dyDescent="0.25">
      <c r="A189" s="13" t="s">
        <v>1508</v>
      </c>
      <c r="B189" s="13">
        <v>2205</v>
      </c>
      <c r="C189" s="14" t="s">
        <v>1509</v>
      </c>
      <c r="D189" s="14" t="s">
        <v>22</v>
      </c>
      <c r="E189" s="15">
        <v>45797</v>
      </c>
      <c r="F189" s="14" t="s">
        <v>23</v>
      </c>
      <c r="G189" s="16">
        <v>50</v>
      </c>
    </row>
    <row r="190" spans="1:7" x14ac:dyDescent="0.25">
      <c r="A190" s="13" t="s">
        <v>1508</v>
      </c>
      <c r="B190" s="13">
        <v>2205</v>
      </c>
      <c r="C190" s="14" t="s">
        <v>1509</v>
      </c>
      <c r="D190" s="14" t="s">
        <v>22</v>
      </c>
      <c r="E190" s="15">
        <v>45797</v>
      </c>
      <c r="F190" s="14" t="s">
        <v>20</v>
      </c>
      <c r="G190" s="16">
        <v>19.440000000000001</v>
      </c>
    </row>
    <row r="191" spans="1:7" x14ac:dyDescent="0.25">
      <c r="A191" s="13" t="s">
        <v>1522</v>
      </c>
      <c r="B191" s="13">
        <v>2213</v>
      </c>
      <c r="C191" s="14" t="s">
        <v>1523</v>
      </c>
      <c r="D191" s="15" t="s">
        <v>22</v>
      </c>
      <c r="E191" s="15">
        <v>45790</v>
      </c>
      <c r="F191" s="14" t="s">
        <v>23</v>
      </c>
      <c r="G191" s="16">
        <v>25</v>
      </c>
    </row>
    <row r="192" spans="1:7" x14ac:dyDescent="0.25">
      <c r="A192" s="13" t="s">
        <v>1522</v>
      </c>
      <c r="B192" s="13">
        <v>2213</v>
      </c>
      <c r="C192" s="14" t="s">
        <v>1523</v>
      </c>
      <c r="D192" s="15" t="s">
        <v>22</v>
      </c>
      <c r="E192" s="15">
        <v>45790</v>
      </c>
      <c r="F192" s="14" t="s">
        <v>20</v>
      </c>
      <c r="G192" s="16">
        <v>51.6</v>
      </c>
    </row>
    <row r="193" spans="1:7" x14ac:dyDescent="0.25">
      <c r="A193" s="13" t="s">
        <v>1546</v>
      </c>
      <c r="B193" s="13">
        <v>2213</v>
      </c>
      <c r="C193" s="14" t="s">
        <v>1523</v>
      </c>
      <c r="D193" s="14" t="s">
        <v>22</v>
      </c>
      <c r="E193" s="15">
        <v>45796</v>
      </c>
      <c r="F193" s="14" t="s">
        <v>18</v>
      </c>
      <c r="G193" s="16">
        <v>70</v>
      </c>
    </row>
    <row r="194" spans="1:7" x14ac:dyDescent="0.25">
      <c r="A194" s="13" t="s">
        <v>1546</v>
      </c>
      <c r="B194" s="13">
        <v>2213</v>
      </c>
      <c r="C194" s="14" t="s">
        <v>1523</v>
      </c>
      <c r="D194" s="14" t="s">
        <v>22</v>
      </c>
      <c r="E194" s="15">
        <v>45797</v>
      </c>
      <c r="F194" s="14" t="s">
        <v>20</v>
      </c>
      <c r="G194" s="16">
        <v>57</v>
      </c>
    </row>
    <row r="195" spans="1:7" x14ac:dyDescent="0.25">
      <c r="A195" s="13" t="s">
        <v>1546</v>
      </c>
      <c r="B195" s="13">
        <v>2213</v>
      </c>
      <c r="C195" s="14" t="s">
        <v>1523</v>
      </c>
      <c r="D195" s="14" t="s">
        <v>22</v>
      </c>
      <c r="E195" s="15">
        <v>45797</v>
      </c>
      <c r="F195" s="14" t="s">
        <v>20</v>
      </c>
      <c r="G195" s="16">
        <v>27.76</v>
      </c>
    </row>
    <row r="196" spans="1:7" x14ac:dyDescent="0.25">
      <c r="A196" s="13" t="s">
        <v>1546</v>
      </c>
      <c r="B196" s="13">
        <v>2213</v>
      </c>
      <c r="C196" s="14" t="s">
        <v>1523</v>
      </c>
      <c r="D196" s="14" t="s">
        <v>22</v>
      </c>
      <c r="E196" s="15">
        <v>45796</v>
      </c>
      <c r="F196" s="14" t="s">
        <v>21</v>
      </c>
      <c r="G196" s="16">
        <v>80</v>
      </c>
    </row>
    <row r="197" spans="1:7" x14ac:dyDescent="0.25">
      <c r="A197" s="13" t="s">
        <v>1537</v>
      </c>
      <c r="B197" s="13">
        <v>2243</v>
      </c>
      <c r="C197" s="14" t="s">
        <v>1538</v>
      </c>
      <c r="D197" s="15" t="s">
        <v>760</v>
      </c>
      <c r="E197" s="15">
        <v>45796</v>
      </c>
      <c r="F197" s="14" t="s">
        <v>23</v>
      </c>
      <c r="G197" s="16">
        <v>35</v>
      </c>
    </row>
    <row r="198" spans="1:7" x14ac:dyDescent="0.25">
      <c r="A198" s="13" t="s">
        <v>1537</v>
      </c>
      <c r="B198" s="13">
        <v>2243</v>
      </c>
      <c r="C198" s="14" t="s">
        <v>1538</v>
      </c>
      <c r="D198" s="14" t="s">
        <v>760</v>
      </c>
      <c r="E198" s="15">
        <v>45796</v>
      </c>
      <c r="F198" s="14" t="s">
        <v>20</v>
      </c>
      <c r="G198" s="16">
        <v>150.94999999999999</v>
      </c>
    </row>
    <row r="199" spans="1:7" x14ac:dyDescent="0.25">
      <c r="A199" s="13" t="s">
        <v>1486</v>
      </c>
      <c r="B199" s="13">
        <v>2270</v>
      </c>
      <c r="C199" s="14" t="s">
        <v>573</v>
      </c>
      <c r="D199" s="15" t="s">
        <v>574</v>
      </c>
      <c r="E199" s="15">
        <v>45789</v>
      </c>
      <c r="F199" s="14" t="s">
        <v>23</v>
      </c>
      <c r="G199" s="16">
        <v>80</v>
      </c>
    </row>
    <row r="200" spans="1:7" x14ac:dyDescent="0.25">
      <c r="A200" s="13" t="s">
        <v>1528</v>
      </c>
      <c r="B200" s="13">
        <v>2271</v>
      </c>
      <c r="C200" s="14" t="s">
        <v>27</v>
      </c>
      <c r="D200" s="15" t="s">
        <v>63</v>
      </c>
      <c r="E200" s="15">
        <v>45796</v>
      </c>
      <c r="F200" s="14" t="s">
        <v>18</v>
      </c>
      <c r="G200" s="16">
        <v>60</v>
      </c>
    </row>
    <row r="201" spans="1:7" x14ac:dyDescent="0.25">
      <c r="A201" s="13" t="s">
        <v>1528</v>
      </c>
      <c r="B201" s="13">
        <v>2271</v>
      </c>
      <c r="C201" s="14" t="s">
        <v>27</v>
      </c>
      <c r="D201" s="14" t="s">
        <v>63</v>
      </c>
      <c r="E201" s="15">
        <v>45796</v>
      </c>
      <c r="F201" s="14" t="s">
        <v>20</v>
      </c>
      <c r="G201" s="16">
        <v>31.387</v>
      </c>
    </row>
    <row r="202" spans="1:7" x14ac:dyDescent="0.25">
      <c r="A202" s="13" t="s">
        <v>1562</v>
      </c>
      <c r="B202" s="13">
        <v>2275</v>
      </c>
      <c r="C202" s="14" t="s">
        <v>916</v>
      </c>
      <c r="D202" s="14" t="s">
        <v>917</v>
      </c>
      <c r="E202" s="15">
        <v>45796</v>
      </c>
      <c r="F202" s="14" t="s">
        <v>18</v>
      </c>
      <c r="G202" s="16">
        <v>70</v>
      </c>
    </row>
    <row r="203" spans="1:7" x14ac:dyDescent="0.25">
      <c r="A203" s="13" t="s">
        <v>1562</v>
      </c>
      <c r="B203" s="13">
        <v>2275</v>
      </c>
      <c r="C203" s="14" t="s">
        <v>916</v>
      </c>
      <c r="D203" s="14" t="s">
        <v>917</v>
      </c>
      <c r="E203" s="15">
        <v>45796</v>
      </c>
      <c r="F203" s="14" t="s">
        <v>20</v>
      </c>
      <c r="G203" s="16">
        <v>33.908000000000001</v>
      </c>
    </row>
    <row r="204" spans="1:7" x14ac:dyDescent="0.25">
      <c r="A204" s="13" t="s">
        <v>1562</v>
      </c>
      <c r="B204" s="13">
        <v>2275</v>
      </c>
      <c r="C204" s="14" t="s">
        <v>916</v>
      </c>
      <c r="D204" s="15" t="s">
        <v>917</v>
      </c>
      <c r="E204" s="15">
        <v>45797</v>
      </c>
      <c r="F204" s="14" t="s">
        <v>19</v>
      </c>
      <c r="G204" s="16">
        <v>73.55</v>
      </c>
    </row>
    <row r="205" spans="1:7" x14ac:dyDescent="0.25">
      <c r="A205" s="13" t="s">
        <v>1563</v>
      </c>
      <c r="B205" s="13">
        <v>2275</v>
      </c>
      <c r="C205" s="14" t="s">
        <v>916</v>
      </c>
      <c r="D205" s="15" t="s">
        <v>22</v>
      </c>
      <c r="E205" s="15">
        <v>45801</v>
      </c>
      <c r="F205" s="14" t="s">
        <v>23</v>
      </c>
      <c r="G205" s="16">
        <v>7</v>
      </c>
    </row>
    <row r="206" spans="1:7" x14ac:dyDescent="0.25">
      <c r="A206" s="13" t="s">
        <v>1563</v>
      </c>
      <c r="B206" s="13">
        <v>2275</v>
      </c>
      <c r="C206" s="14" t="s">
        <v>916</v>
      </c>
      <c r="D206" s="14" t="s">
        <v>22</v>
      </c>
      <c r="E206" s="15">
        <v>45801</v>
      </c>
      <c r="F206" s="14" t="s">
        <v>20</v>
      </c>
      <c r="G206" s="16">
        <v>11.8</v>
      </c>
    </row>
    <row r="207" spans="1:7" x14ac:dyDescent="0.25">
      <c r="A207" s="13" t="s">
        <v>1563</v>
      </c>
      <c r="B207" s="13">
        <v>2275</v>
      </c>
      <c r="C207" s="14" t="s">
        <v>916</v>
      </c>
      <c r="D207" s="15" t="s">
        <v>22</v>
      </c>
      <c r="E207" s="15">
        <v>45801</v>
      </c>
      <c r="F207" s="14" t="s">
        <v>21</v>
      </c>
      <c r="G207" s="16">
        <v>22.5</v>
      </c>
    </row>
    <row r="208" spans="1:7" x14ac:dyDescent="0.25">
      <c r="A208" s="13" t="s">
        <v>1539</v>
      </c>
      <c r="B208" s="13">
        <v>2308</v>
      </c>
      <c r="C208" s="14" t="s">
        <v>890</v>
      </c>
      <c r="D208" s="14" t="s">
        <v>22</v>
      </c>
      <c r="E208" s="15">
        <v>45797</v>
      </c>
      <c r="F208" s="14" t="s">
        <v>18</v>
      </c>
      <c r="G208" s="16">
        <v>60</v>
      </c>
    </row>
    <row r="209" spans="1:7" x14ac:dyDescent="0.25">
      <c r="A209" s="13" t="s">
        <v>1539</v>
      </c>
      <c r="B209" s="13">
        <v>2308</v>
      </c>
      <c r="C209" s="14" t="s">
        <v>890</v>
      </c>
      <c r="D209" s="15" t="s">
        <v>22</v>
      </c>
      <c r="E209" s="15">
        <v>45797</v>
      </c>
      <c r="F209" s="14" t="s">
        <v>20</v>
      </c>
      <c r="G209" s="16">
        <v>56.834000000000003</v>
      </c>
    </row>
    <row r="210" spans="1:7" x14ac:dyDescent="0.25">
      <c r="A210" s="13" t="s">
        <v>1494</v>
      </c>
      <c r="B210" s="13">
        <v>2337</v>
      </c>
      <c r="C210" s="14" t="s">
        <v>210</v>
      </c>
      <c r="D210" s="14" t="s">
        <v>75</v>
      </c>
      <c r="E210" s="15">
        <v>45759</v>
      </c>
      <c r="F210" s="14" t="s">
        <v>18</v>
      </c>
      <c r="G210" s="16">
        <v>60</v>
      </c>
    </row>
    <row r="211" spans="1:7" x14ac:dyDescent="0.25">
      <c r="A211" s="13" t="s">
        <v>1494</v>
      </c>
      <c r="B211" s="13">
        <v>2337</v>
      </c>
      <c r="C211" s="14" t="s">
        <v>210</v>
      </c>
      <c r="D211" s="14" t="s">
        <v>75</v>
      </c>
      <c r="E211" s="15">
        <v>45759</v>
      </c>
      <c r="F211" s="14" t="s">
        <v>20</v>
      </c>
      <c r="G211" s="16">
        <v>44.994999999999997</v>
      </c>
    </row>
    <row r="212" spans="1:7" x14ac:dyDescent="0.25">
      <c r="A212" s="13" t="s">
        <v>1521</v>
      </c>
      <c r="B212" s="13">
        <v>2337</v>
      </c>
      <c r="C212" s="14" t="s">
        <v>210</v>
      </c>
      <c r="D212" s="15" t="s">
        <v>75</v>
      </c>
      <c r="E212" s="15">
        <v>45737</v>
      </c>
      <c r="F212" s="14" t="s">
        <v>18</v>
      </c>
      <c r="G212" s="16">
        <v>60</v>
      </c>
    </row>
    <row r="213" spans="1:7" x14ac:dyDescent="0.25">
      <c r="A213" s="13" t="s">
        <v>1521</v>
      </c>
      <c r="B213" s="13">
        <v>2337</v>
      </c>
      <c r="C213" s="14" t="s">
        <v>210</v>
      </c>
      <c r="D213" s="14" t="s">
        <v>75</v>
      </c>
      <c r="E213" s="15">
        <v>45737</v>
      </c>
      <c r="F213" s="14" t="s">
        <v>20</v>
      </c>
      <c r="G213" s="16">
        <v>20.074999999999999</v>
      </c>
    </row>
    <row r="214" spans="1:7" x14ac:dyDescent="0.25">
      <c r="A214" s="13" t="s">
        <v>1461</v>
      </c>
      <c r="B214" s="13">
        <v>2380</v>
      </c>
      <c r="C214" s="14" t="s">
        <v>1462</v>
      </c>
      <c r="D214" s="14" t="s">
        <v>22</v>
      </c>
      <c r="E214" s="15">
        <v>45773</v>
      </c>
      <c r="F214" s="14" t="s">
        <v>18</v>
      </c>
      <c r="G214" s="16">
        <v>70</v>
      </c>
    </row>
    <row r="215" spans="1:7" x14ac:dyDescent="0.25">
      <c r="A215" s="13" t="s">
        <v>1461</v>
      </c>
      <c r="B215" s="13">
        <v>2380</v>
      </c>
      <c r="C215" s="14" t="s">
        <v>1462</v>
      </c>
      <c r="D215" s="15" t="s">
        <v>22</v>
      </c>
      <c r="E215" s="15">
        <v>45773</v>
      </c>
      <c r="F215" s="14" t="s">
        <v>20</v>
      </c>
      <c r="G215" s="16">
        <v>16.189</v>
      </c>
    </row>
    <row r="216" spans="1:7" x14ac:dyDescent="0.25">
      <c r="A216" s="13" t="s">
        <v>1461</v>
      </c>
      <c r="B216" s="13">
        <v>2380</v>
      </c>
      <c r="C216" s="14" t="s">
        <v>1462</v>
      </c>
      <c r="D216" s="14" t="s">
        <v>22</v>
      </c>
      <c r="E216" s="15">
        <v>45787</v>
      </c>
      <c r="F216" s="14" t="s">
        <v>69</v>
      </c>
      <c r="G216" s="16">
        <v>380</v>
      </c>
    </row>
    <row r="217" spans="1:7" x14ac:dyDescent="0.25">
      <c r="A217" s="13" t="s">
        <v>1468</v>
      </c>
      <c r="B217" s="13">
        <v>2397</v>
      </c>
      <c r="C217" s="14" t="s">
        <v>29</v>
      </c>
      <c r="D217" s="15" t="s">
        <v>22</v>
      </c>
      <c r="E217" s="15">
        <v>45789</v>
      </c>
      <c r="F217" s="14" t="s">
        <v>23</v>
      </c>
      <c r="G217" s="16">
        <v>45</v>
      </c>
    </row>
    <row r="218" spans="1:7" x14ac:dyDescent="0.25">
      <c r="A218" s="13" t="s">
        <v>1468</v>
      </c>
      <c r="B218" s="13">
        <v>2397</v>
      </c>
      <c r="C218" s="14" t="s">
        <v>29</v>
      </c>
      <c r="D218" s="15" t="s">
        <v>22</v>
      </c>
      <c r="E218" s="15">
        <v>45789</v>
      </c>
      <c r="F218" s="14" t="s">
        <v>20</v>
      </c>
      <c r="G218" s="16">
        <v>18.95</v>
      </c>
    </row>
    <row r="219" spans="1:7" x14ac:dyDescent="0.25">
      <c r="A219" s="13" t="s">
        <v>1468</v>
      </c>
      <c r="B219" s="13">
        <v>2397</v>
      </c>
      <c r="C219" s="14" t="s">
        <v>29</v>
      </c>
      <c r="D219" s="14" t="s">
        <v>22</v>
      </c>
      <c r="E219" s="15">
        <v>45789</v>
      </c>
      <c r="F219" s="14" t="s">
        <v>20</v>
      </c>
      <c r="G219" s="16">
        <v>68.384</v>
      </c>
    </row>
    <row r="220" spans="1:7" x14ac:dyDescent="0.25">
      <c r="A220" s="13" t="s">
        <v>1452</v>
      </c>
      <c r="B220" s="13">
        <v>2444</v>
      </c>
      <c r="C220" s="14" t="s">
        <v>1453</v>
      </c>
      <c r="D220" s="14" t="s">
        <v>236</v>
      </c>
      <c r="E220" s="15">
        <v>45779</v>
      </c>
      <c r="F220" s="14" t="s">
        <v>18</v>
      </c>
      <c r="G220" s="16">
        <v>70</v>
      </c>
    </row>
    <row r="221" spans="1:7" x14ac:dyDescent="0.25">
      <c r="A221" s="13" t="s">
        <v>1452</v>
      </c>
      <c r="B221" s="13">
        <v>2444</v>
      </c>
      <c r="C221" s="14" t="s">
        <v>1453</v>
      </c>
      <c r="D221" s="15" t="s">
        <v>236</v>
      </c>
      <c r="E221" s="15">
        <v>45779</v>
      </c>
      <c r="F221" s="14" t="s">
        <v>19</v>
      </c>
      <c r="G221" s="16">
        <v>45.561999999999998</v>
      </c>
    </row>
    <row r="222" spans="1:7" x14ac:dyDescent="0.25">
      <c r="A222" s="13" t="s">
        <v>1452</v>
      </c>
      <c r="B222" s="13">
        <v>2444</v>
      </c>
      <c r="C222" s="14" t="s">
        <v>1453</v>
      </c>
      <c r="D222" s="14" t="s">
        <v>236</v>
      </c>
      <c r="E222" s="15">
        <v>45786</v>
      </c>
      <c r="F222" s="14" t="s">
        <v>19</v>
      </c>
      <c r="G222" s="16">
        <v>43.25</v>
      </c>
    </row>
    <row r="223" spans="1:7" x14ac:dyDescent="0.25">
      <c r="A223" s="13" t="s">
        <v>1452</v>
      </c>
      <c r="B223" s="13">
        <v>2444</v>
      </c>
      <c r="C223" s="14" t="s">
        <v>1453</v>
      </c>
      <c r="D223" s="15" t="s">
        <v>236</v>
      </c>
      <c r="E223" s="15">
        <v>45779</v>
      </c>
      <c r="F223" s="14" t="s">
        <v>20</v>
      </c>
      <c r="G223" s="16">
        <v>70.143000000000001</v>
      </c>
    </row>
    <row r="224" spans="1:7" x14ac:dyDescent="0.25">
      <c r="A224" s="13" t="s">
        <v>1455</v>
      </c>
      <c r="B224" s="13">
        <v>2536</v>
      </c>
      <c r="C224" s="14" t="s">
        <v>1278</v>
      </c>
      <c r="D224" s="14" t="s">
        <v>1279</v>
      </c>
      <c r="E224" s="15">
        <v>45779</v>
      </c>
      <c r="F224" s="14" t="s">
        <v>18</v>
      </c>
      <c r="G224" s="16">
        <v>70</v>
      </c>
    </row>
    <row r="225" spans="1:7" x14ac:dyDescent="0.25">
      <c r="A225" s="13" t="s">
        <v>1455</v>
      </c>
      <c r="B225" s="13">
        <v>2536</v>
      </c>
      <c r="C225" s="14" t="s">
        <v>1278</v>
      </c>
      <c r="D225" s="14" t="s">
        <v>1279</v>
      </c>
      <c r="E225" s="15">
        <v>45779</v>
      </c>
      <c r="F225" s="14" t="s">
        <v>20</v>
      </c>
      <c r="G225" s="16">
        <v>50.843000000000004</v>
      </c>
    </row>
    <row r="226" spans="1:7" x14ac:dyDescent="0.25">
      <c r="A226" s="13" t="s">
        <v>1510</v>
      </c>
      <c r="B226" s="13">
        <v>2569</v>
      </c>
      <c r="C226" s="14" t="s">
        <v>101</v>
      </c>
      <c r="D226" s="14" t="s">
        <v>22</v>
      </c>
      <c r="E226" s="15">
        <v>45796</v>
      </c>
      <c r="F226" s="14" t="s">
        <v>20</v>
      </c>
      <c r="G226" s="16">
        <v>34.460999999999999</v>
      </c>
    </row>
    <row r="227" spans="1:7" x14ac:dyDescent="0.25">
      <c r="A227" s="13" t="s">
        <v>1510</v>
      </c>
      <c r="B227" s="13">
        <v>2569</v>
      </c>
      <c r="C227" s="14" t="s">
        <v>101</v>
      </c>
      <c r="D227" s="14" t="s">
        <v>22</v>
      </c>
      <c r="E227" s="15">
        <v>45796</v>
      </c>
      <c r="F227" s="14" t="s">
        <v>24</v>
      </c>
      <c r="G227" s="16">
        <v>60</v>
      </c>
    </row>
    <row r="228" spans="1:7" x14ac:dyDescent="0.25">
      <c r="A228" s="13" t="s">
        <v>1459</v>
      </c>
      <c r="B228" s="13">
        <v>2572</v>
      </c>
      <c r="C228" s="14" t="s">
        <v>462</v>
      </c>
      <c r="D228" s="14" t="s">
        <v>503</v>
      </c>
      <c r="E228" s="15">
        <v>45782</v>
      </c>
      <c r="F228" s="14" t="s">
        <v>18</v>
      </c>
      <c r="G228" s="16">
        <v>70</v>
      </c>
    </row>
    <row r="229" spans="1:7" x14ac:dyDescent="0.25">
      <c r="A229" s="13" t="s">
        <v>1459</v>
      </c>
      <c r="B229" s="13">
        <v>2572</v>
      </c>
      <c r="C229" s="14" t="s">
        <v>462</v>
      </c>
      <c r="D229" s="15" t="s">
        <v>503</v>
      </c>
      <c r="E229" s="15">
        <v>45782</v>
      </c>
      <c r="F229" s="14" t="s">
        <v>20</v>
      </c>
      <c r="G229" s="16">
        <v>79.049000000000007</v>
      </c>
    </row>
    <row r="230" spans="1:7" x14ac:dyDescent="0.25">
      <c r="A230" s="13" t="s">
        <v>1459</v>
      </c>
      <c r="B230" s="13">
        <v>2572</v>
      </c>
      <c r="C230" s="14" t="s">
        <v>462</v>
      </c>
      <c r="D230" s="15" t="s">
        <v>503</v>
      </c>
      <c r="E230" s="15">
        <v>45782</v>
      </c>
      <c r="F230" s="14" t="s">
        <v>20</v>
      </c>
      <c r="G230" s="16">
        <v>4.53</v>
      </c>
    </row>
    <row r="231" spans="1:7" x14ac:dyDescent="0.25">
      <c r="A231" s="13" t="s">
        <v>1530</v>
      </c>
      <c r="B231" s="13">
        <v>2572</v>
      </c>
      <c r="C231" s="14" t="s">
        <v>462</v>
      </c>
      <c r="D231" s="15" t="s">
        <v>540</v>
      </c>
      <c r="E231" s="15">
        <v>45796</v>
      </c>
      <c r="F231" s="14" t="s">
        <v>18</v>
      </c>
      <c r="G231" s="16">
        <v>60</v>
      </c>
    </row>
    <row r="232" spans="1:7" x14ac:dyDescent="0.25">
      <c r="A232" s="13" t="s">
        <v>1530</v>
      </c>
      <c r="B232" s="13">
        <v>2572</v>
      </c>
      <c r="C232" s="14" t="s">
        <v>462</v>
      </c>
      <c r="D232" s="15" t="s">
        <v>540</v>
      </c>
      <c r="E232" s="15">
        <v>45796</v>
      </c>
      <c r="F232" s="14" t="s">
        <v>20</v>
      </c>
      <c r="G232" s="16">
        <v>6.09</v>
      </c>
    </row>
    <row r="233" spans="1:7" x14ac:dyDescent="0.25">
      <c r="A233" s="13" t="s">
        <v>1463</v>
      </c>
      <c r="B233" s="13">
        <v>2592</v>
      </c>
      <c r="C233" s="14" t="s">
        <v>317</v>
      </c>
      <c r="D233" s="15" t="s">
        <v>318</v>
      </c>
      <c r="E233" s="15">
        <v>45786</v>
      </c>
      <c r="F233" s="14" t="s">
        <v>23</v>
      </c>
      <c r="G233" s="16">
        <v>60</v>
      </c>
    </row>
    <row r="234" spans="1:7" x14ac:dyDescent="0.25">
      <c r="A234" s="13" t="s">
        <v>1463</v>
      </c>
      <c r="B234" s="13">
        <v>2592</v>
      </c>
      <c r="C234" s="14" t="s">
        <v>317</v>
      </c>
      <c r="D234" s="14" t="s">
        <v>318</v>
      </c>
      <c r="E234" s="15">
        <v>45789</v>
      </c>
      <c r="F234" s="14" t="s">
        <v>24</v>
      </c>
      <c r="G234" s="16">
        <v>159</v>
      </c>
    </row>
    <row r="235" spans="1:7" x14ac:dyDescent="0.25">
      <c r="A235" s="13" t="s">
        <v>1542</v>
      </c>
      <c r="B235" s="13">
        <v>2592</v>
      </c>
      <c r="C235" s="14" t="s">
        <v>317</v>
      </c>
      <c r="D235" s="15" t="s">
        <v>22</v>
      </c>
      <c r="E235" s="15">
        <v>45799</v>
      </c>
      <c r="F235" s="14" t="s">
        <v>18</v>
      </c>
      <c r="G235" s="16">
        <v>70</v>
      </c>
    </row>
    <row r="236" spans="1:7" x14ac:dyDescent="0.25">
      <c r="A236" s="13" t="s">
        <v>1542</v>
      </c>
      <c r="B236" s="13">
        <v>2592</v>
      </c>
      <c r="C236" s="14" t="s">
        <v>317</v>
      </c>
      <c r="D236" s="15" t="s">
        <v>22</v>
      </c>
      <c r="E236" s="15">
        <v>45799</v>
      </c>
      <c r="F236" s="14" t="s">
        <v>20</v>
      </c>
      <c r="G236" s="16">
        <v>40.06</v>
      </c>
    </row>
    <row r="237" spans="1:7" ht="18.75" x14ac:dyDescent="0.3">
      <c r="A237" s="14"/>
      <c r="B237" s="28"/>
      <c r="C237" s="29"/>
      <c r="D237" s="14"/>
      <c r="E237" s="28"/>
      <c r="F237" s="17" t="s">
        <v>11</v>
      </c>
      <c r="G237" s="17">
        <f>SUM(G10:G236)</f>
        <v>15859.617000000002</v>
      </c>
    </row>
    <row r="238" spans="1:7" ht="18.75" x14ac:dyDescent="0.3">
      <c r="A238" s="38"/>
      <c r="B238" s="39"/>
      <c r="C238" s="40"/>
      <c r="D238" s="41"/>
      <c r="E238" s="19"/>
      <c r="F238" s="18"/>
      <c r="G238" s="34"/>
    </row>
    <row r="239" spans="1:7" ht="18.75" x14ac:dyDescent="0.3">
      <c r="A239" s="35"/>
      <c r="B239" s="36"/>
      <c r="C239" s="37"/>
      <c r="D239" s="42"/>
      <c r="E239" s="43"/>
      <c r="F239" s="44"/>
      <c r="G239" s="44"/>
    </row>
    <row r="240" spans="1:7" ht="15.75" x14ac:dyDescent="0.25">
      <c r="A240" s="35"/>
      <c r="B240" s="36" t="s">
        <v>12</v>
      </c>
      <c r="C240" s="37"/>
      <c r="E240" s="36" t="s">
        <v>13</v>
      </c>
      <c r="F240" s="18"/>
      <c r="G240" s="18"/>
    </row>
    <row r="241" spans="1:7" ht="15.75" x14ac:dyDescent="0.25">
      <c r="A241" s="45"/>
      <c r="B241" s="46" t="s">
        <v>14</v>
      </c>
      <c r="C241" s="47"/>
      <c r="E241" s="36" t="s">
        <v>15</v>
      </c>
      <c r="F241" s="18"/>
      <c r="G241" s="18"/>
    </row>
    <row r="242" spans="1:7" ht="15.75" x14ac:dyDescent="0.25">
      <c r="A242" s="23"/>
      <c r="B242" s="24"/>
      <c r="C242" s="25"/>
      <c r="E242" s="27"/>
      <c r="F242" s="18"/>
      <c r="G242" s="18"/>
    </row>
    <row r="243" spans="1:7" ht="18.75" x14ac:dyDescent="0.3">
      <c r="B243" s="19"/>
      <c r="C243" s="20"/>
      <c r="D243" s="21"/>
      <c r="E243" s="22"/>
      <c r="F243" s="19"/>
      <c r="G243" s="22"/>
    </row>
    <row r="244" spans="1:7" ht="15.75" x14ac:dyDescent="0.25">
      <c r="A244" s="23"/>
      <c r="B244" s="24"/>
      <c r="C244" s="25"/>
      <c r="D244" s="26"/>
      <c r="E244" s="22"/>
      <c r="F244" s="27"/>
      <c r="G244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Page &amp;P de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8"/>
  <sheetViews>
    <sheetView workbookViewId="0">
      <pane ySplit="9" topLeftCell="A10" activePane="bottomLeft" state="frozen"/>
      <selection pane="bottomLeft" sqref="A1:A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1567</v>
      </c>
      <c r="C5" s="7"/>
      <c r="D5" s="4"/>
    </row>
    <row r="6" spans="1:7" ht="22.5" customHeight="1" x14ac:dyDescent="0.25">
      <c r="A6" s="6"/>
      <c r="B6" s="8" t="s">
        <v>1673</v>
      </c>
      <c r="C6" s="9"/>
      <c r="D6" s="4"/>
    </row>
    <row r="7" spans="1:7" ht="22.5" customHeight="1" x14ac:dyDescent="0.35">
      <c r="A7" s="4"/>
      <c r="B7" s="10"/>
      <c r="C7" s="11" t="s">
        <v>1664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1622</v>
      </c>
      <c r="B10" s="13">
        <v>590</v>
      </c>
      <c r="C10" s="14" t="str">
        <f>+VLOOKUP(B10,[1]LISTE!$A$1:$D$431,4,FALSE)</f>
        <v>KHALFALLAH ABDELAZIZ</v>
      </c>
      <c r="D10" s="14" t="s">
        <v>744</v>
      </c>
      <c r="E10" s="15">
        <v>45811</v>
      </c>
      <c r="F10" s="14" t="s">
        <v>18</v>
      </c>
      <c r="G10" s="16">
        <v>70</v>
      </c>
    </row>
    <row r="11" spans="1:7" x14ac:dyDescent="0.25">
      <c r="A11" s="13" t="s">
        <v>1622</v>
      </c>
      <c r="B11" s="13">
        <v>590</v>
      </c>
      <c r="C11" s="14" t="str">
        <f>+VLOOKUP(B11,[1]LISTE!$A$1:$D$431,4,FALSE)</f>
        <v>KHALFALLAH ABDELAZIZ</v>
      </c>
      <c r="D11" s="14" t="s">
        <v>744</v>
      </c>
      <c r="E11" s="15">
        <v>45811</v>
      </c>
      <c r="F11" s="14" t="s">
        <v>20</v>
      </c>
      <c r="G11" s="16">
        <v>15.9</v>
      </c>
    </row>
    <row r="12" spans="1:7" x14ac:dyDescent="0.25">
      <c r="A12" s="13" t="s">
        <v>1626</v>
      </c>
      <c r="B12" s="13">
        <v>695</v>
      </c>
      <c r="C12" s="14" t="str">
        <f>+VLOOKUP(B12,[1]LISTE!$A$1:$D$431,4,FALSE)</f>
        <v>LAAJILI ABDELHAMID</v>
      </c>
      <c r="D12" s="14" t="s">
        <v>22</v>
      </c>
      <c r="E12" s="15">
        <v>45803</v>
      </c>
      <c r="F12" s="14" t="s">
        <v>23</v>
      </c>
      <c r="G12" s="16">
        <v>45</v>
      </c>
    </row>
    <row r="13" spans="1:7" x14ac:dyDescent="0.25">
      <c r="A13" s="13" t="s">
        <v>1626</v>
      </c>
      <c r="B13" s="13">
        <v>695</v>
      </c>
      <c r="C13" s="14" t="str">
        <f>+VLOOKUP(B13,[1]LISTE!$A$1:$D$431,4,FALSE)</f>
        <v>LAAJILI ABDELHAMID</v>
      </c>
      <c r="D13" s="15" t="s">
        <v>22</v>
      </c>
      <c r="E13" s="15">
        <v>45803</v>
      </c>
      <c r="F13" s="14" t="s">
        <v>20</v>
      </c>
      <c r="G13" s="16">
        <v>29.084</v>
      </c>
    </row>
    <row r="14" spans="1:7" x14ac:dyDescent="0.25">
      <c r="A14" s="13" t="s">
        <v>1637</v>
      </c>
      <c r="B14" s="13">
        <v>790</v>
      </c>
      <c r="C14" s="14" t="str">
        <f>+VLOOKUP(B14,[1]LISTE!$A$1:$D$431,4,FALSE)</f>
        <v>ATTIA HAFEDH</v>
      </c>
      <c r="D14" s="14" t="s">
        <v>699</v>
      </c>
      <c r="E14" s="15">
        <v>45805</v>
      </c>
      <c r="F14" s="14" t="s">
        <v>18</v>
      </c>
      <c r="G14" s="16">
        <v>90</v>
      </c>
    </row>
    <row r="15" spans="1:7" x14ac:dyDescent="0.25">
      <c r="A15" s="13" t="s">
        <v>1637</v>
      </c>
      <c r="B15" s="13">
        <v>790</v>
      </c>
      <c r="C15" s="14" t="str">
        <f>+VLOOKUP(B15,[1]LISTE!$A$1:$D$431,4,FALSE)</f>
        <v>ATTIA HAFEDH</v>
      </c>
      <c r="D15" s="14" t="s">
        <v>699</v>
      </c>
      <c r="E15" s="15">
        <v>45806</v>
      </c>
      <c r="F15" s="14" t="s">
        <v>19</v>
      </c>
      <c r="G15" s="16">
        <v>70.513000000000005</v>
      </c>
    </row>
    <row r="16" spans="1:7" x14ac:dyDescent="0.25">
      <c r="A16" s="13" t="s">
        <v>1637</v>
      </c>
      <c r="B16" s="13">
        <v>790</v>
      </c>
      <c r="C16" s="14" t="str">
        <f>+VLOOKUP(B16,[1]LISTE!$A$1:$D$431,4,FALSE)</f>
        <v>ATTIA HAFEDH</v>
      </c>
      <c r="D16" s="14" t="s">
        <v>699</v>
      </c>
      <c r="E16" s="15">
        <v>45807</v>
      </c>
      <c r="F16" s="14" t="s">
        <v>20</v>
      </c>
      <c r="G16" s="16">
        <v>56.883000000000003</v>
      </c>
    </row>
    <row r="17" spans="1:7" x14ac:dyDescent="0.25">
      <c r="A17" s="13" t="s">
        <v>1612</v>
      </c>
      <c r="B17" s="13">
        <v>835</v>
      </c>
      <c r="C17" s="14" t="str">
        <f>+VLOOKUP(B17,[1]LISTE!$A$1:$D$431,4,FALSE)</f>
        <v>LAGRAS SADOK</v>
      </c>
      <c r="D17" s="14" t="s">
        <v>604</v>
      </c>
      <c r="E17" s="15">
        <v>45807</v>
      </c>
      <c r="F17" s="14" t="s">
        <v>23</v>
      </c>
      <c r="G17" s="16">
        <v>40</v>
      </c>
    </row>
    <row r="18" spans="1:7" x14ac:dyDescent="0.25">
      <c r="A18" s="13" t="s">
        <v>1612</v>
      </c>
      <c r="B18" s="13">
        <v>835</v>
      </c>
      <c r="C18" s="14" t="str">
        <f>+VLOOKUP(B18,[1]LISTE!$A$1:$D$431,4,FALSE)</f>
        <v>LAGRAS SADOK</v>
      </c>
      <c r="D18" s="14" t="s">
        <v>604</v>
      </c>
      <c r="E18" s="15">
        <v>45807</v>
      </c>
      <c r="F18" s="14" t="s">
        <v>20</v>
      </c>
      <c r="G18" s="16">
        <v>99.23</v>
      </c>
    </row>
    <row r="19" spans="1:7" x14ac:dyDescent="0.25">
      <c r="A19" s="13" t="s">
        <v>1663</v>
      </c>
      <c r="B19" s="13">
        <v>859</v>
      </c>
      <c r="C19" s="14" t="str">
        <f>+VLOOKUP(B19,[1]LISTE!$A$1:$D$431,4,FALSE)</f>
        <v>ZRELLI MOHAMED</v>
      </c>
      <c r="D19" s="15" t="s">
        <v>22</v>
      </c>
      <c r="E19" s="15">
        <v>45814</v>
      </c>
      <c r="F19" s="14" t="s">
        <v>23</v>
      </c>
      <c r="G19" s="16">
        <v>50</v>
      </c>
    </row>
    <row r="20" spans="1:7" x14ac:dyDescent="0.25">
      <c r="A20" s="13" t="s">
        <v>1663</v>
      </c>
      <c r="B20" s="13">
        <v>859</v>
      </c>
      <c r="C20" s="14" t="str">
        <f>+VLOOKUP(B20,[1]LISTE!$A$1:$D$431,4,FALSE)</f>
        <v>ZRELLI MOHAMED</v>
      </c>
      <c r="D20" s="14" t="s">
        <v>22</v>
      </c>
      <c r="E20" s="15">
        <v>45815</v>
      </c>
      <c r="F20" s="14" t="s">
        <v>20</v>
      </c>
      <c r="G20" s="16">
        <v>24.58</v>
      </c>
    </row>
    <row r="21" spans="1:7" x14ac:dyDescent="0.25">
      <c r="A21" s="13" t="s">
        <v>1589</v>
      </c>
      <c r="B21" s="13">
        <v>908</v>
      </c>
      <c r="C21" s="14" t="str">
        <f>+VLOOKUP(B21,[1]LISTE!$A$1:$D$431,4,FALSE)</f>
        <v>YOUSSEF HEDI</v>
      </c>
      <c r="D21" s="15" t="s">
        <v>22</v>
      </c>
      <c r="E21" s="15">
        <v>45800</v>
      </c>
      <c r="F21" s="14" t="s">
        <v>20</v>
      </c>
      <c r="G21" s="16">
        <v>16.574999999999999</v>
      </c>
    </row>
    <row r="22" spans="1:7" x14ac:dyDescent="0.25">
      <c r="A22" s="13" t="s">
        <v>1589</v>
      </c>
      <c r="B22" s="13">
        <v>908</v>
      </c>
      <c r="C22" s="14" t="str">
        <f>+VLOOKUP(B22,[1]LISTE!$A$1:$D$431,4,FALSE)</f>
        <v>YOUSSEF HEDI</v>
      </c>
      <c r="D22" s="14" t="s">
        <v>22</v>
      </c>
      <c r="E22" s="15">
        <v>45800</v>
      </c>
      <c r="F22" s="14" t="s">
        <v>24</v>
      </c>
      <c r="G22" s="16">
        <v>60</v>
      </c>
    </row>
    <row r="23" spans="1:7" x14ac:dyDescent="0.25">
      <c r="A23" s="13" t="s">
        <v>1638</v>
      </c>
      <c r="B23" s="13">
        <v>1510</v>
      </c>
      <c r="C23" s="14" t="str">
        <f>+VLOOKUP(B23,[1]LISTE!$A$1:$D$431,4,FALSE)</f>
        <v>GAALOUL FETHI</v>
      </c>
      <c r="D23" s="14" t="s">
        <v>22</v>
      </c>
      <c r="E23" s="15">
        <v>45803</v>
      </c>
      <c r="F23" s="14" t="s">
        <v>18</v>
      </c>
      <c r="G23" s="16">
        <v>70</v>
      </c>
    </row>
    <row r="24" spans="1:7" x14ac:dyDescent="0.25">
      <c r="A24" s="13" t="s">
        <v>1638</v>
      </c>
      <c r="B24" s="13">
        <v>1510</v>
      </c>
      <c r="C24" s="14" t="str">
        <f>+VLOOKUP(B24,[1]LISTE!$A$1:$D$431,4,FALSE)</f>
        <v>GAALOUL FETHI</v>
      </c>
      <c r="D24" s="14" t="s">
        <v>22</v>
      </c>
      <c r="E24" s="15">
        <v>45805</v>
      </c>
      <c r="F24" s="14" t="s">
        <v>19</v>
      </c>
      <c r="G24" s="16">
        <v>14.573</v>
      </c>
    </row>
    <row r="25" spans="1:7" x14ac:dyDescent="0.25">
      <c r="A25" s="13" t="s">
        <v>1638</v>
      </c>
      <c r="B25" s="13">
        <v>1510</v>
      </c>
      <c r="C25" s="14" t="str">
        <f>+VLOOKUP(B25,[1]LISTE!$A$1:$D$431,4,FALSE)</f>
        <v>GAALOUL FETHI</v>
      </c>
      <c r="D25" s="14" t="s">
        <v>22</v>
      </c>
      <c r="E25" s="15">
        <v>45803</v>
      </c>
      <c r="F25" s="14" t="s">
        <v>20</v>
      </c>
      <c r="G25" s="16">
        <v>5.72</v>
      </c>
    </row>
    <row r="26" spans="1:7" x14ac:dyDescent="0.25">
      <c r="A26" s="13" t="s">
        <v>1638</v>
      </c>
      <c r="B26" s="13">
        <v>1510</v>
      </c>
      <c r="C26" s="14" t="str">
        <f>+VLOOKUP(B26,[1]LISTE!$A$1:$D$431,4,FALSE)</f>
        <v>GAALOUL FETHI</v>
      </c>
      <c r="D26" s="15" t="s">
        <v>22</v>
      </c>
      <c r="E26" s="15">
        <v>45803</v>
      </c>
      <c r="F26" s="14" t="s">
        <v>21</v>
      </c>
      <c r="G26" s="16">
        <v>18</v>
      </c>
    </row>
    <row r="27" spans="1:7" x14ac:dyDescent="0.25">
      <c r="A27" s="13" t="s">
        <v>1638</v>
      </c>
      <c r="B27" s="13">
        <v>1510</v>
      </c>
      <c r="C27" s="14" t="str">
        <f>+VLOOKUP(B27,[1]LISTE!$A$1:$D$431,4,FALSE)</f>
        <v>GAALOUL FETHI</v>
      </c>
      <c r="D27" s="14" t="s">
        <v>22</v>
      </c>
      <c r="E27" s="15">
        <v>45803</v>
      </c>
      <c r="F27" s="14" t="s">
        <v>21</v>
      </c>
      <c r="G27" s="16">
        <v>45.94</v>
      </c>
    </row>
    <row r="28" spans="1:7" x14ac:dyDescent="0.25">
      <c r="A28" s="13" t="s">
        <v>1600</v>
      </c>
      <c r="B28" s="13">
        <v>1558</v>
      </c>
      <c r="C28" s="14" t="str">
        <f>+VLOOKUP(B28,[1]LISTE!$A$1:$D$431,4,FALSE)</f>
        <v>DRIDI KARIM</v>
      </c>
      <c r="D28" s="14" t="s">
        <v>296</v>
      </c>
      <c r="E28" s="15">
        <v>45791</v>
      </c>
      <c r="F28" s="14" t="s">
        <v>23</v>
      </c>
      <c r="G28" s="16">
        <v>25</v>
      </c>
    </row>
    <row r="29" spans="1:7" x14ac:dyDescent="0.25">
      <c r="A29" s="13" t="s">
        <v>1600</v>
      </c>
      <c r="B29" s="13">
        <v>1558</v>
      </c>
      <c r="C29" s="14" t="str">
        <f>+VLOOKUP(B29,[1]LISTE!$A$1:$D$431,4,FALSE)</f>
        <v>DRIDI KARIM</v>
      </c>
      <c r="D29" s="14" t="s">
        <v>296</v>
      </c>
      <c r="E29" s="15">
        <v>45791</v>
      </c>
      <c r="F29" s="14" t="s">
        <v>19</v>
      </c>
      <c r="G29" s="16">
        <v>30.751999999999999</v>
      </c>
    </row>
    <row r="30" spans="1:7" x14ac:dyDescent="0.25">
      <c r="A30" s="13" t="s">
        <v>1600</v>
      </c>
      <c r="B30" s="13">
        <v>1558</v>
      </c>
      <c r="C30" s="14" t="str">
        <f>+VLOOKUP(B30,[1]LISTE!$A$1:$D$431,4,FALSE)</f>
        <v>DRIDI KARIM</v>
      </c>
      <c r="D30" s="15" t="s">
        <v>296</v>
      </c>
      <c r="E30" s="15">
        <v>45796</v>
      </c>
      <c r="F30" s="14" t="s">
        <v>20</v>
      </c>
      <c r="G30" s="16">
        <v>21.774999999999999</v>
      </c>
    </row>
    <row r="31" spans="1:7" x14ac:dyDescent="0.25">
      <c r="A31" s="13" t="s">
        <v>1577</v>
      </c>
      <c r="B31" s="13">
        <v>1569</v>
      </c>
      <c r="C31" s="14" t="str">
        <f>+VLOOKUP(B31,[1]LISTE!$A$1:$D$431,4,FALSE)</f>
        <v>BETTAIEB MOULDI</v>
      </c>
      <c r="D31" s="15" t="s">
        <v>22</v>
      </c>
      <c r="E31" s="15">
        <v>45779</v>
      </c>
      <c r="F31" s="14" t="s">
        <v>18</v>
      </c>
      <c r="G31" s="16">
        <v>60</v>
      </c>
    </row>
    <row r="32" spans="1:7" x14ac:dyDescent="0.25">
      <c r="A32" s="13" t="s">
        <v>1577</v>
      </c>
      <c r="B32" s="13">
        <v>1569</v>
      </c>
      <c r="C32" s="14" t="str">
        <f>+VLOOKUP(B32,[1]LISTE!$A$1:$D$431,4,FALSE)</f>
        <v>BETTAIEB MOULDI</v>
      </c>
      <c r="D32" s="15" t="s">
        <v>22</v>
      </c>
      <c r="E32" s="15">
        <v>45779</v>
      </c>
      <c r="F32" s="14" t="s">
        <v>20</v>
      </c>
      <c r="G32" s="16">
        <v>49.05</v>
      </c>
    </row>
    <row r="33" spans="1:7" x14ac:dyDescent="0.25">
      <c r="A33" s="13" t="s">
        <v>1578</v>
      </c>
      <c r="B33" s="13">
        <v>1569</v>
      </c>
      <c r="C33" s="14" t="str">
        <f>+VLOOKUP(B33,[1]LISTE!$A$1:$D$431,4,FALSE)</f>
        <v>BETTAIEB MOULDI</v>
      </c>
      <c r="D33" s="14" t="s">
        <v>529</v>
      </c>
      <c r="E33" s="15">
        <v>45790</v>
      </c>
      <c r="F33" s="14" t="s">
        <v>18</v>
      </c>
      <c r="G33" s="16">
        <v>60</v>
      </c>
    </row>
    <row r="34" spans="1:7" x14ac:dyDescent="0.25">
      <c r="A34" s="13" t="s">
        <v>1578</v>
      </c>
      <c r="B34" s="13">
        <v>1569</v>
      </c>
      <c r="C34" s="14" t="str">
        <f>+VLOOKUP(B34,[1]LISTE!$A$1:$D$431,4,FALSE)</f>
        <v>BETTAIEB MOULDI</v>
      </c>
      <c r="D34" s="14" t="s">
        <v>529</v>
      </c>
      <c r="E34" s="15">
        <v>45790</v>
      </c>
      <c r="F34" s="14" t="s">
        <v>20</v>
      </c>
      <c r="G34" s="16">
        <v>2.7149999999999999</v>
      </c>
    </row>
    <row r="35" spans="1:7" x14ac:dyDescent="0.25">
      <c r="A35" s="13" t="s">
        <v>1643</v>
      </c>
      <c r="B35" s="13">
        <v>1569</v>
      </c>
      <c r="C35" s="14" t="str">
        <f>+VLOOKUP(B35,[1]LISTE!$A$1:$D$431,4,FALSE)</f>
        <v>BETTAIEB MOULDI</v>
      </c>
      <c r="D35" s="14" t="s">
        <v>513</v>
      </c>
      <c r="E35" s="15">
        <v>45797</v>
      </c>
      <c r="F35" s="14" t="s">
        <v>23</v>
      </c>
      <c r="G35" s="16">
        <v>2</v>
      </c>
    </row>
    <row r="36" spans="1:7" x14ac:dyDescent="0.25">
      <c r="A36" s="13" t="s">
        <v>1643</v>
      </c>
      <c r="B36" s="13">
        <v>1569</v>
      </c>
      <c r="C36" s="14" t="str">
        <f>+VLOOKUP(B36,[1]LISTE!$A$1:$D$431,4,FALSE)</f>
        <v>BETTAIEB MOULDI</v>
      </c>
      <c r="D36" s="15" t="s">
        <v>513</v>
      </c>
      <c r="E36" s="15">
        <v>45808</v>
      </c>
      <c r="F36" s="14" t="s">
        <v>20</v>
      </c>
      <c r="G36" s="16">
        <v>35.134</v>
      </c>
    </row>
    <row r="37" spans="1:7" x14ac:dyDescent="0.25">
      <c r="A37" s="13" t="s">
        <v>1596</v>
      </c>
      <c r="B37" s="13">
        <v>1575</v>
      </c>
      <c r="C37" s="14" t="str">
        <f>+VLOOKUP(B37,[1]LISTE!$A$1:$D$431,4,FALSE)</f>
        <v>BEN ABDELJELIL ZOUHAIER</v>
      </c>
      <c r="D37" s="14" t="s">
        <v>595</v>
      </c>
      <c r="E37" s="15">
        <v>45805</v>
      </c>
      <c r="F37" s="14" t="s">
        <v>18</v>
      </c>
      <c r="G37" s="16">
        <v>70</v>
      </c>
    </row>
    <row r="38" spans="1:7" x14ac:dyDescent="0.25">
      <c r="A38" s="13" t="s">
        <v>1596</v>
      </c>
      <c r="B38" s="13">
        <v>1575</v>
      </c>
      <c r="C38" s="14" t="str">
        <f>+VLOOKUP(B38,[1]LISTE!$A$1:$D$431,4,FALSE)</f>
        <v>BEN ABDELJELIL ZOUHAIER</v>
      </c>
      <c r="D38" s="15" t="s">
        <v>595</v>
      </c>
      <c r="E38" s="15">
        <v>45805</v>
      </c>
      <c r="F38" s="14" t="s">
        <v>20</v>
      </c>
      <c r="G38" s="16">
        <v>15.99</v>
      </c>
    </row>
    <row r="39" spans="1:7" x14ac:dyDescent="0.25">
      <c r="A39" s="13" t="s">
        <v>1624</v>
      </c>
      <c r="B39" s="13">
        <v>1575</v>
      </c>
      <c r="C39" s="14" t="str">
        <f>+VLOOKUP(B39,[1]LISTE!$A$1:$D$431,4,FALSE)</f>
        <v>BEN ABDELJELIL ZOUHAIER</v>
      </c>
      <c r="D39" s="14" t="s">
        <v>22</v>
      </c>
      <c r="E39" s="15">
        <v>45812</v>
      </c>
      <c r="F39" s="14" t="s">
        <v>18</v>
      </c>
      <c r="G39" s="16">
        <v>70</v>
      </c>
    </row>
    <row r="40" spans="1:7" x14ac:dyDescent="0.25">
      <c r="A40" s="13" t="s">
        <v>1624</v>
      </c>
      <c r="B40" s="13">
        <v>1575</v>
      </c>
      <c r="C40" s="14" t="str">
        <f>+VLOOKUP(B40,[1]LISTE!$A$1:$D$431,4,FALSE)</f>
        <v>BEN ABDELJELIL ZOUHAIER</v>
      </c>
      <c r="D40" s="14" t="s">
        <v>22</v>
      </c>
      <c r="E40" s="15">
        <v>45812</v>
      </c>
      <c r="F40" s="14" t="s">
        <v>20</v>
      </c>
      <c r="G40" s="16">
        <v>30.425999999999998</v>
      </c>
    </row>
    <row r="41" spans="1:7" x14ac:dyDescent="0.25">
      <c r="A41" s="13" t="s">
        <v>1666</v>
      </c>
      <c r="B41" s="13">
        <v>1576</v>
      </c>
      <c r="C41" s="14" t="s">
        <v>1667</v>
      </c>
      <c r="D41" s="14" t="s">
        <v>22</v>
      </c>
      <c r="E41" s="15">
        <v>45808</v>
      </c>
      <c r="F41" s="14" t="s">
        <v>20</v>
      </c>
      <c r="G41" s="16">
        <v>94.65</v>
      </c>
    </row>
    <row r="42" spans="1:7" x14ac:dyDescent="0.25">
      <c r="A42" s="13" t="s">
        <v>1636</v>
      </c>
      <c r="B42" s="13">
        <v>1596</v>
      </c>
      <c r="C42" s="14" t="str">
        <f>+VLOOKUP(B42,[1]LISTE!$A$1:$D$431,4,FALSE)</f>
        <v>GORCHENE NOUREDDINE</v>
      </c>
      <c r="D42" s="14" t="s">
        <v>322</v>
      </c>
      <c r="E42" s="15">
        <v>45803</v>
      </c>
      <c r="F42" s="14" t="s">
        <v>23</v>
      </c>
      <c r="G42" s="16">
        <v>10</v>
      </c>
    </row>
    <row r="43" spans="1:7" x14ac:dyDescent="0.25">
      <c r="A43" s="13" t="s">
        <v>1636</v>
      </c>
      <c r="B43" s="13">
        <v>1596</v>
      </c>
      <c r="C43" s="14" t="str">
        <f>+VLOOKUP(B43,[1]LISTE!$A$1:$D$431,4,FALSE)</f>
        <v>GORCHENE NOUREDDINE</v>
      </c>
      <c r="D43" s="15" t="s">
        <v>322</v>
      </c>
      <c r="E43" s="15">
        <v>45803</v>
      </c>
      <c r="F43" s="14" t="s">
        <v>20</v>
      </c>
      <c r="G43" s="16">
        <v>70.906000000000006</v>
      </c>
    </row>
    <row r="44" spans="1:7" x14ac:dyDescent="0.25">
      <c r="A44" s="13" t="s">
        <v>1669</v>
      </c>
      <c r="B44" s="13">
        <v>1596</v>
      </c>
      <c r="C44" s="14" t="str">
        <f>+VLOOKUP(B44,[1]LISTE!$A$1:$D$431,4,FALSE)</f>
        <v>GORCHENE NOUREDDINE</v>
      </c>
      <c r="D44" s="15" t="s">
        <v>511</v>
      </c>
      <c r="E44" s="15">
        <v>45817</v>
      </c>
      <c r="F44" s="14" t="s">
        <v>23</v>
      </c>
      <c r="G44" s="16">
        <v>45</v>
      </c>
    </row>
    <row r="45" spans="1:7" x14ac:dyDescent="0.25">
      <c r="A45" s="13" t="s">
        <v>1669</v>
      </c>
      <c r="B45" s="13">
        <v>1596</v>
      </c>
      <c r="C45" s="14" t="str">
        <f>+VLOOKUP(B45,[1]LISTE!$A$1:$D$431,4,FALSE)</f>
        <v>GORCHENE NOUREDDINE</v>
      </c>
      <c r="D45" s="14" t="s">
        <v>511</v>
      </c>
      <c r="E45" s="15">
        <v>45817</v>
      </c>
      <c r="F45" s="14" t="s">
        <v>20</v>
      </c>
      <c r="G45" s="16">
        <v>60.994999999999997</v>
      </c>
    </row>
    <row r="46" spans="1:7" x14ac:dyDescent="0.25">
      <c r="A46" s="13" t="s">
        <v>1639</v>
      </c>
      <c r="B46" s="13">
        <v>1597</v>
      </c>
      <c r="C46" s="14" t="str">
        <f>+VLOOKUP(B46,[1]LISTE!$A$1:$D$431,4,FALSE)</f>
        <v>AMARA KARIM</v>
      </c>
      <c r="D46" s="15" t="s">
        <v>1634</v>
      </c>
      <c r="E46" s="15">
        <v>45806</v>
      </c>
      <c r="F46" s="14" t="s">
        <v>23</v>
      </c>
      <c r="G46" s="16">
        <v>20</v>
      </c>
    </row>
    <row r="47" spans="1:7" x14ac:dyDescent="0.25">
      <c r="A47" s="13" t="s">
        <v>1639</v>
      </c>
      <c r="B47" s="13">
        <v>1597</v>
      </c>
      <c r="C47" s="14" t="str">
        <f>+VLOOKUP(B47,[1]LISTE!$A$1:$D$431,4,FALSE)</f>
        <v>AMARA KARIM</v>
      </c>
      <c r="D47" s="15" t="s">
        <v>1634</v>
      </c>
      <c r="E47" s="15">
        <v>45806</v>
      </c>
      <c r="F47" s="14" t="s">
        <v>20</v>
      </c>
      <c r="G47" s="16">
        <v>22.997</v>
      </c>
    </row>
    <row r="48" spans="1:7" x14ac:dyDescent="0.25">
      <c r="A48" s="13" t="s">
        <v>1595</v>
      </c>
      <c r="B48" s="13">
        <v>1600</v>
      </c>
      <c r="C48" s="14" t="str">
        <f>+VLOOKUP(B48,[1]LISTE!$A$1:$D$431,4,FALSE)</f>
        <v>MAOUA MOHAMED</v>
      </c>
      <c r="D48" s="14" t="s">
        <v>699</v>
      </c>
      <c r="E48" s="15">
        <v>45801</v>
      </c>
      <c r="F48" s="14" t="s">
        <v>18</v>
      </c>
      <c r="G48" s="16">
        <v>70</v>
      </c>
    </row>
    <row r="49" spans="1:7" x14ac:dyDescent="0.25">
      <c r="A49" s="13" t="s">
        <v>1595</v>
      </c>
      <c r="B49" s="13">
        <v>1600</v>
      </c>
      <c r="C49" s="14" t="str">
        <f>+VLOOKUP(B49,[1]LISTE!$A$1:$D$431,4,FALSE)</f>
        <v>MAOUA MOHAMED</v>
      </c>
      <c r="D49" s="15" t="s">
        <v>699</v>
      </c>
      <c r="E49" s="15">
        <v>45801</v>
      </c>
      <c r="F49" s="14" t="s">
        <v>20</v>
      </c>
      <c r="G49" s="16">
        <v>26.574999999999999</v>
      </c>
    </row>
    <row r="50" spans="1:7" x14ac:dyDescent="0.25">
      <c r="A50" s="13" t="s">
        <v>1570</v>
      </c>
      <c r="B50" s="13">
        <v>1612</v>
      </c>
      <c r="C50" s="14" t="str">
        <f>+VLOOKUP(B50,[1]LISTE!$A$1:$D$431,4,FALSE)</f>
        <v>LADHERI NAJEH</v>
      </c>
      <c r="D50" s="14" t="s">
        <v>22</v>
      </c>
      <c r="E50" s="15">
        <v>45806</v>
      </c>
      <c r="F50" s="14" t="s">
        <v>23</v>
      </c>
      <c r="G50" s="16">
        <v>45</v>
      </c>
    </row>
    <row r="51" spans="1:7" x14ac:dyDescent="0.25">
      <c r="A51" s="13" t="s">
        <v>1570</v>
      </c>
      <c r="B51" s="13">
        <v>1612</v>
      </c>
      <c r="C51" s="14" t="str">
        <f>+VLOOKUP(B51,[1]LISTE!$A$1:$D$431,4,FALSE)</f>
        <v>LADHERI NAJEH</v>
      </c>
      <c r="D51" s="15" t="s">
        <v>22</v>
      </c>
      <c r="E51" s="15">
        <v>45806</v>
      </c>
      <c r="F51" s="14" t="s">
        <v>20</v>
      </c>
      <c r="G51" s="16">
        <v>30.800999999999998</v>
      </c>
    </row>
    <row r="52" spans="1:7" x14ac:dyDescent="0.25">
      <c r="A52" s="13" t="s">
        <v>1649</v>
      </c>
      <c r="B52" s="13">
        <v>1625</v>
      </c>
      <c r="C52" s="14" t="str">
        <f>+VLOOKUP(B52,[1]LISTE!$A$1:$D$431,4,FALSE)</f>
        <v>HAMILA SAMIR</v>
      </c>
      <c r="D52" s="15" t="s">
        <v>22</v>
      </c>
      <c r="E52" s="15">
        <v>45813</v>
      </c>
      <c r="F52" s="14" t="s">
        <v>23</v>
      </c>
      <c r="G52" s="16">
        <v>10</v>
      </c>
    </row>
    <row r="53" spans="1:7" x14ac:dyDescent="0.25">
      <c r="A53" s="13" t="s">
        <v>1649</v>
      </c>
      <c r="B53" s="13">
        <v>1625</v>
      </c>
      <c r="C53" s="14" t="str">
        <f>+VLOOKUP(B53,[1]LISTE!$A$1:$D$431,4,FALSE)</f>
        <v>HAMILA SAMIR</v>
      </c>
      <c r="D53" s="15" t="s">
        <v>22</v>
      </c>
      <c r="E53" s="15">
        <v>45814</v>
      </c>
      <c r="F53" s="14" t="s">
        <v>20</v>
      </c>
      <c r="G53" s="16">
        <v>139.88</v>
      </c>
    </row>
    <row r="54" spans="1:7" x14ac:dyDescent="0.25">
      <c r="A54" s="13" t="s">
        <v>1650</v>
      </c>
      <c r="B54" s="13">
        <v>1625</v>
      </c>
      <c r="C54" s="14" t="str">
        <f>+VLOOKUP(B54,[1]LISTE!$A$1:$D$431,4,FALSE)</f>
        <v>HAMILA SAMIR</v>
      </c>
      <c r="D54" s="15" t="s">
        <v>22</v>
      </c>
      <c r="E54" s="15">
        <v>45817</v>
      </c>
      <c r="F54" s="14" t="s">
        <v>23</v>
      </c>
      <c r="G54" s="16">
        <v>10</v>
      </c>
    </row>
    <row r="55" spans="1:7" x14ac:dyDescent="0.25">
      <c r="A55" s="13" t="s">
        <v>1650</v>
      </c>
      <c r="B55" s="13">
        <v>1625</v>
      </c>
      <c r="C55" s="14" t="str">
        <f>+VLOOKUP(B55,[1]LISTE!$A$1:$D$431,4,FALSE)</f>
        <v>HAMILA SAMIR</v>
      </c>
      <c r="D55" s="14" t="s">
        <v>22</v>
      </c>
      <c r="E55" s="15">
        <v>45817</v>
      </c>
      <c r="F55" s="14" t="s">
        <v>20</v>
      </c>
      <c r="G55" s="16">
        <v>17.393000000000001</v>
      </c>
    </row>
    <row r="56" spans="1:7" x14ac:dyDescent="0.25">
      <c r="A56" s="13" t="s">
        <v>1630</v>
      </c>
      <c r="B56" s="13">
        <v>1633</v>
      </c>
      <c r="C56" s="14" t="str">
        <f>+VLOOKUP(B56,[1]LISTE!$A$1:$D$431,4,FALSE)</f>
        <v>ROMDHANE HEDI</v>
      </c>
      <c r="D56" s="14" t="s">
        <v>296</v>
      </c>
      <c r="E56" s="15">
        <v>45783</v>
      </c>
      <c r="F56" s="14" t="s">
        <v>18</v>
      </c>
      <c r="G56" s="16">
        <v>70</v>
      </c>
    </row>
    <row r="57" spans="1:7" x14ac:dyDescent="0.25">
      <c r="A57" s="13" t="s">
        <v>1630</v>
      </c>
      <c r="B57" s="13">
        <v>1633</v>
      </c>
      <c r="C57" s="14" t="str">
        <f>+VLOOKUP(B57,[1]LISTE!$A$1:$D$431,4,FALSE)</f>
        <v>ROMDHANE HEDI</v>
      </c>
      <c r="D57" s="15" t="s">
        <v>296</v>
      </c>
      <c r="E57" s="15">
        <v>45787</v>
      </c>
      <c r="F57" s="14" t="s">
        <v>19</v>
      </c>
      <c r="G57" s="16">
        <v>28.68</v>
      </c>
    </row>
    <row r="58" spans="1:7" x14ac:dyDescent="0.25">
      <c r="A58" s="13" t="s">
        <v>1630</v>
      </c>
      <c r="B58" s="13">
        <v>1633</v>
      </c>
      <c r="C58" s="14" t="str">
        <f>+VLOOKUP(B58,[1]LISTE!$A$1:$D$431,4,FALSE)</f>
        <v>ROMDHANE HEDI</v>
      </c>
      <c r="D58" s="14" t="s">
        <v>296</v>
      </c>
      <c r="E58" s="15">
        <v>45792</v>
      </c>
      <c r="F58" s="14" t="s">
        <v>20</v>
      </c>
      <c r="G58" s="16">
        <v>127.78</v>
      </c>
    </row>
    <row r="59" spans="1:7" x14ac:dyDescent="0.25">
      <c r="A59" s="13" t="s">
        <v>1608</v>
      </c>
      <c r="B59" s="13">
        <v>1639</v>
      </c>
      <c r="C59" s="14" t="str">
        <f>+VLOOKUP(B59,[1]LISTE!$A$1:$D$431,4,FALSE)</f>
        <v>ZBIDI FAKHER</v>
      </c>
      <c r="D59" s="14" t="s">
        <v>22</v>
      </c>
      <c r="E59" s="15">
        <v>45808</v>
      </c>
      <c r="F59" s="14" t="s">
        <v>18</v>
      </c>
      <c r="G59" s="16">
        <v>70</v>
      </c>
    </row>
    <row r="60" spans="1:7" x14ac:dyDescent="0.25">
      <c r="A60" s="13" t="s">
        <v>1610</v>
      </c>
      <c r="B60" s="13">
        <v>1650</v>
      </c>
      <c r="C60" s="14" t="str">
        <f>+VLOOKUP(B60,[1]LISTE!$A$1:$D$431,4,FALSE)</f>
        <v>OUAJA RAOUF</v>
      </c>
      <c r="D60" s="15" t="s">
        <v>22</v>
      </c>
      <c r="E60" s="15">
        <v>45803</v>
      </c>
      <c r="F60" s="14" t="s">
        <v>23</v>
      </c>
      <c r="G60" s="16">
        <v>45</v>
      </c>
    </row>
    <row r="61" spans="1:7" x14ac:dyDescent="0.25">
      <c r="A61" s="13" t="s">
        <v>1610</v>
      </c>
      <c r="B61" s="13">
        <v>1650</v>
      </c>
      <c r="C61" s="14" t="str">
        <f>+VLOOKUP(B61,[1]LISTE!$A$1:$D$431,4,FALSE)</f>
        <v>OUAJA RAOUF</v>
      </c>
      <c r="D61" s="14" t="s">
        <v>22</v>
      </c>
      <c r="E61" s="15">
        <v>45803</v>
      </c>
      <c r="F61" s="14" t="s">
        <v>20</v>
      </c>
      <c r="G61" s="16">
        <v>65.566999999999993</v>
      </c>
    </row>
    <row r="62" spans="1:7" x14ac:dyDescent="0.25">
      <c r="A62" s="13" t="s">
        <v>1611</v>
      </c>
      <c r="B62" s="13">
        <v>1650</v>
      </c>
      <c r="C62" s="14" t="str">
        <f>+VLOOKUP(B62,[1]LISTE!$A$1:$D$431,4,FALSE)</f>
        <v>OUAJA RAOUF</v>
      </c>
      <c r="D62" s="14" t="s">
        <v>296</v>
      </c>
      <c r="E62" s="15">
        <v>45799</v>
      </c>
      <c r="F62" s="14" t="s">
        <v>23</v>
      </c>
      <c r="G62" s="16">
        <v>45</v>
      </c>
    </row>
    <row r="63" spans="1:7" x14ac:dyDescent="0.25">
      <c r="A63" s="13" t="s">
        <v>1611</v>
      </c>
      <c r="B63" s="13">
        <v>1650</v>
      </c>
      <c r="C63" s="14" t="str">
        <f>+VLOOKUP(B63,[1]LISTE!$A$1:$D$431,4,FALSE)</f>
        <v>OUAJA RAOUF</v>
      </c>
      <c r="D63" s="14" t="s">
        <v>296</v>
      </c>
      <c r="E63" s="15">
        <v>45799</v>
      </c>
      <c r="F63" s="14" t="s">
        <v>20</v>
      </c>
      <c r="G63" s="16">
        <v>55.344999999999999</v>
      </c>
    </row>
    <row r="64" spans="1:7" x14ac:dyDescent="0.25">
      <c r="A64" s="13" t="s">
        <v>1651</v>
      </c>
      <c r="B64" s="13">
        <v>1650</v>
      </c>
      <c r="C64" s="14" t="str">
        <f>+VLOOKUP(B64,[1]LISTE!$A$1:$D$431,4,FALSE)</f>
        <v>OUAJA RAOUF</v>
      </c>
      <c r="D64" s="14" t="s">
        <v>268</v>
      </c>
      <c r="E64" s="15">
        <v>45807</v>
      </c>
      <c r="F64" s="14" t="s">
        <v>23</v>
      </c>
      <c r="G64" s="16">
        <v>45</v>
      </c>
    </row>
    <row r="65" spans="1:7" x14ac:dyDescent="0.25">
      <c r="A65" s="13" t="s">
        <v>1651</v>
      </c>
      <c r="B65" s="13">
        <v>1650</v>
      </c>
      <c r="C65" s="14" t="str">
        <f>+VLOOKUP(B65,[1]LISTE!$A$1:$D$431,4,FALSE)</f>
        <v>OUAJA RAOUF</v>
      </c>
      <c r="D65" s="14" t="s">
        <v>268</v>
      </c>
      <c r="E65" s="15">
        <v>45807</v>
      </c>
      <c r="F65" s="14" t="s">
        <v>20</v>
      </c>
      <c r="G65" s="16">
        <v>72.44</v>
      </c>
    </row>
    <row r="66" spans="1:7" x14ac:dyDescent="0.25">
      <c r="A66" s="13" t="s">
        <v>1652</v>
      </c>
      <c r="B66" s="13">
        <v>1650</v>
      </c>
      <c r="C66" s="14" t="str">
        <f>+VLOOKUP(B66,[1]LISTE!$A$1:$D$431,4,FALSE)</f>
        <v>OUAJA RAOUF</v>
      </c>
      <c r="D66" s="14" t="s">
        <v>455</v>
      </c>
      <c r="E66" s="15">
        <v>45801</v>
      </c>
      <c r="F66" s="14" t="s">
        <v>23</v>
      </c>
      <c r="G66" s="16">
        <v>45</v>
      </c>
    </row>
    <row r="67" spans="1:7" x14ac:dyDescent="0.25">
      <c r="A67" s="13" t="s">
        <v>1652</v>
      </c>
      <c r="B67" s="13">
        <v>1650</v>
      </c>
      <c r="C67" s="14" t="str">
        <f>+VLOOKUP(B67,[1]LISTE!$A$1:$D$431,4,FALSE)</f>
        <v>OUAJA RAOUF</v>
      </c>
      <c r="D67" s="14" t="s">
        <v>455</v>
      </c>
      <c r="E67" s="15">
        <v>45801</v>
      </c>
      <c r="F67" s="14" t="s">
        <v>20</v>
      </c>
      <c r="G67" s="16">
        <v>69.438999999999993</v>
      </c>
    </row>
    <row r="68" spans="1:7" x14ac:dyDescent="0.25">
      <c r="A68" s="13" t="s">
        <v>1656</v>
      </c>
      <c r="B68" s="13">
        <v>1671</v>
      </c>
      <c r="C68" s="14" t="str">
        <f>+VLOOKUP(B68,[1]LISTE!$A$1:$D$431,4,FALSE)</f>
        <v>EL BACH ADEL</v>
      </c>
      <c r="D68" s="14" t="s">
        <v>151</v>
      </c>
      <c r="E68" s="15">
        <v>45804</v>
      </c>
      <c r="F68" s="14" t="s">
        <v>23</v>
      </c>
      <c r="G68" s="16">
        <v>40</v>
      </c>
    </row>
    <row r="69" spans="1:7" x14ac:dyDescent="0.25">
      <c r="A69" s="13" t="s">
        <v>1656</v>
      </c>
      <c r="B69" s="13">
        <v>1671</v>
      </c>
      <c r="C69" s="14" t="str">
        <f>+VLOOKUP(B69,[1]LISTE!$A$1:$D$431,4,FALSE)</f>
        <v>EL BACH ADEL</v>
      </c>
      <c r="D69" s="15" t="s">
        <v>151</v>
      </c>
      <c r="E69" s="15">
        <v>45804</v>
      </c>
      <c r="F69" s="14" t="s">
        <v>20</v>
      </c>
      <c r="G69" s="16">
        <v>72.984999999999999</v>
      </c>
    </row>
    <row r="70" spans="1:7" x14ac:dyDescent="0.25">
      <c r="A70" s="13" t="s">
        <v>1657</v>
      </c>
      <c r="B70" s="13">
        <v>1671</v>
      </c>
      <c r="C70" s="14" t="str">
        <f>+VLOOKUP(B70,[1]LISTE!$A$1:$D$431,4,FALSE)</f>
        <v>EL BACH ADEL</v>
      </c>
      <c r="D70" s="14" t="s">
        <v>687</v>
      </c>
      <c r="E70" s="15">
        <v>45797</v>
      </c>
      <c r="F70" s="14" t="s">
        <v>23</v>
      </c>
      <c r="G70" s="16">
        <v>40</v>
      </c>
    </row>
    <row r="71" spans="1:7" x14ac:dyDescent="0.25">
      <c r="A71" s="13" t="s">
        <v>1657</v>
      </c>
      <c r="B71" s="13">
        <v>1671</v>
      </c>
      <c r="C71" s="14" t="str">
        <f>+VLOOKUP(B71,[1]LISTE!$A$1:$D$431,4,FALSE)</f>
        <v>EL BACH ADEL</v>
      </c>
      <c r="D71" s="15" t="s">
        <v>687</v>
      </c>
      <c r="E71" s="15">
        <v>45797</v>
      </c>
      <c r="F71" s="14" t="s">
        <v>20</v>
      </c>
      <c r="G71" s="16">
        <v>82.64</v>
      </c>
    </row>
    <row r="72" spans="1:7" x14ac:dyDescent="0.25">
      <c r="A72" s="13" t="s">
        <v>1658</v>
      </c>
      <c r="B72" s="13">
        <v>1671</v>
      </c>
      <c r="C72" s="14" t="str">
        <f>+VLOOKUP(B72,[1]LISTE!$A$1:$D$431,4,FALSE)</f>
        <v>EL BACH ADEL</v>
      </c>
      <c r="D72" s="15" t="s">
        <v>22</v>
      </c>
      <c r="E72" s="15">
        <v>45792</v>
      </c>
      <c r="F72" s="14" t="s">
        <v>23</v>
      </c>
      <c r="G72" s="16">
        <v>40</v>
      </c>
    </row>
    <row r="73" spans="1:7" x14ac:dyDescent="0.25">
      <c r="A73" s="13" t="s">
        <v>1658</v>
      </c>
      <c r="B73" s="13">
        <v>1671</v>
      </c>
      <c r="C73" s="14" t="str">
        <f>+VLOOKUP(B73,[1]LISTE!$A$1:$D$431,4,FALSE)</f>
        <v>EL BACH ADEL</v>
      </c>
      <c r="D73" s="15" t="s">
        <v>22</v>
      </c>
      <c r="E73" s="15">
        <v>45792</v>
      </c>
      <c r="F73" s="14" t="s">
        <v>20</v>
      </c>
      <c r="G73" s="16">
        <v>80.084999999999994</v>
      </c>
    </row>
    <row r="74" spans="1:7" x14ac:dyDescent="0.25">
      <c r="A74" s="13" t="s">
        <v>1579</v>
      </c>
      <c r="B74" s="13">
        <v>1683</v>
      </c>
      <c r="C74" s="14" t="str">
        <f>+VLOOKUP(B74,[1]LISTE!$A$1:$D$431,4,FALSE)</f>
        <v>HEDHILI MOHAMED</v>
      </c>
      <c r="D74" s="15" t="s">
        <v>481</v>
      </c>
      <c r="E74" s="15">
        <v>45782</v>
      </c>
      <c r="F74" s="14" t="s">
        <v>18</v>
      </c>
      <c r="G74" s="16">
        <v>70</v>
      </c>
    </row>
    <row r="75" spans="1:7" x14ac:dyDescent="0.25">
      <c r="A75" s="13" t="s">
        <v>1579</v>
      </c>
      <c r="B75" s="13">
        <v>1683</v>
      </c>
      <c r="C75" s="14" t="str">
        <f>+VLOOKUP(B75,[1]LISTE!$A$1:$D$431,4,FALSE)</f>
        <v>HEDHILI MOHAMED</v>
      </c>
      <c r="D75" s="15" t="s">
        <v>481</v>
      </c>
      <c r="E75" s="15">
        <v>45782</v>
      </c>
      <c r="F75" s="14" t="s">
        <v>20</v>
      </c>
      <c r="G75" s="16">
        <v>5.1079999999999997</v>
      </c>
    </row>
    <row r="76" spans="1:7" x14ac:dyDescent="0.25">
      <c r="A76" s="13" t="s">
        <v>1580</v>
      </c>
      <c r="B76" s="13">
        <v>1683</v>
      </c>
      <c r="C76" s="14" t="str">
        <f>+VLOOKUP(B76,[1]LISTE!$A$1:$D$431,4,FALSE)</f>
        <v>HEDHILI MOHAMED</v>
      </c>
      <c r="D76" s="14" t="s">
        <v>481</v>
      </c>
      <c r="E76" s="15">
        <v>45791</v>
      </c>
      <c r="F76" s="14" t="s">
        <v>23</v>
      </c>
      <c r="G76" s="16">
        <v>40</v>
      </c>
    </row>
    <row r="77" spans="1:7" x14ac:dyDescent="0.25">
      <c r="A77" s="13" t="s">
        <v>1580</v>
      </c>
      <c r="B77" s="13">
        <v>1683</v>
      </c>
      <c r="C77" s="14" t="str">
        <f>+VLOOKUP(B77,[1]LISTE!$A$1:$D$431,4,FALSE)</f>
        <v>HEDHILI MOHAMED</v>
      </c>
      <c r="D77" s="14" t="s">
        <v>481</v>
      </c>
      <c r="E77" s="15">
        <v>45791</v>
      </c>
      <c r="F77" s="14" t="s">
        <v>21</v>
      </c>
      <c r="G77" s="16">
        <v>60</v>
      </c>
    </row>
    <row r="78" spans="1:7" x14ac:dyDescent="0.25">
      <c r="A78" s="13" t="s">
        <v>1580</v>
      </c>
      <c r="B78" s="13">
        <v>1683</v>
      </c>
      <c r="C78" s="14" t="str">
        <f>+VLOOKUP(B78,[1]LISTE!$A$1:$D$431,4,FALSE)</f>
        <v>HEDHILI MOHAMED</v>
      </c>
      <c r="D78" s="14" t="s">
        <v>481</v>
      </c>
      <c r="E78" s="15">
        <v>45799</v>
      </c>
      <c r="F78" s="14" t="s">
        <v>24</v>
      </c>
      <c r="G78" s="16">
        <v>100</v>
      </c>
    </row>
    <row r="79" spans="1:7" x14ac:dyDescent="0.25">
      <c r="A79" s="13" t="s">
        <v>1606</v>
      </c>
      <c r="B79" s="13">
        <v>1685</v>
      </c>
      <c r="C79" s="14" t="str">
        <f>+VLOOKUP(B79,[1]LISTE!$A$1:$D$431,4,FALSE)</f>
        <v>MAHJOUB MOHAMED KARIM</v>
      </c>
      <c r="D79" s="15" t="s">
        <v>421</v>
      </c>
      <c r="E79" s="15">
        <v>45800</v>
      </c>
      <c r="F79" s="14" t="s">
        <v>23</v>
      </c>
      <c r="G79" s="16">
        <v>50</v>
      </c>
    </row>
    <row r="80" spans="1:7" x14ac:dyDescent="0.25">
      <c r="A80" s="13" t="s">
        <v>1606</v>
      </c>
      <c r="B80" s="13">
        <v>1685</v>
      </c>
      <c r="C80" s="14" t="str">
        <f>+VLOOKUP(B80,[1]LISTE!$A$1:$D$431,4,FALSE)</f>
        <v>MAHJOUB MOHAMED KARIM</v>
      </c>
      <c r="D80" s="15" t="s">
        <v>421</v>
      </c>
      <c r="E80" s="15">
        <v>45805</v>
      </c>
      <c r="F80" s="14" t="s">
        <v>24</v>
      </c>
      <c r="G80" s="16">
        <v>60</v>
      </c>
    </row>
    <row r="81" spans="1:7" x14ac:dyDescent="0.25">
      <c r="A81" s="13" t="s">
        <v>1582</v>
      </c>
      <c r="B81" s="13">
        <v>1698</v>
      </c>
      <c r="C81" s="14" t="str">
        <f>+VLOOKUP(B81,[1]LISTE!$A$1:$D$431,4,FALSE)</f>
        <v>BEL HADJ NABIL</v>
      </c>
      <c r="D81" s="14" t="s">
        <v>472</v>
      </c>
      <c r="E81" s="15">
        <v>45805</v>
      </c>
      <c r="F81" s="14" t="s">
        <v>23</v>
      </c>
      <c r="G81" s="16">
        <v>1.5</v>
      </c>
    </row>
    <row r="82" spans="1:7" x14ac:dyDescent="0.25">
      <c r="A82" s="13" t="s">
        <v>1582</v>
      </c>
      <c r="B82" s="13">
        <v>1698</v>
      </c>
      <c r="C82" s="14" t="str">
        <f>+VLOOKUP(B82,[1]LISTE!$A$1:$D$431,4,FALSE)</f>
        <v>BEL HADJ NABIL</v>
      </c>
      <c r="D82" s="15" t="s">
        <v>472</v>
      </c>
      <c r="E82" s="15">
        <v>45805</v>
      </c>
      <c r="F82" s="14" t="s">
        <v>20</v>
      </c>
      <c r="G82" s="16">
        <v>28.297000000000001</v>
      </c>
    </row>
    <row r="83" spans="1:7" x14ac:dyDescent="0.25">
      <c r="A83" s="13" t="s">
        <v>1627</v>
      </c>
      <c r="B83" s="13">
        <v>1698</v>
      </c>
      <c r="C83" s="14" t="str">
        <f>+VLOOKUP(B83,[1]LISTE!$A$1:$D$431,4,FALSE)</f>
        <v>BEL HADJ NABIL</v>
      </c>
      <c r="D83" s="14" t="s">
        <v>1628</v>
      </c>
      <c r="E83" s="15">
        <v>45807</v>
      </c>
      <c r="F83" s="14" t="s">
        <v>23</v>
      </c>
      <c r="G83" s="16">
        <v>1.5</v>
      </c>
    </row>
    <row r="84" spans="1:7" x14ac:dyDescent="0.25">
      <c r="A84" s="13" t="s">
        <v>1627</v>
      </c>
      <c r="B84" s="13">
        <v>1698</v>
      </c>
      <c r="C84" s="14" t="str">
        <f>+VLOOKUP(B84,[1]LISTE!$A$1:$D$431,4,FALSE)</f>
        <v>BEL HADJ NABIL</v>
      </c>
      <c r="D84" s="14" t="s">
        <v>1628</v>
      </c>
      <c r="E84" s="15">
        <v>45807</v>
      </c>
      <c r="F84" s="14" t="s">
        <v>20</v>
      </c>
      <c r="G84" s="16">
        <v>20.419</v>
      </c>
    </row>
    <row r="85" spans="1:7" x14ac:dyDescent="0.25">
      <c r="A85" s="13" t="s">
        <v>1629</v>
      </c>
      <c r="B85" s="13">
        <v>1698</v>
      </c>
      <c r="C85" s="14" t="str">
        <f>+VLOOKUP(B85,[1]LISTE!$A$1:$D$431,4,FALSE)</f>
        <v>BEL HADJ NABIL</v>
      </c>
      <c r="D85" s="14" t="s">
        <v>200</v>
      </c>
      <c r="E85" s="15">
        <v>45808</v>
      </c>
      <c r="F85" s="14" t="s">
        <v>23</v>
      </c>
      <c r="G85" s="16">
        <v>1.5</v>
      </c>
    </row>
    <row r="86" spans="1:7" x14ac:dyDescent="0.25">
      <c r="A86" s="13" t="s">
        <v>1629</v>
      </c>
      <c r="B86" s="13">
        <v>1698</v>
      </c>
      <c r="C86" s="14" t="str">
        <f>+VLOOKUP(B86,[1]LISTE!$A$1:$D$431,4,FALSE)</f>
        <v>BEL HADJ NABIL</v>
      </c>
      <c r="D86" s="14" t="s">
        <v>200</v>
      </c>
      <c r="E86" s="15">
        <v>45808</v>
      </c>
      <c r="F86" s="14" t="s">
        <v>20</v>
      </c>
      <c r="G86" s="16">
        <v>35.918999999999997</v>
      </c>
    </row>
    <row r="87" spans="1:7" x14ac:dyDescent="0.25">
      <c r="A87" s="13" t="s">
        <v>1597</v>
      </c>
      <c r="B87" s="13">
        <v>1702</v>
      </c>
      <c r="C87" s="14" t="str">
        <f>+VLOOKUP(B87,[1]LISTE!$A$1:$D$431,4,FALSE)</f>
        <v>JAIET WALID</v>
      </c>
      <c r="D87" s="14" t="s">
        <v>22</v>
      </c>
      <c r="E87" s="15">
        <v>45798</v>
      </c>
      <c r="F87" s="14" t="s">
        <v>18</v>
      </c>
      <c r="G87" s="16">
        <v>70</v>
      </c>
    </row>
    <row r="88" spans="1:7" x14ac:dyDescent="0.25">
      <c r="A88" s="13" t="s">
        <v>1597</v>
      </c>
      <c r="B88" s="13">
        <v>1702</v>
      </c>
      <c r="C88" s="14" t="str">
        <f>+VLOOKUP(B88,[1]LISTE!$A$1:$D$431,4,FALSE)</f>
        <v>JAIET WALID</v>
      </c>
      <c r="D88" s="15" t="s">
        <v>22</v>
      </c>
      <c r="E88" s="15">
        <v>45798</v>
      </c>
      <c r="F88" s="14" t="s">
        <v>20</v>
      </c>
      <c r="G88" s="16">
        <v>4.4950000000000001</v>
      </c>
    </row>
    <row r="89" spans="1:7" x14ac:dyDescent="0.25">
      <c r="A89" s="13" t="s">
        <v>1597</v>
      </c>
      <c r="B89" s="13">
        <v>1702</v>
      </c>
      <c r="C89" s="14" t="str">
        <f>+VLOOKUP(B89,[1]LISTE!$A$1:$D$431,4,FALSE)</f>
        <v>JAIET WALID</v>
      </c>
      <c r="D89" s="14" t="s">
        <v>22</v>
      </c>
      <c r="E89" s="15">
        <v>45798</v>
      </c>
      <c r="F89" s="14" t="s">
        <v>21</v>
      </c>
      <c r="G89" s="16">
        <v>60</v>
      </c>
    </row>
    <row r="90" spans="1:7" x14ac:dyDescent="0.25">
      <c r="A90" s="13" t="s">
        <v>1646</v>
      </c>
      <c r="B90" s="13">
        <v>1704</v>
      </c>
      <c r="C90" s="14" t="str">
        <f>+VLOOKUP(B90,[1]LISTE!$A$1:$D$431,4,FALSE)</f>
        <v>EL GAZZAH RIADH</v>
      </c>
      <c r="D90" s="14" t="s">
        <v>472</v>
      </c>
      <c r="E90" s="15">
        <v>45808</v>
      </c>
      <c r="F90" s="14" t="s">
        <v>18</v>
      </c>
      <c r="G90" s="16">
        <v>70</v>
      </c>
    </row>
    <row r="91" spans="1:7" x14ac:dyDescent="0.25">
      <c r="A91" s="13" t="s">
        <v>1646</v>
      </c>
      <c r="B91" s="13">
        <v>1704</v>
      </c>
      <c r="C91" s="14" t="str">
        <f>+VLOOKUP(B91,[1]LISTE!$A$1:$D$431,4,FALSE)</f>
        <v>EL GAZZAH RIADH</v>
      </c>
      <c r="D91" s="14" t="s">
        <v>472</v>
      </c>
      <c r="E91" s="15">
        <v>45808</v>
      </c>
      <c r="F91" s="14" t="s">
        <v>20</v>
      </c>
      <c r="G91" s="16">
        <v>61.506999999999998</v>
      </c>
    </row>
    <row r="92" spans="1:7" x14ac:dyDescent="0.25">
      <c r="A92" s="13" t="s">
        <v>1614</v>
      </c>
      <c r="B92" s="13">
        <v>1706</v>
      </c>
      <c r="C92" s="14" t="str">
        <f>+VLOOKUP(B92,[1]LISTE!$A$1:$D$431,4,FALSE)</f>
        <v>GRIRA LOKHDHIRI FREDJ</v>
      </c>
      <c r="D92" s="15" t="s">
        <v>82</v>
      </c>
      <c r="E92" s="15">
        <v>45783</v>
      </c>
      <c r="F92" s="14" t="s">
        <v>18</v>
      </c>
      <c r="G92" s="16">
        <v>70</v>
      </c>
    </row>
    <row r="93" spans="1:7" x14ac:dyDescent="0.25">
      <c r="A93" s="13" t="s">
        <v>1614</v>
      </c>
      <c r="B93" s="13">
        <v>1706</v>
      </c>
      <c r="C93" s="14" t="str">
        <f>+VLOOKUP(B93,[1]LISTE!$A$1:$D$431,4,FALSE)</f>
        <v>GRIRA LOKHDHIRI FREDJ</v>
      </c>
      <c r="D93" s="14" t="s">
        <v>82</v>
      </c>
      <c r="E93" s="15">
        <v>45783</v>
      </c>
      <c r="F93" s="14" t="s">
        <v>20</v>
      </c>
      <c r="G93" s="16">
        <v>172.23599999999999</v>
      </c>
    </row>
    <row r="94" spans="1:7" x14ac:dyDescent="0.25">
      <c r="A94" s="13" t="s">
        <v>1601</v>
      </c>
      <c r="B94" s="13">
        <v>1768</v>
      </c>
      <c r="C94" s="14" t="str">
        <f>+VLOOKUP(B94,[1]LISTE!$A$1:$D$431,4,FALSE)</f>
        <v>LADJIMI MAHER</v>
      </c>
      <c r="D94" s="14" t="s">
        <v>206</v>
      </c>
      <c r="E94" s="15">
        <v>45799</v>
      </c>
      <c r="F94" s="14" t="s">
        <v>18</v>
      </c>
      <c r="G94" s="16">
        <v>70</v>
      </c>
    </row>
    <row r="95" spans="1:7" x14ac:dyDescent="0.25">
      <c r="A95" s="13" t="s">
        <v>1601</v>
      </c>
      <c r="B95" s="13">
        <v>1768</v>
      </c>
      <c r="C95" s="14" t="str">
        <f>+VLOOKUP(B95,[1]LISTE!$A$1:$D$431,4,FALSE)</f>
        <v>LADJIMI MAHER</v>
      </c>
      <c r="D95" s="15" t="s">
        <v>206</v>
      </c>
      <c r="E95" s="15">
        <v>45804</v>
      </c>
      <c r="F95" s="14" t="s">
        <v>69</v>
      </c>
      <c r="G95" s="16">
        <v>477</v>
      </c>
    </row>
    <row r="96" spans="1:7" x14ac:dyDescent="0.25">
      <c r="A96" s="13" t="s">
        <v>1602</v>
      </c>
      <c r="B96" s="13">
        <v>1768</v>
      </c>
      <c r="C96" s="14" t="str">
        <f>+VLOOKUP(B96,[1]LISTE!$A$1:$D$431,4,FALSE)</f>
        <v>LADJIMI MAHER</v>
      </c>
      <c r="D96" s="15" t="s">
        <v>206</v>
      </c>
      <c r="E96" s="15">
        <v>45786</v>
      </c>
      <c r="F96" s="14" t="s">
        <v>18</v>
      </c>
      <c r="G96" s="16">
        <v>80</v>
      </c>
    </row>
    <row r="97" spans="1:7" x14ac:dyDescent="0.25">
      <c r="A97" s="13" t="s">
        <v>1602</v>
      </c>
      <c r="B97" s="13">
        <v>1768</v>
      </c>
      <c r="C97" s="14" t="str">
        <f>+VLOOKUP(B97,[1]LISTE!$A$1:$D$431,4,FALSE)</f>
        <v>LADJIMI MAHER</v>
      </c>
      <c r="D97" s="14" t="s">
        <v>206</v>
      </c>
      <c r="E97" s="15">
        <v>45786</v>
      </c>
      <c r="F97" s="14" t="s">
        <v>20</v>
      </c>
      <c r="G97" s="16">
        <v>112.985</v>
      </c>
    </row>
    <row r="98" spans="1:7" x14ac:dyDescent="0.25">
      <c r="A98" s="13" t="s">
        <v>1573</v>
      </c>
      <c r="B98" s="13">
        <v>1773</v>
      </c>
      <c r="C98" s="14" t="str">
        <f>+VLOOKUP(B98,[1]LISTE!$A$1:$D$431,4,FALSE)</f>
        <v>GAIEB SAMI</v>
      </c>
      <c r="D98" s="15" t="s">
        <v>22</v>
      </c>
      <c r="E98" s="15">
        <v>45806</v>
      </c>
      <c r="F98" s="14" t="s">
        <v>18</v>
      </c>
      <c r="G98" s="16">
        <v>90</v>
      </c>
    </row>
    <row r="99" spans="1:7" x14ac:dyDescent="0.25">
      <c r="A99" s="13" t="s">
        <v>1573</v>
      </c>
      <c r="B99" s="13">
        <v>1773</v>
      </c>
      <c r="C99" s="14" t="str">
        <f>+VLOOKUP(B99,[1]LISTE!$A$1:$D$431,4,FALSE)</f>
        <v>GAIEB SAMI</v>
      </c>
      <c r="D99" s="14" t="s">
        <v>22</v>
      </c>
      <c r="E99" s="15">
        <v>45806</v>
      </c>
      <c r="F99" s="14" t="s">
        <v>525</v>
      </c>
      <c r="G99" s="16">
        <v>130</v>
      </c>
    </row>
    <row r="100" spans="1:7" x14ac:dyDescent="0.25">
      <c r="A100" s="13" t="s">
        <v>1642</v>
      </c>
      <c r="B100" s="13">
        <v>1774</v>
      </c>
      <c r="C100" s="14" t="str">
        <f>+VLOOKUP(B100,[1]LISTE!$A$1:$D$431,4,FALSE)</f>
        <v>BEN SALEM FAOUZI</v>
      </c>
      <c r="D100" s="14" t="s">
        <v>22</v>
      </c>
      <c r="E100" s="15">
        <v>45806</v>
      </c>
      <c r="F100" s="14" t="s">
        <v>23</v>
      </c>
      <c r="G100" s="16">
        <v>20</v>
      </c>
    </row>
    <row r="101" spans="1:7" x14ac:dyDescent="0.25">
      <c r="A101" s="13" t="s">
        <v>1642</v>
      </c>
      <c r="B101" s="13">
        <v>1774</v>
      </c>
      <c r="C101" s="14" t="str">
        <f>+VLOOKUP(B101,[1]LISTE!$A$1:$D$431,4,FALSE)</f>
        <v>BEN SALEM FAOUZI</v>
      </c>
      <c r="D101" s="15" t="s">
        <v>22</v>
      </c>
      <c r="E101" s="15">
        <v>45808</v>
      </c>
      <c r="F101" s="14" t="s">
        <v>20</v>
      </c>
      <c r="G101" s="16">
        <v>170.37</v>
      </c>
    </row>
    <row r="102" spans="1:7" x14ac:dyDescent="0.25">
      <c r="A102" s="13" t="s">
        <v>1581</v>
      </c>
      <c r="B102" s="13">
        <v>1782</v>
      </c>
      <c r="C102" s="14" t="str">
        <f>+VLOOKUP(B102,[1]LISTE!$A$1:$D$431,4,FALSE)</f>
        <v>IBRAHIM JAMEL</v>
      </c>
      <c r="D102" s="14" t="s">
        <v>22</v>
      </c>
      <c r="E102" s="15">
        <v>45804</v>
      </c>
      <c r="F102" s="14" t="s">
        <v>23</v>
      </c>
      <c r="G102" s="16">
        <v>45</v>
      </c>
    </row>
    <row r="103" spans="1:7" x14ac:dyDescent="0.25">
      <c r="A103" s="13" t="s">
        <v>1581</v>
      </c>
      <c r="B103" s="13">
        <v>1782</v>
      </c>
      <c r="C103" s="14" t="str">
        <f>+VLOOKUP(B103,[1]LISTE!$A$1:$D$431,4,FALSE)</f>
        <v>IBRAHIM JAMEL</v>
      </c>
      <c r="D103" s="15" t="s">
        <v>22</v>
      </c>
      <c r="E103" s="15">
        <v>45804</v>
      </c>
      <c r="F103" s="14" t="s">
        <v>20</v>
      </c>
      <c r="G103" s="16">
        <v>37.515000000000001</v>
      </c>
    </row>
    <row r="104" spans="1:7" x14ac:dyDescent="0.25">
      <c r="A104" s="13" t="s">
        <v>1584</v>
      </c>
      <c r="B104" s="13">
        <v>1787</v>
      </c>
      <c r="C104" s="14" t="str">
        <f>+VLOOKUP(B104,[1]LISTE!$A$1:$D$431,4,FALSE)</f>
        <v>BEN ALITA NEBIL</v>
      </c>
      <c r="D104" s="15" t="s">
        <v>22</v>
      </c>
      <c r="E104" s="15">
        <v>45805</v>
      </c>
      <c r="F104" s="14" t="s">
        <v>23</v>
      </c>
      <c r="G104" s="16">
        <v>7</v>
      </c>
    </row>
    <row r="105" spans="1:7" x14ac:dyDescent="0.25">
      <c r="A105" s="13" t="s">
        <v>1584</v>
      </c>
      <c r="B105" s="13">
        <v>1787</v>
      </c>
      <c r="C105" s="14" t="str">
        <f>+VLOOKUP(B105,[1]LISTE!$A$1:$D$431,4,FALSE)</f>
        <v>BEN ALITA NEBIL</v>
      </c>
      <c r="D105" s="14" t="s">
        <v>22</v>
      </c>
      <c r="E105" s="15">
        <v>45805</v>
      </c>
      <c r="F105" s="14" t="s">
        <v>20</v>
      </c>
      <c r="G105" s="16">
        <v>24.215</v>
      </c>
    </row>
    <row r="106" spans="1:7" x14ac:dyDescent="0.25">
      <c r="A106" s="13" t="s">
        <v>1584</v>
      </c>
      <c r="B106" s="13">
        <v>1787</v>
      </c>
      <c r="C106" s="14" t="str">
        <f>+VLOOKUP(B106,[1]LISTE!$A$1:$D$431,4,FALSE)</f>
        <v>BEN ALITA NEBIL</v>
      </c>
      <c r="D106" s="14" t="s">
        <v>22</v>
      </c>
      <c r="E106" s="15">
        <v>45806</v>
      </c>
      <c r="F106" s="14" t="s">
        <v>20</v>
      </c>
      <c r="G106" s="16">
        <v>40.935000000000002</v>
      </c>
    </row>
    <row r="107" spans="1:7" x14ac:dyDescent="0.25">
      <c r="A107" s="13" t="s">
        <v>1584</v>
      </c>
      <c r="B107" s="13">
        <v>1787</v>
      </c>
      <c r="C107" s="14" t="str">
        <f>+VLOOKUP(B107,[1]LISTE!$A$1:$D$431,4,FALSE)</f>
        <v>BEN ALITA NEBIL</v>
      </c>
      <c r="D107" s="15" t="s">
        <v>22</v>
      </c>
      <c r="E107" s="15">
        <v>45806</v>
      </c>
      <c r="F107" s="14" t="s">
        <v>21</v>
      </c>
      <c r="G107" s="16">
        <v>4.5</v>
      </c>
    </row>
    <row r="108" spans="1:7" x14ac:dyDescent="0.25">
      <c r="A108" s="13" t="s">
        <v>1632</v>
      </c>
      <c r="B108" s="13">
        <v>1787</v>
      </c>
      <c r="C108" s="14" t="str">
        <f>+VLOOKUP(B108,[1]LISTE!$A$1:$D$431,4,FALSE)</f>
        <v>BEN ALITA NEBIL</v>
      </c>
      <c r="D108" s="15" t="s">
        <v>22</v>
      </c>
      <c r="E108" s="15">
        <v>45810</v>
      </c>
      <c r="F108" s="14" t="s">
        <v>23</v>
      </c>
      <c r="G108" s="16">
        <v>20</v>
      </c>
    </row>
    <row r="109" spans="1:7" x14ac:dyDescent="0.25">
      <c r="A109" s="13" t="s">
        <v>1632</v>
      </c>
      <c r="B109" s="13">
        <v>1787</v>
      </c>
      <c r="C109" s="14" t="str">
        <f>+VLOOKUP(B109,[1]LISTE!$A$1:$D$431,4,FALSE)</f>
        <v>BEN ALITA NEBIL</v>
      </c>
      <c r="D109" s="14" t="s">
        <v>22</v>
      </c>
      <c r="E109" s="15">
        <v>45810</v>
      </c>
      <c r="F109" s="14" t="s">
        <v>19</v>
      </c>
      <c r="G109" s="16">
        <v>10.925000000000001</v>
      </c>
    </row>
    <row r="110" spans="1:7" x14ac:dyDescent="0.25">
      <c r="A110" s="13" t="s">
        <v>1632</v>
      </c>
      <c r="B110" s="13">
        <v>1787</v>
      </c>
      <c r="C110" s="14" t="str">
        <f>+VLOOKUP(B110,[1]LISTE!$A$1:$D$431,4,FALSE)</f>
        <v>BEN ALITA NEBIL</v>
      </c>
      <c r="D110" s="15" t="s">
        <v>22</v>
      </c>
      <c r="E110" s="15">
        <v>45810</v>
      </c>
      <c r="F110" s="14" t="s">
        <v>20</v>
      </c>
      <c r="G110" s="16">
        <v>8.16</v>
      </c>
    </row>
    <row r="111" spans="1:7" x14ac:dyDescent="0.25">
      <c r="A111" s="13" t="s">
        <v>1640</v>
      </c>
      <c r="B111" s="13">
        <v>1787</v>
      </c>
      <c r="C111" s="14" t="str">
        <f>+VLOOKUP(B111,[1]LISTE!$A$1:$D$431,4,FALSE)</f>
        <v>BEN ALITA NEBIL</v>
      </c>
      <c r="D111" s="15" t="s">
        <v>1641</v>
      </c>
      <c r="E111" s="15">
        <v>45810</v>
      </c>
      <c r="F111" s="14" t="s">
        <v>23</v>
      </c>
      <c r="G111" s="16">
        <v>20</v>
      </c>
    </row>
    <row r="112" spans="1:7" x14ac:dyDescent="0.25">
      <c r="A112" s="13" t="s">
        <v>1640</v>
      </c>
      <c r="B112" s="13">
        <v>1787</v>
      </c>
      <c r="C112" s="14" t="str">
        <f>+VLOOKUP(B112,[1]LISTE!$A$1:$D$431,4,FALSE)</f>
        <v>BEN ALITA NEBIL</v>
      </c>
      <c r="D112" s="15" t="s">
        <v>1641</v>
      </c>
      <c r="E112" s="15">
        <v>45810</v>
      </c>
      <c r="F112" s="14" t="s">
        <v>20</v>
      </c>
      <c r="G112" s="16">
        <v>24.826000000000001</v>
      </c>
    </row>
    <row r="113" spans="1:7" x14ac:dyDescent="0.25">
      <c r="A113" s="13" t="s">
        <v>1670</v>
      </c>
      <c r="B113" s="13">
        <v>1796</v>
      </c>
      <c r="C113" s="14" t="str">
        <f>+VLOOKUP(B113,[1]LISTE!$A$1:$D$431,4,FALSE)</f>
        <v>BEL HADJ HASSINE IMED</v>
      </c>
      <c r="D113" s="15" t="s">
        <v>22</v>
      </c>
      <c r="E113" s="15">
        <v>45790</v>
      </c>
      <c r="F113" s="14" t="s">
        <v>18</v>
      </c>
      <c r="G113" s="16">
        <v>70</v>
      </c>
    </row>
    <row r="114" spans="1:7" x14ac:dyDescent="0.25">
      <c r="A114" s="13" t="s">
        <v>1670</v>
      </c>
      <c r="B114" s="13">
        <v>1796</v>
      </c>
      <c r="C114" s="14" t="str">
        <f>+VLOOKUP(B114,[1]LISTE!$A$1:$D$431,4,FALSE)</f>
        <v>BEL HADJ HASSINE IMED</v>
      </c>
      <c r="D114" s="14" t="s">
        <v>22</v>
      </c>
      <c r="E114" s="15">
        <v>45817</v>
      </c>
      <c r="F114" s="14" t="s">
        <v>20</v>
      </c>
      <c r="G114" s="16">
        <v>22.766999999999999</v>
      </c>
    </row>
    <row r="115" spans="1:7" x14ac:dyDescent="0.25">
      <c r="A115" s="13" t="s">
        <v>1572</v>
      </c>
      <c r="B115" s="13">
        <v>1803</v>
      </c>
      <c r="C115" s="14" t="str">
        <f>+VLOOKUP(B115,[1]LISTE!$A$1:$D$431,4,FALSE)</f>
        <v>GAM HAMDI</v>
      </c>
      <c r="D115" s="15" t="s">
        <v>22</v>
      </c>
      <c r="E115" s="15">
        <v>45806</v>
      </c>
      <c r="F115" s="14" t="s">
        <v>18</v>
      </c>
      <c r="G115" s="16">
        <v>60</v>
      </c>
    </row>
    <row r="116" spans="1:7" x14ac:dyDescent="0.25">
      <c r="A116" s="13" t="s">
        <v>1609</v>
      </c>
      <c r="B116" s="13">
        <v>1803</v>
      </c>
      <c r="C116" s="14" t="str">
        <f>+VLOOKUP(B116,[1]LISTE!$A$1:$D$431,4,FALSE)</f>
        <v>GAM HAMDI</v>
      </c>
      <c r="D116" s="15" t="s">
        <v>22</v>
      </c>
      <c r="E116" s="15">
        <v>45806</v>
      </c>
      <c r="F116" s="14" t="s">
        <v>18</v>
      </c>
      <c r="G116" s="16">
        <v>100</v>
      </c>
    </row>
    <row r="117" spans="1:7" x14ac:dyDescent="0.25">
      <c r="A117" s="13" t="s">
        <v>1609</v>
      </c>
      <c r="B117" s="13">
        <v>1803</v>
      </c>
      <c r="C117" s="14" t="str">
        <f>+VLOOKUP(B117,[1]LISTE!$A$1:$D$431,4,FALSE)</f>
        <v>GAM HAMDI</v>
      </c>
      <c r="D117" s="14" t="s">
        <v>22</v>
      </c>
      <c r="E117" s="15">
        <v>45806</v>
      </c>
      <c r="F117" s="14" t="s">
        <v>20</v>
      </c>
      <c r="G117" s="16">
        <v>96.72</v>
      </c>
    </row>
    <row r="118" spans="1:7" x14ac:dyDescent="0.25">
      <c r="A118" s="13" t="s">
        <v>1609</v>
      </c>
      <c r="B118" s="13">
        <v>1803</v>
      </c>
      <c r="C118" s="14" t="str">
        <f>+VLOOKUP(B118,[1]LISTE!$A$1:$D$431,4,FALSE)</f>
        <v>GAM HAMDI</v>
      </c>
      <c r="D118" s="14" t="s">
        <v>22</v>
      </c>
      <c r="E118" s="15">
        <v>45806</v>
      </c>
      <c r="F118" s="14" t="s">
        <v>363</v>
      </c>
      <c r="G118" s="16">
        <v>200</v>
      </c>
    </row>
    <row r="119" spans="1:7" x14ac:dyDescent="0.25">
      <c r="A119" s="13" t="s">
        <v>1609</v>
      </c>
      <c r="B119" s="13">
        <v>1803</v>
      </c>
      <c r="C119" s="14" t="str">
        <f>+VLOOKUP(B119,[1]LISTE!$A$1:$D$431,4,FALSE)</f>
        <v>GAM HAMDI</v>
      </c>
      <c r="D119" s="15" t="s">
        <v>22</v>
      </c>
      <c r="E119" s="15">
        <v>45806</v>
      </c>
      <c r="F119" s="14" t="s">
        <v>364</v>
      </c>
      <c r="G119" s="16">
        <v>314.56599999999997</v>
      </c>
    </row>
    <row r="120" spans="1:7" x14ac:dyDescent="0.25">
      <c r="A120" s="13" t="s">
        <v>1603</v>
      </c>
      <c r="B120" s="13">
        <v>1809</v>
      </c>
      <c r="C120" s="14" t="str">
        <f>+VLOOKUP(B120,[1]LISTE!$A$1:$D$431,4,FALSE)</f>
        <v>JUILI AFIF</v>
      </c>
      <c r="D120" s="14" t="s">
        <v>22</v>
      </c>
      <c r="E120" s="15">
        <v>45804</v>
      </c>
      <c r="F120" s="14" t="s">
        <v>23</v>
      </c>
      <c r="G120" s="16">
        <v>40</v>
      </c>
    </row>
    <row r="121" spans="1:7" x14ac:dyDescent="0.25">
      <c r="A121" s="13" t="s">
        <v>1603</v>
      </c>
      <c r="B121" s="13">
        <v>1809</v>
      </c>
      <c r="C121" s="14" t="str">
        <f>+VLOOKUP(B121,[1]LISTE!$A$1:$D$431,4,FALSE)</f>
        <v>JUILI AFIF</v>
      </c>
      <c r="D121" s="14" t="s">
        <v>22</v>
      </c>
      <c r="E121" s="15">
        <v>45804</v>
      </c>
      <c r="F121" s="14" t="s">
        <v>20</v>
      </c>
      <c r="G121" s="16">
        <v>42.43</v>
      </c>
    </row>
    <row r="122" spans="1:7" x14ac:dyDescent="0.25">
      <c r="A122" s="13" t="s">
        <v>1576</v>
      </c>
      <c r="B122" s="13">
        <v>1810</v>
      </c>
      <c r="C122" s="14" t="str">
        <f>+VLOOKUP(B122,[1]LISTE!$A$1:$D$431,4,FALSE)</f>
        <v>GHEZEL SOFIANE</v>
      </c>
      <c r="D122" s="15" t="s">
        <v>694</v>
      </c>
      <c r="E122" s="15">
        <v>45805</v>
      </c>
      <c r="F122" s="14" t="s">
        <v>18</v>
      </c>
      <c r="G122" s="16">
        <v>70</v>
      </c>
    </row>
    <row r="123" spans="1:7" x14ac:dyDescent="0.25">
      <c r="A123" s="13" t="s">
        <v>1576</v>
      </c>
      <c r="B123" s="13">
        <v>1810</v>
      </c>
      <c r="C123" s="14" t="str">
        <f>+VLOOKUP(B123,[1]LISTE!$A$1:$D$431,4,FALSE)</f>
        <v>GHEZEL SOFIANE</v>
      </c>
      <c r="D123" s="15" t="s">
        <v>694</v>
      </c>
      <c r="E123" s="15">
        <v>45805</v>
      </c>
      <c r="F123" s="14" t="s">
        <v>20</v>
      </c>
      <c r="G123" s="16">
        <v>88.421000000000006</v>
      </c>
    </row>
    <row r="124" spans="1:7" x14ac:dyDescent="0.25">
      <c r="A124" s="13" t="s">
        <v>1583</v>
      </c>
      <c r="B124" s="13">
        <v>1814</v>
      </c>
      <c r="C124" s="14" t="str">
        <f>+VLOOKUP(B124,[1]LISTE!$A$1:$D$431,4,FALSE)</f>
        <v>BEL ARBIA SLAH</v>
      </c>
      <c r="D124" s="15" t="s">
        <v>22</v>
      </c>
      <c r="E124" s="15">
        <v>45804</v>
      </c>
      <c r="F124" s="14" t="s">
        <v>23</v>
      </c>
      <c r="G124" s="16">
        <v>20</v>
      </c>
    </row>
    <row r="125" spans="1:7" x14ac:dyDescent="0.25">
      <c r="A125" s="13" t="s">
        <v>1583</v>
      </c>
      <c r="B125" s="13">
        <v>1814</v>
      </c>
      <c r="C125" s="14" t="str">
        <f>+VLOOKUP(B125,[1]LISTE!$A$1:$D$431,4,FALSE)</f>
        <v>BEL ARBIA SLAH</v>
      </c>
      <c r="D125" s="15" t="s">
        <v>22</v>
      </c>
      <c r="E125" s="15">
        <v>45804</v>
      </c>
      <c r="F125" s="14" t="s">
        <v>20</v>
      </c>
      <c r="G125" s="16">
        <v>2.379</v>
      </c>
    </row>
    <row r="126" spans="1:7" x14ac:dyDescent="0.25">
      <c r="A126" s="13" t="s">
        <v>1631</v>
      </c>
      <c r="B126" s="13">
        <v>1814</v>
      </c>
      <c r="C126" s="14" t="str">
        <f>+VLOOKUP(B126,[1]LISTE!$A$1:$D$431,4,FALSE)</f>
        <v>BEL ARBIA SLAH</v>
      </c>
      <c r="D126" s="14" t="s">
        <v>641</v>
      </c>
      <c r="E126" s="15">
        <v>45810</v>
      </c>
      <c r="F126" s="14" t="s">
        <v>23</v>
      </c>
      <c r="G126" s="16">
        <v>20</v>
      </c>
    </row>
    <row r="127" spans="1:7" x14ac:dyDescent="0.25">
      <c r="A127" s="13" t="s">
        <v>1631</v>
      </c>
      <c r="B127" s="13">
        <v>1814</v>
      </c>
      <c r="C127" s="14" t="str">
        <f>+VLOOKUP(B127,[1]LISTE!$A$1:$D$431,4,FALSE)</f>
        <v>BEL ARBIA SLAH</v>
      </c>
      <c r="D127" s="14" t="s">
        <v>641</v>
      </c>
      <c r="E127" s="15">
        <v>45810</v>
      </c>
      <c r="F127" s="14" t="s">
        <v>20</v>
      </c>
      <c r="G127" s="16">
        <v>18.651</v>
      </c>
    </row>
    <row r="128" spans="1:7" x14ac:dyDescent="0.25">
      <c r="A128" s="13" t="s">
        <v>1631</v>
      </c>
      <c r="B128" s="13">
        <v>1814</v>
      </c>
      <c r="C128" s="14" t="str">
        <f>+VLOOKUP(B128,[1]LISTE!$A$1:$D$431,4,FALSE)</f>
        <v>BEL ARBIA SLAH</v>
      </c>
      <c r="D128" s="15" t="s">
        <v>641</v>
      </c>
      <c r="E128" s="15">
        <v>45810</v>
      </c>
      <c r="F128" s="14" t="s">
        <v>19</v>
      </c>
      <c r="G128" s="16">
        <v>25.68</v>
      </c>
    </row>
    <row r="129" spans="1:7" x14ac:dyDescent="0.25">
      <c r="A129" s="13" t="s">
        <v>1633</v>
      </c>
      <c r="B129" s="13">
        <v>1819</v>
      </c>
      <c r="C129" s="14" t="str">
        <f>+VLOOKUP(B129,[1]LISTE!$A$1:$D$431,4,FALSE)</f>
        <v>SASSI MOHAMED WALID</v>
      </c>
      <c r="D129" s="15" t="s">
        <v>1634</v>
      </c>
      <c r="E129" s="15">
        <v>45803</v>
      </c>
      <c r="F129" s="14" t="s">
        <v>23</v>
      </c>
      <c r="G129" s="16">
        <v>70</v>
      </c>
    </row>
    <row r="130" spans="1:7" x14ac:dyDescent="0.25">
      <c r="A130" s="13" t="s">
        <v>1633</v>
      </c>
      <c r="B130" s="13">
        <v>1819</v>
      </c>
      <c r="C130" s="14" t="str">
        <f>+VLOOKUP(B130,[1]LISTE!$A$1:$D$431,4,FALSE)</f>
        <v>SASSI MOHAMED WALID</v>
      </c>
      <c r="D130" s="15" t="s">
        <v>1634</v>
      </c>
      <c r="E130" s="15">
        <v>45803</v>
      </c>
      <c r="F130" s="14" t="s">
        <v>20</v>
      </c>
      <c r="G130" s="16">
        <v>2.7149999999999999</v>
      </c>
    </row>
    <row r="131" spans="1:7" x14ac:dyDescent="0.25">
      <c r="A131" s="13" t="s">
        <v>1633</v>
      </c>
      <c r="B131" s="13">
        <v>1819</v>
      </c>
      <c r="C131" s="14" t="str">
        <f>+VLOOKUP(B131,[1]LISTE!$A$1:$D$431,4,FALSE)</f>
        <v>SASSI MOHAMED WALID</v>
      </c>
      <c r="D131" s="14" t="s">
        <v>1634</v>
      </c>
      <c r="E131" s="15">
        <v>45805</v>
      </c>
      <c r="F131" s="14" t="s">
        <v>21</v>
      </c>
      <c r="G131" s="16">
        <v>60</v>
      </c>
    </row>
    <row r="132" spans="1:7" x14ac:dyDescent="0.25">
      <c r="A132" s="13" t="s">
        <v>1635</v>
      </c>
      <c r="B132" s="13">
        <v>1819</v>
      </c>
      <c r="C132" s="14" t="str">
        <f>+VLOOKUP(B132,[1]LISTE!$A$1:$D$431,4,FALSE)</f>
        <v>SASSI MOHAMED WALID</v>
      </c>
      <c r="D132" s="14" t="s">
        <v>22</v>
      </c>
      <c r="E132" s="15">
        <v>45803</v>
      </c>
      <c r="F132" s="14" t="s">
        <v>23</v>
      </c>
      <c r="G132" s="16">
        <v>70</v>
      </c>
    </row>
    <row r="133" spans="1:7" x14ac:dyDescent="0.25">
      <c r="A133" s="13" t="s">
        <v>1635</v>
      </c>
      <c r="B133" s="13">
        <v>1819</v>
      </c>
      <c r="C133" s="14" t="str">
        <f>+VLOOKUP(B133,[1]LISTE!$A$1:$D$431,4,FALSE)</f>
        <v>SASSI MOHAMED WALID</v>
      </c>
      <c r="D133" s="14" t="s">
        <v>22</v>
      </c>
      <c r="E133" s="15">
        <v>45803</v>
      </c>
      <c r="F133" s="14" t="s">
        <v>20</v>
      </c>
      <c r="G133" s="16">
        <v>21</v>
      </c>
    </row>
    <row r="134" spans="1:7" x14ac:dyDescent="0.25">
      <c r="A134" s="13" t="s">
        <v>1635</v>
      </c>
      <c r="B134" s="13">
        <v>1819</v>
      </c>
      <c r="C134" s="14" t="str">
        <f>+VLOOKUP(B134,[1]LISTE!$A$1:$D$431,4,FALSE)</f>
        <v>SASSI MOHAMED WALID</v>
      </c>
      <c r="D134" s="14" t="s">
        <v>22</v>
      </c>
      <c r="E134" s="15">
        <v>45803</v>
      </c>
      <c r="F134" s="14" t="s">
        <v>24</v>
      </c>
      <c r="G134" s="16">
        <v>100</v>
      </c>
    </row>
    <row r="135" spans="1:7" x14ac:dyDescent="0.25">
      <c r="A135" s="13" t="s">
        <v>1659</v>
      </c>
      <c r="B135" s="13">
        <v>1833</v>
      </c>
      <c r="C135" s="14" t="str">
        <f>+VLOOKUP(B135,[1]LISTE!$A$1:$D$431,4,FALSE)</f>
        <v>BOUZAABIA MOHAMED</v>
      </c>
      <c r="D135" s="14" t="s">
        <v>221</v>
      </c>
      <c r="E135" s="15">
        <v>45817</v>
      </c>
      <c r="F135" s="14" t="s">
        <v>23</v>
      </c>
      <c r="G135" s="16">
        <v>50</v>
      </c>
    </row>
    <row r="136" spans="1:7" x14ac:dyDescent="0.25">
      <c r="A136" s="13" t="s">
        <v>1659</v>
      </c>
      <c r="B136" s="13">
        <v>1833</v>
      </c>
      <c r="C136" s="14" t="str">
        <f>+VLOOKUP(B136,[1]LISTE!$A$1:$D$431,4,FALSE)</f>
        <v>BOUZAABIA MOHAMED</v>
      </c>
      <c r="D136" s="14" t="s">
        <v>221</v>
      </c>
      <c r="E136" s="15">
        <v>45817</v>
      </c>
      <c r="F136" s="14" t="s">
        <v>20</v>
      </c>
      <c r="G136" s="16">
        <v>44.02</v>
      </c>
    </row>
    <row r="137" spans="1:7" x14ac:dyDescent="0.25">
      <c r="A137" s="13" t="s">
        <v>1668</v>
      </c>
      <c r="B137" s="13">
        <v>1833</v>
      </c>
      <c r="C137" s="14" t="str">
        <f>+VLOOKUP(B137,[1]LISTE!$A$1:$D$431,4,FALSE)</f>
        <v>BOUZAABIA MOHAMED</v>
      </c>
      <c r="D137" s="14" t="s">
        <v>79</v>
      </c>
      <c r="E137" s="15">
        <v>45817</v>
      </c>
      <c r="F137" s="14" t="s">
        <v>23</v>
      </c>
      <c r="G137" s="16">
        <v>40</v>
      </c>
    </row>
    <row r="138" spans="1:7" x14ac:dyDescent="0.25">
      <c r="A138" s="13" t="s">
        <v>1668</v>
      </c>
      <c r="B138" s="13">
        <v>1833</v>
      </c>
      <c r="C138" s="14" t="str">
        <f>+VLOOKUP(B138,[1]LISTE!$A$1:$D$431,4,FALSE)</f>
        <v>BOUZAABIA MOHAMED</v>
      </c>
      <c r="D138" s="15" t="s">
        <v>79</v>
      </c>
      <c r="E138" s="15">
        <v>45817</v>
      </c>
      <c r="F138" s="14" t="s">
        <v>20</v>
      </c>
      <c r="G138" s="16">
        <v>112.42700000000001</v>
      </c>
    </row>
    <row r="139" spans="1:7" x14ac:dyDescent="0.25">
      <c r="A139" s="13" t="s">
        <v>1607</v>
      </c>
      <c r="B139" s="13">
        <v>1896</v>
      </c>
      <c r="C139" s="14" t="str">
        <f>+VLOOKUP(B139,[1]LISTE!$A$1:$D$431,4,FALSE)</f>
        <v>LAJIMI ABDELKADER</v>
      </c>
      <c r="D139" s="14" t="s">
        <v>47</v>
      </c>
      <c r="E139" s="15">
        <v>45804</v>
      </c>
      <c r="F139" s="14" t="s">
        <v>18</v>
      </c>
      <c r="G139" s="16">
        <v>70</v>
      </c>
    </row>
    <row r="140" spans="1:7" x14ac:dyDescent="0.25">
      <c r="A140" s="13" t="s">
        <v>1607</v>
      </c>
      <c r="B140" s="13">
        <v>1896</v>
      </c>
      <c r="C140" s="14" t="str">
        <f>+VLOOKUP(B140,[1]LISTE!$A$1:$D$431,4,FALSE)</f>
        <v>LAJIMI ABDELKADER</v>
      </c>
      <c r="D140" s="15" t="s">
        <v>47</v>
      </c>
      <c r="E140" s="15">
        <v>45809</v>
      </c>
      <c r="F140" s="14" t="s">
        <v>20</v>
      </c>
      <c r="G140" s="16">
        <v>11.615</v>
      </c>
    </row>
    <row r="141" spans="1:7" x14ac:dyDescent="0.25">
      <c r="A141" s="13" t="s">
        <v>1654</v>
      </c>
      <c r="B141" s="13">
        <v>1901</v>
      </c>
      <c r="C141" s="14" t="str">
        <f>+VLOOKUP(B141,[1]LISTE!$A$1:$D$431,4,FALSE)</f>
        <v>BACH ZOUHAIER</v>
      </c>
      <c r="D141" s="14" t="s">
        <v>1655</v>
      </c>
      <c r="E141" s="15">
        <v>45793</v>
      </c>
      <c r="F141" s="14" t="s">
        <v>18</v>
      </c>
      <c r="G141" s="16">
        <v>70</v>
      </c>
    </row>
    <row r="142" spans="1:7" x14ac:dyDescent="0.25">
      <c r="A142" s="13" t="s">
        <v>1654</v>
      </c>
      <c r="B142" s="13">
        <v>1901</v>
      </c>
      <c r="C142" s="14" t="str">
        <f>+VLOOKUP(B142,[1]LISTE!$A$1:$D$431,4,FALSE)</f>
        <v>BACH ZOUHAIER</v>
      </c>
      <c r="D142" s="15" t="s">
        <v>1655</v>
      </c>
      <c r="E142" s="15">
        <v>45806</v>
      </c>
      <c r="F142" s="14" t="s">
        <v>20</v>
      </c>
      <c r="G142" s="16">
        <v>158.4</v>
      </c>
    </row>
    <row r="143" spans="1:7" x14ac:dyDescent="0.25">
      <c r="A143" s="13" t="s">
        <v>1654</v>
      </c>
      <c r="B143" s="13">
        <v>1901</v>
      </c>
      <c r="C143" s="14" t="str">
        <f>+VLOOKUP(B143,[1]LISTE!$A$1:$D$431,4,FALSE)</f>
        <v>BACH ZOUHAIER</v>
      </c>
      <c r="D143" s="15" t="s">
        <v>1655</v>
      </c>
      <c r="E143" s="15">
        <v>45793</v>
      </c>
      <c r="F143" s="14" t="s">
        <v>20</v>
      </c>
      <c r="G143" s="16">
        <v>23.23</v>
      </c>
    </row>
    <row r="144" spans="1:7" x14ac:dyDescent="0.25">
      <c r="A144" s="13" t="s">
        <v>1654</v>
      </c>
      <c r="B144" s="13">
        <v>1901</v>
      </c>
      <c r="C144" s="14" t="str">
        <f>+VLOOKUP(B144,[1]LISTE!$A$1:$D$431,4,FALSE)</f>
        <v>BACH ZOUHAIER</v>
      </c>
      <c r="D144" s="14" t="s">
        <v>1655</v>
      </c>
      <c r="E144" s="15">
        <v>45805</v>
      </c>
      <c r="F144" s="14" t="s">
        <v>19</v>
      </c>
      <c r="G144" s="16">
        <v>165.1</v>
      </c>
    </row>
    <row r="145" spans="1:7" x14ac:dyDescent="0.25">
      <c r="A145" s="13" t="s">
        <v>1625</v>
      </c>
      <c r="B145" s="13">
        <v>1921</v>
      </c>
      <c r="C145" s="14" t="str">
        <f>+VLOOKUP(B145,[1]LISTE!$A$1:$D$431,4,FALSE)</f>
        <v>HNIA SAHNOUN</v>
      </c>
      <c r="D145" s="14" t="s">
        <v>22</v>
      </c>
      <c r="E145" s="15">
        <v>45804</v>
      </c>
      <c r="F145" s="14" t="s">
        <v>23</v>
      </c>
      <c r="G145" s="16">
        <v>50</v>
      </c>
    </row>
    <row r="146" spans="1:7" x14ac:dyDescent="0.25">
      <c r="A146" s="13" t="s">
        <v>1625</v>
      </c>
      <c r="B146" s="13">
        <v>1921</v>
      </c>
      <c r="C146" s="14" t="str">
        <f>+VLOOKUP(B146,[1]LISTE!$A$1:$D$431,4,FALSE)</f>
        <v>HNIA SAHNOUN</v>
      </c>
      <c r="D146" s="14" t="s">
        <v>22</v>
      </c>
      <c r="E146" s="15">
        <v>45804</v>
      </c>
      <c r="F146" s="14" t="s">
        <v>20</v>
      </c>
      <c r="G146" s="16">
        <v>3.71</v>
      </c>
    </row>
    <row r="147" spans="1:7" x14ac:dyDescent="0.25">
      <c r="A147" s="13" t="s">
        <v>1625</v>
      </c>
      <c r="B147" s="13">
        <v>1921</v>
      </c>
      <c r="C147" s="14" t="str">
        <f>+VLOOKUP(B147,[1]LISTE!$A$1:$D$431,4,FALSE)</f>
        <v>HNIA SAHNOUN</v>
      </c>
      <c r="D147" s="14" t="s">
        <v>22</v>
      </c>
      <c r="E147" s="15">
        <v>45807</v>
      </c>
      <c r="F147" s="14" t="s">
        <v>24</v>
      </c>
      <c r="G147" s="16">
        <v>90</v>
      </c>
    </row>
    <row r="148" spans="1:7" x14ac:dyDescent="0.25">
      <c r="A148" s="13" t="s">
        <v>1571</v>
      </c>
      <c r="B148" s="13">
        <v>1923</v>
      </c>
      <c r="C148" s="14" t="str">
        <f>+VLOOKUP(B148,[1]LISTE!$A$1:$D$431,4,FALSE)</f>
        <v>BOUAZZA WALID</v>
      </c>
      <c r="D148" s="14" t="s">
        <v>421</v>
      </c>
      <c r="E148" s="15">
        <v>45804</v>
      </c>
      <c r="F148" s="14" t="s">
        <v>18</v>
      </c>
      <c r="G148" s="16">
        <v>70</v>
      </c>
    </row>
    <row r="149" spans="1:7" x14ac:dyDescent="0.25">
      <c r="A149" s="13" t="s">
        <v>1571</v>
      </c>
      <c r="B149" s="13">
        <v>1923</v>
      </c>
      <c r="C149" s="14" t="str">
        <f>+VLOOKUP(B149,[1]LISTE!$A$1:$D$431,4,FALSE)</f>
        <v>BOUAZZA WALID</v>
      </c>
      <c r="D149" s="14" t="s">
        <v>421</v>
      </c>
      <c r="E149" s="15">
        <v>45804</v>
      </c>
      <c r="F149" s="14" t="s">
        <v>20</v>
      </c>
      <c r="G149" s="16">
        <v>49.115000000000002</v>
      </c>
    </row>
    <row r="150" spans="1:7" x14ac:dyDescent="0.25">
      <c r="A150" s="13" t="s">
        <v>1621</v>
      </c>
      <c r="B150" s="13">
        <v>1924</v>
      </c>
      <c r="C150" s="14" t="str">
        <f>+VLOOKUP(B150,[1]LISTE!$A$1:$D$431,4,FALSE)</f>
        <v>BRAHIM Wahiba</v>
      </c>
      <c r="D150" s="15" t="s">
        <v>22</v>
      </c>
      <c r="E150" s="15">
        <v>45808</v>
      </c>
      <c r="F150" s="14" t="s">
        <v>18</v>
      </c>
      <c r="G150" s="16">
        <v>70</v>
      </c>
    </row>
    <row r="151" spans="1:7" x14ac:dyDescent="0.25">
      <c r="A151" s="13" t="s">
        <v>1621</v>
      </c>
      <c r="B151" s="13">
        <v>1924</v>
      </c>
      <c r="C151" s="14" t="str">
        <f>+VLOOKUP(B151,[1]LISTE!$A$1:$D$431,4,FALSE)</f>
        <v>BRAHIM Wahiba</v>
      </c>
      <c r="D151" s="14" t="s">
        <v>22</v>
      </c>
      <c r="E151" s="15">
        <v>45810</v>
      </c>
      <c r="F151" s="14" t="s">
        <v>19</v>
      </c>
      <c r="G151" s="16">
        <v>50.59</v>
      </c>
    </row>
    <row r="152" spans="1:7" x14ac:dyDescent="0.25">
      <c r="A152" s="13" t="s">
        <v>1621</v>
      </c>
      <c r="B152" s="13">
        <v>1924</v>
      </c>
      <c r="C152" s="14" t="str">
        <f>+VLOOKUP(B152,[1]LISTE!$A$1:$D$431,4,FALSE)</f>
        <v>BRAHIM Wahiba</v>
      </c>
      <c r="D152" s="14" t="s">
        <v>22</v>
      </c>
      <c r="E152" s="15">
        <v>45808</v>
      </c>
      <c r="F152" s="14" t="s">
        <v>20</v>
      </c>
      <c r="G152" s="16">
        <v>20.542999999999999</v>
      </c>
    </row>
    <row r="153" spans="1:7" x14ac:dyDescent="0.25">
      <c r="A153" s="13" t="s">
        <v>1623</v>
      </c>
      <c r="B153" s="13">
        <v>1924</v>
      </c>
      <c r="C153" s="14" t="str">
        <f>+VLOOKUP(B153,[1]LISTE!$A$1:$D$431,4,FALSE)</f>
        <v>BRAHIM Wahiba</v>
      </c>
      <c r="D153" s="14" t="s">
        <v>580</v>
      </c>
      <c r="E153" s="15">
        <v>45790</v>
      </c>
      <c r="F153" s="14" t="s">
        <v>20</v>
      </c>
      <c r="G153" s="16">
        <v>129.19499999999999</v>
      </c>
    </row>
    <row r="154" spans="1:7" x14ac:dyDescent="0.25">
      <c r="A154" s="13" t="s">
        <v>1661</v>
      </c>
      <c r="B154" s="13">
        <v>1969</v>
      </c>
      <c r="C154" s="14" t="str">
        <f>+VLOOKUP(B154,[1]LISTE!$A$1:$D$431,4,FALSE)</f>
        <v>BOUKADDIDA MEHREZ</v>
      </c>
      <c r="D154" s="15" t="s">
        <v>436</v>
      </c>
      <c r="E154" s="15">
        <v>45441</v>
      </c>
      <c r="F154" s="14" t="s">
        <v>23</v>
      </c>
      <c r="G154" s="16">
        <v>45</v>
      </c>
    </row>
    <row r="155" spans="1:7" x14ac:dyDescent="0.25">
      <c r="A155" s="13" t="s">
        <v>1661</v>
      </c>
      <c r="B155" s="13">
        <v>1969</v>
      </c>
      <c r="C155" s="14" t="str">
        <f>+VLOOKUP(B155,[1]LISTE!$A$1:$D$431,4,FALSE)</f>
        <v>BOUKADDIDA MEHREZ</v>
      </c>
      <c r="D155" s="14" t="s">
        <v>436</v>
      </c>
      <c r="E155" s="15">
        <v>45812</v>
      </c>
      <c r="F155" s="14" t="s">
        <v>20</v>
      </c>
      <c r="G155" s="16">
        <v>37.308</v>
      </c>
    </row>
    <row r="156" spans="1:7" x14ac:dyDescent="0.25">
      <c r="A156" s="13" t="s">
        <v>1661</v>
      </c>
      <c r="B156" s="13">
        <v>1969</v>
      </c>
      <c r="C156" s="14" t="str">
        <f>+VLOOKUP(B156,[1]LISTE!$A$1:$D$431,4,FALSE)</f>
        <v>BOUKADDIDA MEHREZ</v>
      </c>
      <c r="D156" s="14" t="s">
        <v>436</v>
      </c>
      <c r="E156" s="15">
        <v>45807</v>
      </c>
      <c r="F156" s="14" t="s">
        <v>19</v>
      </c>
      <c r="G156" s="16">
        <v>79.61</v>
      </c>
    </row>
    <row r="157" spans="1:7" x14ac:dyDescent="0.25">
      <c r="A157" s="13" t="s">
        <v>1605</v>
      </c>
      <c r="B157" s="13">
        <v>2014</v>
      </c>
      <c r="C157" s="14" t="str">
        <f>+VLOOKUP(B157,[1]LISTE!$A$1:$D$431,4,FALSE)</f>
        <v>JARRAR MEHDI</v>
      </c>
      <c r="D157" s="14" t="s">
        <v>236</v>
      </c>
      <c r="E157" s="15">
        <v>45784</v>
      </c>
      <c r="F157" s="14" t="s">
        <v>24</v>
      </c>
      <c r="G157" s="16">
        <v>240</v>
      </c>
    </row>
    <row r="158" spans="1:7" x14ac:dyDescent="0.25">
      <c r="A158" s="13" t="s">
        <v>1605</v>
      </c>
      <c r="B158" s="13">
        <v>2014</v>
      </c>
      <c r="C158" s="14" t="str">
        <f>+VLOOKUP(B158,[1]LISTE!$A$1:$D$431,4,FALSE)</f>
        <v>JARRAR MEHDI</v>
      </c>
      <c r="D158" s="14" t="s">
        <v>236</v>
      </c>
      <c r="E158" s="15">
        <v>45779</v>
      </c>
      <c r="F158" s="14" t="s">
        <v>25</v>
      </c>
      <c r="G158" s="16">
        <v>1500</v>
      </c>
    </row>
    <row r="159" spans="1:7" x14ac:dyDescent="0.25">
      <c r="A159" s="13" t="s">
        <v>1662</v>
      </c>
      <c r="B159" s="13">
        <v>2024</v>
      </c>
      <c r="C159" s="14" t="str">
        <f>+VLOOKUP(B159,[1]LISTE!$A$1:$D$431,4,FALSE)</f>
        <v>GUEZGUEZ MOHAMED</v>
      </c>
      <c r="D159" s="14" t="s">
        <v>22</v>
      </c>
      <c r="E159" s="15">
        <v>45806</v>
      </c>
      <c r="F159" s="14" t="s">
        <v>18</v>
      </c>
      <c r="G159" s="16">
        <v>60</v>
      </c>
    </row>
    <row r="160" spans="1:7" x14ac:dyDescent="0.25">
      <c r="A160" s="13" t="s">
        <v>1662</v>
      </c>
      <c r="B160" s="13">
        <v>2024</v>
      </c>
      <c r="C160" s="14" t="str">
        <f>+VLOOKUP(B160,[1]LISTE!$A$1:$D$431,4,FALSE)</f>
        <v>GUEZGUEZ MOHAMED</v>
      </c>
      <c r="D160" s="14" t="s">
        <v>22</v>
      </c>
      <c r="E160" s="15">
        <v>45806</v>
      </c>
      <c r="F160" s="14" t="s">
        <v>20</v>
      </c>
      <c r="G160" s="16">
        <v>12.185</v>
      </c>
    </row>
    <row r="161" spans="1:7" x14ac:dyDescent="0.25">
      <c r="A161" s="13" t="s">
        <v>1615</v>
      </c>
      <c r="B161" s="13">
        <v>2052</v>
      </c>
      <c r="C161" s="14" t="str">
        <f>+VLOOKUP(B161,[1]LISTE!$A$1:$D$431,4,FALSE)</f>
        <v>BEN RAJEH MOHAMED</v>
      </c>
      <c r="D161" s="14" t="s">
        <v>22</v>
      </c>
      <c r="E161" s="15">
        <v>45810</v>
      </c>
      <c r="F161" s="14" t="s">
        <v>23</v>
      </c>
      <c r="G161" s="16">
        <v>35</v>
      </c>
    </row>
    <row r="162" spans="1:7" x14ac:dyDescent="0.25">
      <c r="A162" s="13" t="s">
        <v>1615</v>
      </c>
      <c r="B162" s="13">
        <v>2052</v>
      </c>
      <c r="C162" s="14" t="str">
        <f>+VLOOKUP(B162,[1]LISTE!$A$1:$D$431,4,FALSE)</f>
        <v>BEN RAJEH MOHAMED</v>
      </c>
      <c r="D162" s="14" t="s">
        <v>22</v>
      </c>
      <c r="E162" s="15">
        <v>45810</v>
      </c>
      <c r="F162" s="14" t="s">
        <v>20</v>
      </c>
      <c r="G162" s="16">
        <v>42.753999999999998</v>
      </c>
    </row>
    <row r="163" spans="1:7" x14ac:dyDescent="0.25">
      <c r="A163" s="13" t="s">
        <v>1615</v>
      </c>
      <c r="B163" s="13">
        <v>2052</v>
      </c>
      <c r="C163" s="14" t="str">
        <f>+VLOOKUP(B163,[1]LISTE!$A$1:$D$431,4,FALSE)</f>
        <v>BEN RAJEH MOHAMED</v>
      </c>
      <c r="D163" s="15" t="s">
        <v>22</v>
      </c>
      <c r="E163" s="15">
        <v>45810</v>
      </c>
      <c r="F163" s="14" t="s">
        <v>65</v>
      </c>
      <c r="G163" s="16">
        <v>4.5</v>
      </c>
    </row>
    <row r="164" spans="1:7" x14ac:dyDescent="0.25">
      <c r="A164" s="13" t="s">
        <v>1665</v>
      </c>
      <c r="B164" s="13">
        <v>2061</v>
      </c>
      <c r="C164" s="14" t="str">
        <f>+VLOOKUP(B164,[1]LISTE!$A$1:$D$431,4,FALSE)</f>
        <v>KECHCICHE YASSINE</v>
      </c>
      <c r="D164" s="15" t="s">
        <v>98</v>
      </c>
      <c r="E164" s="15">
        <v>45807</v>
      </c>
      <c r="F164" s="14" t="s">
        <v>23</v>
      </c>
      <c r="G164" s="16">
        <v>50</v>
      </c>
    </row>
    <row r="165" spans="1:7" x14ac:dyDescent="0.25">
      <c r="A165" s="13" t="s">
        <v>1665</v>
      </c>
      <c r="B165" s="13">
        <v>2061</v>
      </c>
      <c r="C165" s="14" t="str">
        <f>+VLOOKUP(B165,[1]LISTE!$A$1:$D$431,4,FALSE)</f>
        <v>KECHCICHE YASSINE</v>
      </c>
      <c r="D165" s="15" t="s">
        <v>98</v>
      </c>
      <c r="E165" s="15">
        <v>45807</v>
      </c>
      <c r="F165" s="14" t="s">
        <v>20</v>
      </c>
      <c r="G165" s="16">
        <v>34.185000000000002</v>
      </c>
    </row>
    <row r="166" spans="1:7" x14ac:dyDescent="0.25">
      <c r="A166" s="13" t="s">
        <v>1665</v>
      </c>
      <c r="B166" s="13">
        <v>2061</v>
      </c>
      <c r="C166" s="14" t="str">
        <f>+VLOOKUP(B166,[1]LISTE!$A$1:$D$431,4,FALSE)</f>
        <v>KECHCICHE YASSINE</v>
      </c>
      <c r="D166" s="14" t="s">
        <v>98</v>
      </c>
      <c r="E166" s="15">
        <v>45817</v>
      </c>
      <c r="F166" s="14" t="s">
        <v>20</v>
      </c>
      <c r="G166" s="16">
        <v>15.555</v>
      </c>
    </row>
    <row r="167" spans="1:7" x14ac:dyDescent="0.25">
      <c r="A167" s="13" t="s">
        <v>1660</v>
      </c>
      <c r="B167" s="13">
        <v>2065</v>
      </c>
      <c r="C167" s="14" t="str">
        <f>+VLOOKUP(B167,[1]LISTE!$A$1:$D$431,4,FALSE)</f>
        <v>CHIHAOUI ALAAEDDINE</v>
      </c>
      <c r="D167" s="14" t="s">
        <v>22</v>
      </c>
      <c r="E167" s="15">
        <v>45813</v>
      </c>
      <c r="F167" s="14" t="s">
        <v>25</v>
      </c>
      <c r="G167" s="16">
        <v>600</v>
      </c>
    </row>
    <row r="168" spans="1:7" x14ac:dyDescent="0.25">
      <c r="A168" s="13" t="s">
        <v>1620</v>
      </c>
      <c r="B168" s="13">
        <v>2084</v>
      </c>
      <c r="C168" s="14" t="str">
        <f>+VLOOKUP(B168,[1]LISTE!$A$1:$D$431,4,FALSE)</f>
        <v>HELALI Emna</v>
      </c>
      <c r="D168" s="15" t="s">
        <v>22</v>
      </c>
      <c r="E168" s="15">
        <v>45808</v>
      </c>
      <c r="F168" s="14" t="s">
        <v>23</v>
      </c>
      <c r="G168" s="16">
        <v>45</v>
      </c>
    </row>
    <row r="169" spans="1:7" x14ac:dyDescent="0.25">
      <c r="A169" s="13" t="s">
        <v>1620</v>
      </c>
      <c r="B169" s="13">
        <v>2084</v>
      </c>
      <c r="C169" s="14" t="str">
        <f>+VLOOKUP(B169,[1]LISTE!$A$1:$D$431,4,FALSE)</f>
        <v>HELALI Emna</v>
      </c>
      <c r="D169" s="14" t="s">
        <v>22</v>
      </c>
      <c r="E169" s="15">
        <v>45808</v>
      </c>
      <c r="F169" s="14" t="s">
        <v>20</v>
      </c>
      <c r="G169" s="16">
        <v>56.844999999999999</v>
      </c>
    </row>
    <row r="170" spans="1:7" x14ac:dyDescent="0.25">
      <c r="A170" s="13" t="s">
        <v>1616</v>
      </c>
      <c r="B170" s="13">
        <v>2124</v>
      </c>
      <c r="C170" s="14" t="str">
        <f>+VLOOKUP(B170,[1]LISTE!$A$1:$D$431,4,FALSE)</f>
        <v>AHMED BEN HADJ MESSAOUD</v>
      </c>
      <c r="D170" s="14" t="s">
        <v>408</v>
      </c>
      <c r="E170" s="15">
        <v>45807</v>
      </c>
      <c r="F170" s="14" t="s">
        <v>23</v>
      </c>
      <c r="G170" s="16">
        <v>35</v>
      </c>
    </row>
    <row r="171" spans="1:7" x14ac:dyDescent="0.25">
      <c r="A171" s="13" t="s">
        <v>1616</v>
      </c>
      <c r="B171" s="13">
        <v>2124</v>
      </c>
      <c r="C171" s="14" t="str">
        <f>+VLOOKUP(B171,[1]LISTE!$A$1:$D$431,4,FALSE)</f>
        <v>AHMED BEN HADJ MESSAOUD</v>
      </c>
      <c r="D171" s="15" t="s">
        <v>408</v>
      </c>
      <c r="E171" s="15">
        <v>45808</v>
      </c>
      <c r="F171" s="14" t="s">
        <v>20</v>
      </c>
      <c r="G171" s="16">
        <v>59.957999999999998</v>
      </c>
    </row>
    <row r="172" spans="1:7" x14ac:dyDescent="0.25">
      <c r="A172" s="13" t="s">
        <v>1617</v>
      </c>
      <c r="B172" s="13">
        <v>2124</v>
      </c>
      <c r="C172" s="14" t="str">
        <f>+VLOOKUP(B172,[1]LISTE!$A$1:$D$431,4,FALSE)</f>
        <v>AHMED BEN HADJ MESSAOUD</v>
      </c>
      <c r="D172" s="15" t="s">
        <v>1618</v>
      </c>
      <c r="E172" s="15">
        <v>45808</v>
      </c>
      <c r="F172" s="14" t="s">
        <v>23</v>
      </c>
      <c r="G172" s="16">
        <v>35</v>
      </c>
    </row>
    <row r="173" spans="1:7" x14ac:dyDescent="0.25">
      <c r="A173" s="13" t="s">
        <v>1617</v>
      </c>
      <c r="B173" s="13">
        <v>2124</v>
      </c>
      <c r="C173" s="14" t="str">
        <f>+VLOOKUP(B173,[1]LISTE!$A$1:$D$431,4,FALSE)</f>
        <v>AHMED BEN HADJ MESSAOUD</v>
      </c>
      <c r="D173" s="14" t="s">
        <v>1618</v>
      </c>
      <c r="E173" s="15">
        <v>45808</v>
      </c>
      <c r="F173" s="14" t="s">
        <v>20</v>
      </c>
      <c r="G173" s="16">
        <v>58.896000000000001</v>
      </c>
    </row>
    <row r="174" spans="1:7" x14ac:dyDescent="0.25">
      <c r="A174" s="13" t="s">
        <v>1619</v>
      </c>
      <c r="B174" s="13">
        <v>2124</v>
      </c>
      <c r="C174" s="14" t="str">
        <f>+VLOOKUP(B174,[1]LISTE!$A$1:$D$431,4,FALSE)</f>
        <v>AHMED BEN HADJ MESSAOUD</v>
      </c>
      <c r="D174" s="14" t="s">
        <v>22</v>
      </c>
      <c r="E174" s="15">
        <v>45808</v>
      </c>
      <c r="F174" s="14" t="s">
        <v>23</v>
      </c>
      <c r="G174" s="16">
        <v>35</v>
      </c>
    </row>
    <row r="175" spans="1:7" x14ac:dyDescent="0.25">
      <c r="A175" s="13" t="s">
        <v>1619</v>
      </c>
      <c r="B175" s="13">
        <v>2124</v>
      </c>
      <c r="C175" s="14" t="str">
        <f>+VLOOKUP(B175,[1]LISTE!$A$1:$D$431,4,FALSE)</f>
        <v>AHMED BEN HADJ MESSAOUD</v>
      </c>
      <c r="D175" s="15" t="s">
        <v>22</v>
      </c>
      <c r="E175" s="15">
        <v>45808</v>
      </c>
      <c r="F175" s="14" t="s">
        <v>20</v>
      </c>
      <c r="G175" s="16">
        <v>76.144999999999996</v>
      </c>
    </row>
    <row r="176" spans="1:7" x14ac:dyDescent="0.25">
      <c r="A176" s="13" t="s">
        <v>1594</v>
      </c>
      <c r="B176" s="13">
        <v>2170</v>
      </c>
      <c r="C176" s="14" t="str">
        <f>+VLOOKUP(B176,[1]LISTE!$A$1:$D$431,4,FALSE)</f>
        <v>BEN AHMED ANOUAR</v>
      </c>
      <c r="D176" s="14" t="s">
        <v>327</v>
      </c>
      <c r="E176" s="15">
        <v>45803</v>
      </c>
      <c r="F176" s="14" t="s">
        <v>18</v>
      </c>
      <c r="G176" s="16">
        <v>70</v>
      </c>
    </row>
    <row r="177" spans="1:7" x14ac:dyDescent="0.25">
      <c r="A177" s="13" t="s">
        <v>1594</v>
      </c>
      <c r="B177" s="13">
        <v>2170</v>
      </c>
      <c r="C177" s="14" t="str">
        <f>+VLOOKUP(B177,[1]LISTE!$A$1:$D$431,4,FALSE)</f>
        <v>BEN AHMED ANOUAR</v>
      </c>
      <c r="D177" s="14" t="s">
        <v>327</v>
      </c>
      <c r="E177" s="15">
        <v>45803</v>
      </c>
      <c r="F177" s="14" t="s">
        <v>20</v>
      </c>
      <c r="G177" s="16">
        <v>32.484000000000002</v>
      </c>
    </row>
    <row r="178" spans="1:7" x14ac:dyDescent="0.25">
      <c r="A178" s="13" t="s">
        <v>1671</v>
      </c>
      <c r="B178" s="13">
        <v>2184</v>
      </c>
      <c r="C178" s="14" t="s">
        <v>825</v>
      </c>
      <c r="D178" s="15" t="s">
        <v>387</v>
      </c>
      <c r="E178" s="15">
        <v>45805</v>
      </c>
      <c r="F178" s="14" t="s">
        <v>18</v>
      </c>
      <c r="G178" s="16">
        <v>70</v>
      </c>
    </row>
    <row r="179" spans="1:7" x14ac:dyDescent="0.25">
      <c r="A179" s="13" t="s">
        <v>1672</v>
      </c>
      <c r="B179" s="13">
        <v>2184</v>
      </c>
      <c r="C179" s="14" t="s">
        <v>825</v>
      </c>
      <c r="D179" s="14" t="s">
        <v>387</v>
      </c>
      <c r="E179" s="15">
        <v>45797</v>
      </c>
      <c r="F179" s="14" t="s">
        <v>20</v>
      </c>
      <c r="G179" s="16">
        <v>19.945</v>
      </c>
    </row>
    <row r="180" spans="1:7" x14ac:dyDescent="0.25">
      <c r="A180" s="13" t="s">
        <v>1672</v>
      </c>
      <c r="B180" s="13">
        <v>2184</v>
      </c>
      <c r="C180" s="14" t="s">
        <v>825</v>
      </c>
      <c r="D180" s="14" t="s">
        <v>387</v>
      </c>
      <c r="E180" s="15">
        <v>45810</v>
      </c>
      <c r="F180" s="14" t="s">
        <v>21</v>
      </c>
      <c r="G180" s="16">
        <v>150</v>
      </c>
    </row>
    <row r="181" spans="1:7" x14ac:dyDescent="0.25">
      <c r="A181" s="13" t="s">
        <v>1590</v>
      </c>
      <c r="B181" s="13">
        <v>2213</v>
      </c>
      <c r="C181" s="14" t="s">
        <v>1523</v>
      </c>
      <c r="D181" s="15" t="s">
        <v>687</v>
      </c>
      <c r="E181" s="15">
        <v>45805</v>
      </c>
      <c r="F181" s="14" t="s">
        <v>18</v>
      </c>
      <c r="G181" s="16">
        <v>70</v>
      </c>
    </row>
    <row r="182" spans="1:7" x14ac:dyDescent="0.25">
      <c r="A182" s="13" t="s">
        <v>1590</v>
      </c>
      <c r="B182" s="13">
        <v>2213</v>
      </c>
      <c r="C182" s="14" t="s">
        <v>1523</v>
      </c>
      <c r="D182" s="14" t="s">
        <v>687</v>
      </c>
      <c r="E182" s="15">
        <v>45805</v>
      </c>
      <c r="F182" s="14" t="s">
        <v>20</v>
      </c>
      <c r="G182" s="16">
        <v>14.516999999999999</v>
      </c>
    </row>
    <row r="183" spans="1:7" x14ac:dyDescent="0.25">
      <c r="A183" s="13" t="s">
        <v>1585</v>
      </c>
      <c r="B183" s="13">
        <v>2246</v>
      </c>
      <c r="C183" s="14" t="s">
        <v>664</v>
      </c>
      <c r="D183" s="15" t="s">
        <v>665</v>
      </c>
      <c r="E183" s="15">
        <v>45761</v>
      </c>
      <c r="F183" s="14" t="s">
        <v>18</v>
      </c>
      <c r="G183" s="16">
        <v>70</v>
      </c>
    </row>
    <row r="184" spans="1:7" x14ac:dyDescent="0.25">
      <c r="A184" s="13" t="s">
        <v>1585</v>
      </c>
      <c r="B184" s="13">
        <v>2246</v>
      </c>
      <c r="C184" s="14" t="s">
        <v>664</v>
      </c>
      <c r="D184" s="14" t="s">
        <v>665</v>
      </c>
      <c r="E184" s="15">
        <v>45776</v>
      </c>
      <c r="F184" s="14" t="s">
        <v>20</v>
      </c>
      <c r="G184" s="16">
        <v>73.290000000000006</v>
      </c>
    </row>
    <row r="185" spans="1:7" x14ac:dyDescent="0.25">
      <c r="A185" s="13" t="s">
        <v>1586</v>
      </c>
      <c r="B185" s="13">
        <v>2246</v>
      </c>
      <c r="C185" s="14" t="s">
        <v>664</v>
      </c>
      <c r="D185" s="14" t="s">
        <v>1128</v>
      </c>
      <c r="E185" s="15">
        <v>45770</v>
      </c>
      <c r="F185" s="14" t="s">
        <v>23</v>
      </c>
      <c r="G185" s="16">
        <v>40</v>
      </c>
    </row>
    <row r="186" spans="1:7" x14ac:dyDescent="0.25">
      <c r="A186" s="13" t="s">
        <v>1586</v>
      </c>
      <c r="B186" s="13">
        <v>2246</v>
      </c>
      <c r="C186" s="14" t="s">
        <v>664</v>
      </c>
      <c r="D186" s="14" t="s">
        <v>1128</v>
      </c>
      <c r="E186" s="15">
        <v>45776</v>
      </c>
      <c r="F186" s="14" t="s">
        <v>20</v>
      </c>
      <c r="G186" s="16">
        <v>48.465000000000003</v>
      </c>
    </row>
    <row r="187" spans="1:7" x14ac:dyDescent="0.25">
      <c r="A187" s="13" t="s">
        <v>1575</v>
      </c>
      <c r="B187" s="13">
        <v>2275</v>
      </c>
      <c r="C187" s="14" t="s">
        <v>916</v>
      </c>
      <c r="D187" s="14" t="s">
        <v>22</v>
      </c>
      <c r="E187" s="15">
        <v>45757</v>
      </c>
      <c r="F187" s="14" t="s">
        <v>24</v>
      </c>
      <c r="G187" s="16">
        <v>50</v>
      </c>
    </row>
    <row r="188" spans="1:7" x14ac:dyDescent="0.25">
      <c r="A188" s="13" t="s">
        <v>1587</v>
      </c>
      <c r="B188" s="13">
        <v>2286</v>
      </c>
      <c r="C188" s="14" t="s">
        <v>1588</v>
      </c>
      <c r="D188" s="14" t="s">
        <v>22</v>
      </c>
      <c r="E188" s="15">
        <v>45797</v>
      </c>
      <c r="F188" s="14" t="s">
        <v>23</v>
      </c>
      <c r="G188" s="16">
        <v>45</v>
      </c>
    </row>
    <row r="189" spans="1:7" x14ac:dyDescent="0.25">
      <c r="A189" s="13" t="s">
        <v>1587</v>
      </c>
      <c r="B189" s="13">
        <v>2286</v>
      </c>
      <c r="C189" s="14" t="s">
        <v>1588</v>
      </c>
      <c r="D189" s="15" t="s">
        <v>22</v>
      </c>
      <c r="E189" s="15">
        <v>45797</v>
      </c>
      <c r="F189" s="14" t="s">
        <v>20</v>
      </c>
      <c r="G189" s="16">
        <v>24.9</v>
      </c>
    </row>
    <row r="190" spans="1:7" x14ac:dyDescent="0.25">
      <c r="A190" s="13" t="s">
        <v>1598</v>
      </c>
      <c r="B190" s="13">
        <v>2363</v>
      </c>
      <c r="C190" s="14" t="s">
        <v>1599</v>
      </c>
      <c r="D190" s="15" t="s">
        <v>22</v>
      </c>
      <c r="E190" s="15">
        <v>45804</v>
      </c>
      <c r="F190" s="14" t="s">
        <v>23</v>
      </c>
      <c r="G190" s="16">
        <v>45</v>
      </c>
    </row>
    <row r="191" spans="1:7" x14ac:dyDescent="0.25">
      <c r="A191" s="13" t="s">
        <v>1598</v>
      </c>
      <c r="B191" s="13">
        <v>2363</v>
      </c>
      <c r="C191" s="14" t="s">
        <v>1599</v>
      </c>
      <c r="D191" s="14" t="s">
        <v>22</v>
      </c>
      <c r="E191" s="15">
        <v>45804</v>
      </c>
      <c r="F191" s="14" t="s">
        <v>20</v>
      </c>
      <c r="G191" s="16">
        <v>62.015000000000001</v>
      </c>
    </row>
    <row r="192" spans="1:7" x14ac:dyDescent="0.25">
      <c r="A192" s="13" t="s">
        <v>1647</v>
      </c>
      <c r="B192" s="13">
        <v>2363</v>
      </c>
      <c r="C192" s="14" t="s">
        <v>1599</v>
      </c>
      <c r="D192" s="14" t="s">
        <v>353</v>
      </c>
      <c r="E192" s="15">
        <v>45810</v>
      </c>
      <c r="F192" s="14" t="s">
        <v>23</v>
      </c>
      <c r="G192" s="16">
        <v>45</v>
      </c>
    </row>
    <row r="193" spans="1:7" x14ac:dyDescent="0.25">
      <c r="A193" s="13" t="s">
        <v>1647</v>
      </c>
      <c r="B193" s="13">
        <v>2363</v>
      </c>
      <c r="C193" s="14" t="s">
        <v>1599</v>
      </c>
      <c r="D193" s="15" t="s">
        <v>353</v>
      </c>
      <c r="E193" s="15">
        <v>45810</v>
      </c>
      <c r="F193" s="14" t="s">
        <v>20</v>
      </c>
      <c r="G193" s="16">
        <v>43.43</v>
      </c>
    </row>
    <row r="194" spans="1:7" x14ac:dyDescent="0.25">
      <c r="A194" s="13" t="s">
        <v>1648</v>
      </c>
      <c r="B194" s="13">
        <v>2363</v>
      </c>
      <c r="C194" s="14" t="s">
        <v>1599</v>
      </c>
      <c r="D194" s="14" t="s">
        <v>22</v>
      </c>
      <c r="E194" s="15">
        <v>45804</v>
      </c>
      <c r="F194" s="14" t="s">
        <v>23</v>
      </c>
      <c r="G194" s="16">
        <v>45</v>
      </c>
    </row>
    <row r="195" spans="1:7" x14ac:dyDescent="0.25">
      <c r="A195" s="13" t="s">
        <v>1648</v>
      </c>
      <c r="B195" s="13">
        <v>2363</v>
      </c>
      <c r="C195" s="14" t="s">
        <v>1599</v>
      </c>
      <c r="D195" s="14" t="s">
        <v>22</v>
      </c>
      <c r="E195" s="15">
        <v>45808</v>
      </c>
      <c r="F195" s="14" t="s">
        <v>19</v>
      </c>
      <c r="G195" s="16">
        <v>32.31</v>
      </c>
    </row>
    <row r="196" spans="1:7" x14ac:dyDescent="0.25">
      <c r="A196" s="13" t="s">
        <v>1648</v>
      </c>
      <c r="B196" s="13">
        <v>2363</v>
      </c>
      <c r="C196" s="14" t="s">
        <v>1599</v>
      </c>
      <c r="D196" s="14" t="s">
        <v>22</v>
      </c>
      <c r="E196" s="15">
        <v>45810</v>
      </c>
      <c r="F196" s="14" t="s">
        <v>20</v>
      </c>
      <c r="G196" s="16">
        <v>3.71</v>
      </c>
    </row>
    <row r="197" spans="1:7" x14ac:dyDescent="0.25">
      <c r="A197" s="13" t="s">
        <v>1574</v>
      </c>
      <c r="B197" s="13">
        <v>2414</v>
      </c>
      <c r="C197" s="14" t="s">
        <v>256</v>
      </c>
      <c r="D197" s="14" t="s">
        <v>22</v>
      </c>
      <c r="E197" s="15">
        <v>45802</v>
      </c>
      <c r="F197" s="14" t="s">
        <v>69</v>
      </c>
      <c r="G197" s="16">
        <v>430</v>
      </c>
    </row>
    <row r="198" spans="1:7" x14ac:dyDescent="0.25">
      <c r="A198" s="13" t="s">
        <v>1653</v>
      </c>
      <c r="B198" s="13">
        <v>2456</v>
      </c>
      <c r="C198" s="14" t="s">
        <v>155</v>
      </c>
      <c r="D198" s="15" t="s">
        <v>22</v>
      </c>
      <c r="E198" s="15">
        <v>45810</v>
      </c>
      <c r="F198" s="14" t="s">
        <v>18</v>
      </c>
      <c r="G198" s="16">
        <v>70</v>
      </c>
    </row>
    <row r="199" spans="1:7" x14ac:dyDescent="0.25">
      <c r="A199" s="13" t="s">
        <v>1653</v>
      </c>
      <c r="B199" s="13">
        <v>2456</v>
      </c>
      <c r="C199" s="14" t="s">
        <v>155</v>
      </c>
      <c r="D199" s="14" t="s">
        <v>22</v>
      </c>
      <c r="E199" s="15">
        <v>45810</v>
      </c>
      <c r="F199" s="14" t="s">
        <v>20</v>
      </c>
      <c r="G199" s="16">
        <v>45.024000000000001</v>
      </c>
    </row>
    <row r="200" spans="1:7" x14ac:dyDescent="0.25">
      <c r="A200" s="13" t="s">
        <v>1591</v>
      </c>
      <c r="B200" s="13">
        <v>2525</v>
      </c>
      <c r="C200" s="14" t="s">
        <v>1592</v>
      </c>
      <c r="D200" s="14" t="s">
        <v>1593</v>
      </c>
      <c r="E200" s="15">
        <v>45800</v>
      </c>
      <c r="F200" s="14" t="s">
        <v>23</v>
      </c>
      <c r="G200" s="16">
        <v>45</v>
      </c>
    </row>
    <row r="201" spans="1:7" x14ac:dyDescent="0.25">
      <c r="A201" s="13" t="s">
        <v>1591</v>
      </c>
      <c r="B201" s="13">
        <v>2525</v>
      </c>
      <c r="C201" s="14" t="s">
        <v>1592</v>
      </c>
      <c r="D201" s="15" t="s">
        <v>1593</v>
      </c>
      <c r="E201" s="15">
        <v>45800</v>
      </c>
      <c r="F201" s="14" t="s">
        <v>20</v>
      </c>
      <c r="G201" s="16">
        <v>56.98</v>
      </c>
    </row>
    <row r="202" spans="1:7" x14ac:dyDescent="0.25">
      <c r="A202" s="13" t="s">
        <v>1591</v>
      </c>
      <c r="B202" s="13">
        <v>2525</v>
      </c>
      <c r="C202" s="14" t="s">
        <v>1592</v>
      </c>
      <c r="D202" s="15" t="s">
        <v>1593</v>
      </c>
      <c r="E202" s="15">
        <v>45803</v>
      </c>
      <c r="F202" s="14" t="s">
        <v>19</v>
      </c>
      <c r="G202" s="16">
        <v>126.9</v>
      </c>
    </row>
    <row r="203" spans="1:7" x14ac:dyDescent="0.25">
      <c r="A203" s="13" t="s">
        <v>1604</v>
      </c>
      <c r="B203" s="13">
        <v>2536</v>
      </c>
      <c r="C203" s="14" t="s">
        <v>1278</v>
      </c>
      <c r="D203" s="14" t="s">
        <v>1279</v>
      </c>
      <c r="E203" s="15">
        <v>45801</v>
      </c>
      <c r="F203" s="14" t="s">
        <v>18</v>
      </c>
      <c r="G203" s="16">
        <v>70</v>
      </c>
    </row>
    <row r="204" spans="1:7" x14ac:dyDescent="0.25">
      <c r="A204" s="13" t="s">
        <v>1604</v>
      </c>
      <c r="B204" s="13">
        <v>2536</v>
      </c>
      <c r="C204" s="14" t="s">
        <v>1278</v>
      </c>
      <c r="D204" s="14" t="s">
        <v>1279</v>
      </c>
      <c r="E204" s="15">
        <v>45801</v>
      </c>
      <c r="F204" s="14" t="s">
        <v>20</v>
      </c>
      <c r="G204" s="16">
        <v>53.27</v>
      </c>
    </row>
    <row r="205" spans="1:7" x14ac:dyDescent="0.25">
      <c r="A205" s="13" t="s">
        <v>1568</v>
      </c>
      <c r="B205" s="13">
        <v>2538</v>
      </c>
      <c r="C205" s="14" t="s">
        <v>1569</v>
      </c>
      <c r="D205" s="14" t="s">
        <v>22</v>
      </c>
      <c r="E205" s="15">
        <v>45796</v>
      </c>
      <c r="F205" s="14" t="s">
        <v>18</v>
      </c>
      <c r="G205" s="16">
        <v>70</v>
      </c>
    </row>
    <row r="206" spans="1:7" x14ac:dyDescent="0.25">
      <c r="A206" s="13" t="s">
        <v>1568</v>
      </c>
      <c r="B206" s="13">
        <v>2538</v>
      </c>
      <c r="C206" s="14" t="s">
        <v>1569</v>
      </c>
      <c r="D206" s="14" t="s">
        <v>22</v>
      </c>
      <c r="E206" s="15">
        <v>45796</v>
      </c>
      <c r="F206" s="14" t="s">
        <v>20</v>
      </c>
      <c r="G206" s="16">
        <v>33.08</v>
      </c>
    </row>
    <row r="207" spans="1:7" x14ac:dyDescent="0.25">
      <c r="A207" s="13" t="s">
        <v>1644</v>
      </c>
      <c r="B207" s="13">
        <v>2569</v>
      </c>
      <c r="C207" s="14" t="s">
        <v>101</v>
      </c>
      <c r="D207" s="15" t="s">
        <v>1645</v>
      </c>
      <c r="E207" s="15">
        <v>45807</v>
      </c>
      <c r="F207" s="14" t="s">
        <v>18</v>
      </c>
      <c r="G207" s="16">
        <v>60</v>
      </c>
    </row>
    <row r="208" spans="1:7" x14ac:dyDescent="0.25">
      <c r="A208" s="13" t="s">
        <v>1644</v>
      </c>
      <c r="B208" s="13">
        <v>2569</v>
      </c>
      <c r="C208" s="14" t="s">
        <v>101</v>
      </c>
      <c r="D208" s="15" t="s">
        <v>1645</v>
      </c>
      <c r="E208" s="15">
        <v>45807</v>
      </c>
      <c r="F208" s="14" t="s">
        <v>20</v>
      </c>
      <c r="G208" s="16">
        <v>6.09</v>
      </c>
    </row>
    <row r="209" spans="1:7" x14ac:dyDescent="0.25">
      <c r="A209" s="13" t="s">
        <v>1613</v>
      </c>
      <c r="B209" s="13">
        <v>2637</v>
      </c>
      <c r="C209" s="14" t="s">
        <v>36</v>
      </c>
      <c r="D209" s="14" t="s">
        <v>22</v>
      </c>
      <c r="E209" s="15">
        <v>45806</v>
      </c>
      <c r="F209" s="14" t="s">
        <v>23</v>
      </c>
      <c r="G209" s="16">
        <v>45</v>
      </c>
    </row>
    <row r="210" spans="1:7" x14ac:dyDescent="0.25">
      <c r="A210" s="13" t="s">
        <v>1613</v>
      </c>
      <c r="B210" s="13">
        <v>2637</v>
      </c>
      <c r="C210" s="14" t="s">
        <v>36</v>
      </c>
      <c r="D210" s="14" t="s">
        <v>22</v>
      </c>
      <c r="E210" s="15">
        <v>45806</v>
      </c>
      <c r="F210" s="14" t="s">
        <v>20</v>
      </c>
      <c r="G210" s="16">
        <v>35.56</v>
      </c>
    </row>
    <row r="211" spans="1:7" ht="18.75" x14ac:dyDescent="0.3">
      <c r="A211" s="14"/>
      <c r="B211" s="28"/>
      <c r="C211" s="29"/>
      <c r="D211" s="14"/>
      <c r="E211" s="28"/>
      <c r="F211" s="17" t="s">
        <v>11</v>
      </c>
      <c r="G211" s="17">
        <f>SUM(G10:G210)</f>
        <v>13593.094999999999</v>
      </c>
    </row>
    <row r="212" spans="1:7" ht="18.75" x14ac:dyDescent="0.3">
      <c r="A212" s="38"/>
      <c r="B212" s="39"/>
      <c r="C212" s="40"/>
      <c r="D212" s="41"/>
      <c r="E212" s="19"/>
      <c r="F212" s="18"/>
      <c r="G212" s="34"/>
    </row>
    <row r="213" spans="1:7" ht="18.75" x14ac:dyDescent="0.3">
      <c r="A213" s="35"/>
      <c r="B213" s="36"/>
      <c r="C213" s="37"/>
      <c r="D213" s="42"/>
      <c r="E213" s="43"/>
      <c r="F213" s="44"/>
      <c r="G213" s="44"/>
    </row>
    <row r="214" spans="1:7" ht="15.75" x14ac:dyDescent="0.25">
      <c r="A214" s="35"/>
      <c r="B214" s="36" t="s">
        <v>12</v>
      </c>
      <c r="C214" s="37"/>
      <c r="E214" s="36" t="s">
        <v>13</v>
      </c>
      <c r="F214" s="18"/>
      <c r="G214" s="18"/>
    </row>
    <row r="215" spans="1:7" ht="15.75" x14ac:dyDescent="0.25">
      <c r="A215" s="45"/>
      <c r="B215" s="46" t="s">
        <v>14</v>
      </c>
      <c r="C215" s="47"/>
      <c r="E215" s="36" t="s">
        <v>15</v>
      </c>
      <c r="F215" s="18"/>
      <c r="G215" s="18"/>
    </row>
    <row r="216" spans="1:7" ht="15.75" x14ac:dyDescent="0.25">
      <c r="A216" s="23"/>
      <c r="B216" s="24"/>
      <c r="C216" s="25"/>
      <c r="E216" s="27"/>
      <c r="F216" s="18"/>
      <c r="G216" s="18"/>
    </row>
    <row r="217" spans="1:7" ht="18.75" x14ac:dyDescent="0.3">
      <c r="B217" s="19"/>
      <c r="C217" s="20"/>
      <c r="D217" s="21"/>
      <c r="E217" s="22"/>
      <c r="F217" s="19"/>
      <c r="G217" s="22"/>
    </row>
    <row r="218" spans="1:7" ht="15.75" x14ac:dyDescent="0.25">
      <c r="A218" s="23"/>
      <c r="B218" s="24"/>
      <c r="C218" s="25"/>
      <c r="D218" s="26"/>
      <c r="E218" s="22"/>
      <c r="F218" s="27"/>
      <c r="G218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7"/>
  <sheetViews>
    <sheetView workbookViewId="0">
      <pane ySplit="9" topLeftCell="A10" activePane="bottomLeft" state="frozen"/>
      <selection pane="bottomLeft" sqref="A1:A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1744</v>
      </c>
      <c r="C5" s="7"/>
      <c r="D5" s="4"/>
    </row>
    <row r="6" spans="1:7" ht="22.5" customHeight="1" x14ac:dyDescent="0.25">
      <c r="A6" s="6"/>
      <c r="B6" s="8" t="s">
        <v>1789</v>
      </c>
      <c r="C6" s="9"/>
      <c r="D6" s="4"/>
    </row>
    <row r="7" spans="1:7" ht="22.5" customHeight="1" x14ac:dyDescent="0.35">
      <c r="A7" s="4"/>
      <c r="B7" s="10"/>
      <c r="C7" s="11" t="s">
        <v>1778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1760</v>
      </c>
      <c r="B10" s="13">
        <v>192</v>
      </c>
      <c r="C10" s="14" t="s">
        <v>998</v>
      </c>
      <c r="D10" s="14" t="s">
        <v>22</v>
      </c>
      <c r="E10" s="15">
        <v>45818</v>
      </c>
      <c r="F10" s="14" t="s">
        <v>18</v>
      </c>
      <c r="G10" s="16">
        <v>70</v>
      </c>
    </row>
    <row r="11" spans="1:7" x14ac:dyDescent="0.25">
      <c r="A11" s="13" t="s">
        <v>1760</v>
      </c>
      <c r="B11" s="13">
        <v>192</v>
      </c>
      <c r="C11" s="14" t="s">
        <v>998</v>
      </c>
      <c r="D11" s="15" t="s">
        <v>22</v>
      </c>
      <c r="E11" s="15">
        <v>45818</v>
      </c>
      <c r="F11" s="14" t="s">
        <v>20</v>
      </c>
      <c r="G11" s="16">
        <v>24.193999999999999</v>
      </c>
    </row>
    <row r="12" spans="1:7" x14ac:dyDescent="0.25">
      <c r="A12" s="13" t="s">
        <v>1711</v>
      </c>
      <c r="B12" s="13">
        <v>279</v>
      </c>
      <c r="C12" s="14" t="s">
        <v>1712</v>
      </c>
      <c r="D12" s="14" t="s">
        <v>1713</v>
      </c>
      <c r="E12" s="15">
        <v>45813</v>
      </c>
      <c r="F12" s="14" t="s">
        <v>20</v>
      </c>
      <c r="G12" s="16">
        <v>33.457000000000001</v>
      </c>
    </row>
    <row r="13" spans="1:7" x14ac:dyDescent="0.25">
      <c r="A13" s="13" t="s">
        <v>1724</v>
      </c>
      <c r="B13" s="13">
        <v>675</v>
      </c>
      <c r="C13" s="14" t="str">
        <f>+VLOOKUP(B13,[1]LISTE!$A$1:$D$431,4,FALSE)</f>
        <v>BOUBAKER MAHER</v>
      </c>
      <c r="D13" s="15" t="s">
        <v>511</v>
      </c>
      <c r="E13" s="15">
        <v>45810</v>
      </c>
      <c r="F13" s="14" t="s">
        <v>23</v>
      </c>
      <c r="G13" s="16">
        <v>50</v>
      </c>
    </row>
    <row r="14" spans="1:7" x14ac:dyDescent="0.25">
      <c r="A14" s="13" t="s">
        <v>1724</v>
      </c>
      <c r="B14" s="13">
        <v>675</v>
      </c>
      <c r="C14" s="14" t="str">
        <f>+VLOOKUP(B14,[1]LISTE!$A$1:$D$431,4,FALSE)</f>
        <v>BOUBAKER MAHER</v>
      </c>
      <c r="D14" s="15" t="s">
        <v>511</v>
      </c>
      <c r="E14" s="15">
        <v>45810</v>
      </c>
      <c r="F14" s="14" t="s">
        <v>20</v>
      </c>
      <c r="G14" s="16">
        <v>3.11</v>
      </c>
    </row>
    <row r="15" spans="1:7" x14ac:dyDescent="0.25">
      <c r="A15" s="13" t="s">
        <v>1724</v>
      </c>
      <c r="B15" s="13">
        <v>675</v>
      </c>
      <c r="C15" s="14" t="str">
        <f>+VLOOKUP(B15,[1]LISTE!$A$1:$D$431,4,FALSE)</f>
        <v>BOUBAKER MAHER</v>
      </c>
      <c r="D15" s="15" t="s">
        <v>511</v>
      </c>
      <c r="E15" s="15">
        <v>45824</v>
      </c>
      <c r="F15" s="14" t="s">
        <v>24</v>
      </c>
      <c r="G15" s="16">
        <v>240</v>
      </c>
    </row>
    <row r="16" spans="1:7" x14ac:dyDescent="0.25">
      <c r="A16" s="13" t="s">
        <v>1743</v>
      </c>
      <c r="B16" s="13">
        <v>879</v>
      </c>
      <c r="C16" s="14" t="str">
        <f>+VLOOKUP(B16,[1]LISTE!$A$1:$D$431,4,FALSE)</f>
        <v>MOUSSA ABDERRAZEK</v>
      </c>
      <c r="D16" s="15" t="s">
        <v>79</v>
      </c>
      <c r="E16" s="15">
        <v>45824</v>
      </c>
      <c r="F16" s="14" t="s">
        <v>23</v>
      </c>
      <c r="G16" s="16">
        <v>45</v>
      </c>
    </row>
    <row r="17" spans="1:7" x14ac:dyDescent="0.25">
      <c r="A17" s="13" t="s">
        <v>1743</v>
      </c>
      <c r="B17" s="13">
        <v>879</v>
      </c>
      <c r="C17" s="14" t="str">
        <f>+VLOOKUP(B17,[1]LISTE!$A$1:$D$431,4,FALSE)</f>
        <v>MOUSSA ABDERRAZEK</v>
      </c>
      <c r="D17" s="15" t="s">
        <v>79</v>
      </c>
      <c r="E17" s="15">
        <v>45824</v>
      </c>
      <c r="F17" s="14" t="s">
        <v>20</v>
      </c>
      <c r="G17" s="16">
        <v>129.95099999999999</v>
      </c>
    </row>
    <row r="18" spans="1:7" x14ac:dyDescent="0.25">
      <c r="A18" s="13" t="s">
        <v>1763</v>
      </c>
      <c r="B18" s="13">
        <v>1525</v>
      </c>
      <c r="C18" s="14" t="str">
        <f>+VLOOKUP(B18,[1]LISTE!$A$1:$D$431,4,FALSE)</f>
        <v>HAMDAOUI MOKHTAR</v>
      </c>
      <c r="D18" s="14" t="s">
        <v>22</v>
      </c>
      <c r="E18" s="15">
        <v>45826</v>
      </c>
      <c r="F18" s="14" t="s">
        <v>18</v>
      </c>
      <c r="G18" s="16">
        <v>70</v>
      </c>
    </row>
    <row r="19" spans="1:7" x14ac:dyDescent="0.25">
      <c r="A19" s="13" t="s">
        <v>1763</v>
      </c>
      <c r="B19" s="13">
        <v>1525</v>
      </c>
      <c r="C19" s="14" t="str">
        <f>+VLOOKUP(B19,[1]LISTE!$A$1:$D$431,4,FALSE)</f>
        <v>HAMDAOUI MOKHTAR</v>
      </c>
      <c r="D19" s="14" t="s">
        <v>22</v>
      </c>
      <c r="E19" s="15">
        <v>45826</v>
      </c>
      <c r="F19" s="14" t="s">
        <v>20</v>
      </c>
      <c r="G19" s="16">
        <v>6.6879999999999997</v>
      </c>
    </row>
    <row r="20" spans="1:7" x14ac:dyDescent="0.25">
      <c r="A20" s="13" t="s">
        <v>1763</v>
      </c>
      <c r="B20" s="13">
        <v>1525</v>
      </c>
      <c r="C20" s="14" t="str">
        <f>+VLOOKUP(B20,[1]LISTE!$A$1:$D$431,4,FALSE)</f>
        <v>HAMDAOUI MOKHTAR</v>
      </c>
      <c r="D20" s="15" t="s">
        <v>22</v>
      </c>
      <c r="E20" s="15">
        <v>45826</v>
      </c>
      <c r="F20" s="14" t="s">
        <v>69</v>
      </c>
      <c r="G20" s="16">
        <v>360</v>
      </c>
    </row>
    <row r="21" spans="1:7" x14ac:dyDescent="0.25">
      <c r="A21" s="13" t="s">
        <v>1730</v>
      </c>
      <c r="B21" s="13">
        <v>1535</v>
      </c>
      <c r="C21" s="14" t="str">
        <f>+VLOOKUP(B21,[1]LISTE!$A$1:$D$431,4,FALSE)</f>
        <v>ROUIS LOTFI</v>
      </c>
      <c r="D21" s="14" t="s">
        <v>22</v>
      </c>
      <c r="E21" s="15">
        <v>45824</v>
      </c>
      <c r="F21" s="14" t="s">
        <v>20</v>
      </c>
      <c r="G21" s="16">
        <v>47.155000000000001</v>
      </c>
    </row>
    <row r="22" spans="1:7" x14ac:dyDescent="0.25">
      <c r="A22" s="13" t="s">
        <v>1747</v>
      </c>
      <c r="B22" s="13">
        <v>1548</v>
      </c>
      <c r="C22" s="14" t="str">
        <f>+VLOOKUP(B22,[1]LISTE!$A$1:$D$431,4,FALSE)</f>
        <v>YOUSSEF WAHID</v>
      </c>
      <c r="D22" s="15" t="s">
        <v>613</v>
      </c>
      <c r="E22" s="15">
        <v>45820</v>
      </c>
      <c r="F22" s="14" t="s">
        <v>23</v>
      </c>
      <c r="G22" s="16">
        <v>45</v>
      </c>
    </row>
    <row r="23" spans="1:7" x14ac:dyDescent="0.25">
      <c r="A23" s="13" t="s">
        <v>1747</v>
      </c>
      <c r="B23" s="13">
        <v>1548</v>
      </c>
      <c r="C23" s="14" t="str">
        <f>+VLOOKUP(B23,[1]LISTE!$A$1:$D$431,4,FALSE)</f>
        <v>YOUSSEF WAHID</v>
      </c>
      <c r="D23" s="14" t="s">
        <v>613</v>
      </c>
      <c r="E23" s="15">
        <v>45820</v>
      </c>
      <c r="F23" s="14" t="s">
        <v>20</v>
      </c>
      <c r="G23" s="16">
        <v>24.295000000000002</v>
      </c>
    </row>
    <row r="24" spans="1:7" x14ac:dyDescent="0.25">
      <c r="A24" s="13" t="s">
        <v>1754</v>
      </c>
      <c r="B24" s="13">
        <v>1556</v>
      </c>
      <c r="C24" s="14" t="str">
        <f>+VLOOKUP(B24,[1]LISTE!$A$1:$D$431,4,FALSE)</f>
        <v>LOGHMARI KHELIL</v>
      </c>
      <c r="D24" s="15" t="s">
        <v>1755</v>
      </c>
      <c r="E24" s="15">
        <v>45811</v>
      </c>
      <c r="F24" s="14" t="s">
        <v>18</v>
      </c>
      <c r="G24" s="16">
        <v>70</v>
      </c>
    </row>
    <row r="25" spans="1:7" x14ac:dyDescent="0.25">
      <c r="A25" s="13" t="s">
        <v>1754</v>
      </c>
      <c r="B25" s="13">
        <v>1556</v>
      </c>
      <c r="C25" s="14" t="str">
        <f>+VLOOKUP(B25,[1]LISTE!$A$1:$D$431,4,FALSE)</f>
        <v>LOGHMARI KHELIL</v>
      </c>
      <c r="D25" s="15" t="s">
        <v>1755</v>
      </c>
      <c r="E25" s="15">
        <v>45811</v>
      </c>
      <c r="F25" s="14" t="s">
        <v>20</v>
      </c>
      <c r="G25" s="16">
        <v>8.49</v>
      </c>
    </row>
    <row r="26" spans="1:7" x14ac:dyDescent="0.25">
      <c r="A26" s="13" t="s">
        <v>1732</v>
      </c>
      <c r="B26" s="13">
        <v>1576</v>
      </c>
      <c r="C26" s="14" t="s">
        <v>1667</v>
      </c>
      <c r="D26" s="14" t="s">
        <v>22</v>
      </c>
      <c r="E26" s="15">
        <v>45818</v>
      </c>
      <c r="F26" s="14" t="s">
        <v>65</v>
      </c>
      <c r="G26" s="16">
        <v>120</v>
      </c>
    </row>
    <row r="27" spans="1:7" x14ac:dyDescent="0.25">
      <c r="A27" s="13" t="s">
        <v>1784</v>
      </c>
      <c r="B27" s="13">
        <v>1596</v>
      </c>
      <c r="C27" s="14" t="str">
        <f>+VLOOKUP(B27,[1]LISTE!$A$1:$D$431,4,FALSE)</f>
        <v>GORCHENE NOUREDDINE</v>
      </c>
      <c r="D27" s="14" t="s">
        <v>511</v>
      </c>
      <c r="E27" s="15">
        <v>45827</v>
      </c>
      <c r="F27" s="14" t="s">
        <v>20</v>
      </c>
      <c r="G27" s="16">
        <v>103.25</v>
      </c>
    </row>
    <row r="28" spans="1:7" x14ac:dyDescent="0.25">
      <c r="A28" s="13" t="s">
        <v>1768</v>
      </c>
      <c r="B28" s="13">
        <v>1597</v>
      </c>
      <c r="C28" s="14" t="str">
        <f>+VLOOKUP(B28,[1]LISTE!$A$1:$D$431,4,FALSE)</f>
        <v>AMARA KARIM</v>
      </c>
      <c r="D28" s="15" t="s">
        <v>22</v>
      </c>
      <c r="E28" s="15">
        <v>45826</v>
      </c>
      <c r="F28" s="14" t="s">
        <v>23</v>
      </c>
      <c r="G28" s="16">
        <v>3</v>
      </c>
    </row>
    <row r="29" spans="1:7" x14ac:dyDescent="0.25">
      <c r="A29" s="13" t="s">
        <v>1768</v>
      </c>
      <c r="B29" s="13">
        <v>1597</v>
      </c>
      <c r="C29" s="14" t="str">
        <f>+VLOOKUP(B29,[1]LISTE!$A$1:$D$431,4,FALSE)</f>
        <v>AMARA KARIM</v>
      </c>
      <c r="D29" s="14" t="s">
        <v>22</v>
      </c>
      <c r="E29" s="15">
        <v>45826</v>
      </c>
      <c r="F29" s="14" t="s">
        <v>20</v>
      </c>
      <c r="G29" s="16">
        <v>67.793999999999997</v>
      </c>
    </row>
    <row r="30" spans="1:7" x14ac:dyDescent="0.25">
      <c r="A30" s="13" t="s">
        <v>1768</v>
      </c>
      <c r="B30" s="13">
        <v>1597</v>
      </c>
      <c r="C30" s="14" t="str">
        <f>+VLOOKUP(B30,[1]LISTE!$A$1:$D$431,4,FALSE)</f>
        <v>AMARA KARIM</v>
      </c>
      <c r="D30" s="14" t="s">
        <v>22</v>
      </c>
      <c r="E30" s="15">
        <v>45826</v>
      </c>
      <c r="F30" s="14" t="s">
        <v>65</v>
      </c>
      <c r="G30" s="16">
        <v>4</v>
      </c>
    </row>
    <row r="31" spans="1:7" x14ac:dyDescent="0.25">
      <c r="A31" s="13" t="s">
        <v>1735</v>
      </c>
      <c r="B31" s="13">
        <v>1600</v>
      </c>
      <c r="C31" s="14" t="str">
        <f>+VLOOKUP(B31,[1]LISTE!$A$1:$D$431,4,FALSE)</f>
        <v>MAOUA MOHAMED</v>
      </c>
      <c r="D31" s="14" t="s">
        <v>311</v>
      </c>
      <c r="E31" s="15">
        <v>45820</v>
      </c>
      <c r="F31" s="14" t="s">
        <v>23</v>
      </c>
      <c r="G31" s="16">
        <v>45</v>
      </c>
    </row>
    <row r="32" spans="1:7" x14ac:dyDescent="0.25">
      <c r="A32" s="13" t="s">
        <v>1735</v>
      </c>
      <c r="B32" s="13">
        <v>1600</v>
      </c>
      <c r="C32" s="14" t="str">
        <f>+VLOOKUP(B32,[1]LISTE!$A$1:$D$431,4,FALSE)</f>
        <v>MAOUA MOHAMED</v>
      </c>
      <c r="D32" s="14" t="s">
        <v>311</v>
      </c>
      <c r="E32" s="15">
        <v>45820</v>
      </c>
      <c r="F32" s="14" t="s">
        <v>20</v>
      </c>
      <c r="G32" s="16">
        <v>43.063000000000002</v>
      </c>
    </row>
    <row r="33" spans="1:7" x14ac:dyDescent="0.25">
      <c r="A33" s="13" t="s">
        <v>1735</v>
      </c>
      <c r="B33" s="13">
        <v>1600</v>
      </c>
      <c r="C33" s="14" t="str">
        <f>+VLOOKUP(B33,[1]LISTE!$A$1:$D$431,4,FALSE)</f>
        <v>MAOUA MOHAMED</v>
      </c>
      <c r="D33" s="14" t="s">
        <v>311</v>
      </c>
      <c r="E33" s="15">
        <v>45822</v>
      </c>
      <c r="F33" s="14" t="s">
        <v>19</v>
      </c>
      <c r="G33" s="16">
        <v>26.643000000000001</v>
      </c>
    </row>
    <row r="34" spans="1:7" x14ac:dyDescent="0.25">
      <c r="A34" s="13" t="s">
        <v>1764</v>
      </c>
      <c r="B34" s="13">
        <v>1601</v>
      </c>
      <c r="C34" s="14" t="str">
        <f>+VLOOKUP(B34,[1]LISTE!$A$1:$D$431,4,FALSE)</f>
        <v>BOUKADIDA JAMEL</v>
      </c>
      <c r="D34" s="14" t="s">
        <v>22</v>
      </c>
      <c r="E34" s="15">
        <v>45827</v>
      </c>
      <c r="F34" s="14" t="s">
        <v>18</v>
      </c>
      <c r="G34" s="16">
        <v>100</v>
      </c>
    </row>
    <row r="35" spans="1:7" x14ac:dyDescent="0.25">
      <c r="A35" s="13" t="s">
        <v>1764</v>
      </c>
      <c r="B35" s="13">
        <v>1601</v>
      </c>
      <c r="C35" s="14" t="str">
        <f>+VLOOKUP(B35,[1]LISTE!$A$1:$D$431,4,FALSE)</f>
        <v>BOUKADIDA JAMEL</v>
      </c>
      <c r="D35" s="14" t="s">
        <v>22</v>
      </c>
      <c r="E35" s="15">
        <v>45827</v>
      </c>
      <c r="F35" s="14" t="s">
        <v>20</v>
      </c>
      <c r="G35" s="16">
        <v>26.065000000000001</v>
      </c>
    </row>
    <row r="36" spans="1:7" x14ac:dyDescent="0.25">
      <c r="A36" s="13" t="s">
        <v>1694</v>
      </c>
      <c r="B36" s="13">
        <v>1633</v>
      </c>
      <c r="C36" s="14" t="str">
        <f>+VLOOKUP(B36,[1]LISTE!$A$1:$D$431,4,FALSE)</f>
        <v>ROMDHANE HEDI</v>
      </c>
      <c r="D36" s="15" t="s">
        <v>22</v>
      </c>
      <c r="E36" s="15">
        <v>45818</v>
      </c>
      <c r="F36" s="14" t="s">
        <v>23</v>
      </c>
      <c r="G36" s="16">
        <v>50</v>
      </c>
    </row>
    <row r="37" spans="1:7" x14ac:dyDescent="0.25">
      <c r="A37" s="13" t="s">
        <v>1694</v>
      </c>
      <c r="B37" s="13">
        <v>1633</v>
      </c>
      <c r="C37" s="14" t="str">
        <f>+VLOOKUP(B37,[1]LISTE!$A$1:$D$431,4,FALSE)</f>
        <v>ROMDHANE HEDI</v>
      </c>
      <c r="D37" s="14" t="s">
        <v>22</v>
      </c>
      <c r="E37" s="15">
        <v>45818</v>
      </c>
      <c r="F37" s="14" t="s">
        <v>20</v>
      </c>
      <c r="G37" s="16">
        <v>16.234999999999999</v>
      </c>
    </row>
    <row r="38" spans="1:7" x14ac:dyDescent="0.25">
      <c r="A38" s="13" t="s">
        <v>1694</v>
      </c>
      <c r="B38" s="13">
        <v>1633</v>
      </c>
      <c r="C38" s="14" t="str">
        <f>+VLOOKUP(B38,[1]LISTE!$A$1:$D$431,4,FALSE)</f>
        <v>ROMDHANE HEDI</v>
      </c>
      <c r="D38" s="14" t="s">
        <v>22</v>
      </c>
      <c r="E38" s="15">
        <v>45818</v>
      </c>
      <c r="F38" s="14" t="s">
        <v>20</v>
      </c>
      <c r="G38" s="16">
        <v>4.55</v>
      </c>
    </row>
    <row r="39" spans="1:7" x14ac:dyDescent="0.25">
      <c r="A39" s="13" t="s">
        <v>1748</v>
      </c>
      <c r="B39" s="13">
        <v>1651</v>
      </c>
      <c r="C39" s="14" t="str">
        <f>+VLOOKUP(B39,[1]LISTE!$A$1:$D$431,4,FALSE)</f>
        <v>BEL HADJ MOHAMED</v>
      </c>
      <c r="D39" s="14" t="s">
        <v>742</v>
      </c>
      <c r="E39" s="15">
        <v>45824</v>
      </c>
      <c r="F39" s="14" t="s">
        <v>23</v>
      </c>
      <c r="G39" s="16">
        <v>50</v>
      </c>
    </row>
    <row r="40" spans="1:7" x14ac:dyDescent="0.25">
      <c r="A40" s="13" t="s">
        <v>1748</v>
      </c>
      <c r="B40" s="13">
        <v>1651</v>
      </c>
      <c r="C40" s="14" t="str">
        <f>+VLOOKUP(B40,[1]LISTE!$A$1:$D$431,4,FALSE)</f>
        <v>BEL HADJ MOHAMED</v>
      </c>
      <c r="D40" s="14" t="s">
        <v>742</v>
      </c>
      <c r="E40" s="15">
        <v>45824</v>
      </c>
      <c r="F40" s="14" t="s">
        <v>20</v>
      </c>
      <c r="G40" s="16">
        <v>30.632000000000001</v>
      </c>
    </row>
    <row r="41" spans="1:7" x14ac:dyDescent="0.25">
      <c r="A41" s="13" t="s">
        <v>1689</v>
      </c>
      <c r="B41" s="13">
        <v>1657</v>
      </c>
      <c r="C41" s="14" t="str">
        <f>+VLOOKUP(B41,[1]LISTE!$A$1:$D$431,4,FALSE)</f>
        <v>BELLALOUNA NIDHAL</v>
      </c>
      <c r="D41" s="15" t="s">
        <v>22</v>
      </c>
      <c r="E41" s="15">
        <v>45819</v>
      </c>
      <c r="F41" s="14" t="s">
        <v>23</v>
      </c>
      <c r="G41" s="16">
        <v>80</v>
      </c>
    </row>
    <row r="42" spans="1:7" x14ac:dyDescent="0.25">
      <c r="A42" s="13" t="s">
        <v>1689</v>
      </c>
      <c r="B42" s="13">
        <v>1657</v>
      </c>
      <c r="C42" s="14" t="str">
        <f>+VLOOKUP(B42,[1]LISTE!$A$1:$D$431,4,FALSE)</f>
        <v>BELLALOUNA NIDHAL</v>
      </c>
      <c r="D42" s="15" t="s">
        <v>22</v>
      </c>
      <c r="E42" s="15">
        <v>45821</v>
      </c>
      <c r="F42" s="14" t="s">
        <v>20</v>
      </c>
      <c r="G42" s="16">
        <v>122.71599999999999</v>
      </c>
    </row>
    <row r="43" spans="1:7" x14ac:dyDescent="0.25">
      <c r="A43" s="13" t="s">
        <v>1777</v>
      </c>
      <c r="B43" s="13">
        <v>1677</v>
      </c>
      <c r="C43" s="14" t="str">
        <f>+VLOOKUP(B43,[1]LISTE!$A$1:$D$431,4,FALSE)</f>
        <v>HADJ AMMAR BRAHIM</v>
      </c>
      <c r="D43" s="14" t="s">
        <v>677</v>
      </c>
      <c r="E43" s="15">
        <v>45827</v>
      </c>
      <c r="F43" s="14" t="s">
        <v>23</v>
      </c>
      <c r="G43" s="16">
        <v>4.5</v>
      </c>
    </row>
    <row r="44" spans="1:7" x14ac:dyDescent="0.25">
      <c r="A44" s="13" t="s">
        <v>1777</v>
      </c>
      <c r="B44" s="13">
        <v>1677</v>
      </c>
      <c r="C44" s="14" t="str">
        <f>+VLOOKUP(B44,[1]LISTE!$A$1:$D$431,4,FALSE)</f>
        <v>HADJ AMMAR BRAHIM</v>
      </c>
      <c r="D44" s="15" t="s">
        <v>677</v>
      </c>
      <c r="E44" s="15">
        <v>45829</v>
      </c>
      <c r="F44" s="14" t="s">
        <v>20</v>
      </c>
      <c r="G44" s="16">
        <v>33.372</v>
      </c>
    </row>
    <row r="45" spans="1:7" x14ac:dyDescent="0.25">
      <c r="A45" s="13" t="s">
        <v>1751</v>
      </c>
      <c r="B45" s="13">
        <v>1687</v>
      </c>
      <c r="C45" s="14" t="str">
        <f>+VLOOKUP(B45,[1]LISTE!$A$1:$D$431,4,FALSE)</f>
        <v>LACHHAB SAHBI</v>
      </c>
      <c r="D45" s="14" t="s">
        <v>349</v>
      </c>
      <c r="E45" s="15">
        <v>45825</v>
      </c>
      <c r="F45" s="14" t="s">
        <v>18</v>
      </c>
      <c r="G45" s="16">
        <v>60</v>
      </c>
    </row>
    <row r="46" spans="1:7" x14ac:dyDescent="0.25">
      <c r="A46" s="13" t="s">
        <v>1751</v>
      </c>
      <c r="B46" s="13">
        <v>1687</v>
      </c>
      <c r="C46" s="14" t="str">
        <f>+VLOOKUP(B46,[1]LISTE!$A$1:$D$431,4,FALSE)</f>
        <v>LACHHAB SAHBI</v>
      </c>
      <c r="D46" s="15" t="s">
        <v>349</v>
      </c>
      <c r="E46" s="15">
        <v>45825</v>
      </c>
      <c r="F46" s="14" t="s">
        <v>19</v>
      </c>
      <c r="G46" s="16">
        <v>77.36</v>
      </c>
    </row>
    <row r="47" spans="1:7" x14ac:dyDescent="0.25">
      <c r="A47" s="13" t="s">
        <v>1751</v>
      </c>
      <c r="B47" s="13">
        <v>1687</v>
      </c>
      <c r="C47" s="14" t="str">
        <f>+VLOOKUP(B47,[1]LISTE!$A$1:$D$431,4,FALSE)</f>
        <v>LACHHAB SAHBI</v>
      </c>
      <c r="D47" s="15" t="s">
        <v>349</v>
      </c>
      <c r="E47" s="15">
        <v>45825</v>
      </c>
      <c r="F47" s="14" t="s">
        <v>20</v>
      </c>
      <c r="G47" s="16">
        <v>213.25299999999999</v>
      </c>
    </row>
    <row r="48" spans="1:7" x14ac:dyDescent="0.25">
      <c r="A48" s="13" t="s">
        <v>1693</v>
      </c>
      <c r="B48" s="13">
        <v>1701</v>
      </c>
      <c r="C48" s="14" t="str">
        <f>+VLOOKUP(B48,[1]LISTE!$A$1:$D$431,4,FALSE)</f>
        <v>SASSI KARIM</v>
      </c>
      <c r="D48" s="15" t="s">
        <v>236</v>
      </c>
      <c r="E48" s="15">
        <v>45806</v>
      </c>
      <c r="F48" s="14" t="s">
        <v>18</v>
      </c>
      <c r="G48" s="16">
        <v>70</v>
      </c>
    </row>
    <row r="49" spans="1:7" x14ac:dyDescent="0.25">
      <c r="A49" s="13" t="s">
        <v>1693</v>
      </c>
      <c r="B49" s="13">
        <v>1701</v>
      </c>
      <c r="C49" s="14" t="str">
        <f>+VLOOKUP(B49,[1]LISTE!$A$1:$D$431,4,FALSE)</f>
        <v>SASSI KARIM</v>
      </c>
      <c r="D49" s="15" t="s">
        <v>236</v>
      </c>
      <c r="E49" s="15">
        <v>45807</v>
      </c>
      <c r="F49" s="14" t="s">
        <v>20</v>
      </c>
      <c r="G49" s="16">
        <v>4.3040000000000003</v>
      </c>
    </row>
    <row r="50" spans="1:7" x14ac:dyDescent="0.25">
      <c r="A50" s="13" t="s">
        <v>1693</v>
      </c>
      <c r="B50" s="13">
        <v>1701</v>
      </c>
      <c r="C50" s="14" t="str">
        <f>+VLOOKUP(B50,[1]LISTE!$A$1:$D$431,4,FALSE)</f>
        <v>SASSI KARIM</v>
      </c>
      <c r="D50" s="14" t="s">
        <v>236</v>
      </c>
      <c r="E50" s="15">
        <v>45819</v>
      </c>
      <c r="F50" s="14" t="s">
        <v>69</v>
      </c>
      <c r="G50" s="16">
        <v>71.400000000000006</v>
      </c>
    </row>
    <row r="51" spans="1:7" x14ac:dyDescent="0.25">
      <c r="A51" s="13" t="s">
        <v>1695</v>
      </c>
      <c r="B51" s="13">
        <v>1702</v>
      </c>
      <c r="C51" s="14" t="str">
        <f>+VLOOKUP(B51,[1]LISTE!$A$1:$D$431,4,FALSE)</f>
        <v>JAIET WALID</v>
      </c>
      <c r="D51" s="15" t="s">
        <v>47</v>
      </c>
      <c r="E51" s="15">
        <v>45819</v>
      </c>
      <c r="F51" s="14" t="s">
        <v>23</v>
      </c>
      <c r="G51" s="16">
        <v>45</v>
      </c>
    </row>
    <row r="52" spans="1:7" x14ac:dyDescent="0.25">
      <c r="A52" s="13" t="s">
        <v>1695</v>
      </c>
      <c r="B52" s="13">
        <v>1702</v>
      </c>
      <c r="C52" s="14" t="str">
        <f>+VLOOKUP(B52,[1]LISTE!$A$1:$D$431,4,FALSE)</f>
        <v>JAIET WALID</v>
      </c>
      <c r="D52" s="15" t="s">
        <v>47</v>
      </c>
      <c r="E52" s="15">
        <v>45819</v>
      </c>
      <c r="F52" s="14" t="s">
        <v>20</v>
      </c>
      <c r="G52" s="16">
        <v>72.38</v>
      </c>
    </row>
    <row r="53" spans="1:7" x14ac:dyDescent="0.25">
      <c r="A53" s="13" t="s">
        <v>1696</v>
      </c>
      <c r="B53" s="13">
        <v>1702</v>
      </c>
      <c r="C53" s="14" t="str">
        <f>+VLOOKUP(B53,[1]LISTE!$A$1:$D$431,4,FALSE)</f>
        <v>JAIET WALID</v>
      </c>
      <c r="D53" s="14" t="s">
        <v>298</v>
      </c>
      <c r="E53" s="15">
        <v>45813</v>
      </c>
      <c r="F53" s="14" t="s">
        <v>23</v>
      </c>
      <c r="G53" s="16">
        <v>45</v>
      </c>
    </row>
    <row r="54" spans="1:7" x14ac:dyDescent="0.25">
      <c r="A54" s="13" t="s">
        <v>1696</v>
      </c>
      <c r="B54" s="13">
        <v>1702</v>
      </c>
      <c r="C54" s="14" t="str">
        <f>+VLOOKUP(B54,[1]LISTE!$A$1:$D$431,4,FALSE)</f>
        <v>JAIET WALID</v>
      </c>
      <c r="D54" s="14" t="s">
        <v>298</v>
      </c>
      <c r="E54" s="15">
        <v>45813</v>
      </c>
      <c r="F54" s="14" t="s">
        <v>20</v>
      </c>
      <c r="G54" s="16">
        <v>77.77</v>
      </c>
    </row>
    <row r="55" spans="1:7" x14ac:dyDescent="0.25">
      <c r="A55" s="13" t="s">
        <v>1697</v>
      </c>
      <c r="B55" s="13">
        <v>1702</v>
      </c>
      <c r="C55" s="14" t="str">
        <f>+VLOOKUP(B55,[1]LISTE!$A$1:$D$431,4,FALSE)</f>
        <v>JAIET WALID</v>
      </c>
      <c r="D55" s="14" t="s">
        <v>151</v>
      </c>
      <c r="E55" s="15">
        <v>45810</v>
      </c>
      <c r="F55" s="14" t="s">
        <v>23</v>
      </c>
      <c r="G55" s="16">
        <v>45</v>
      </c>
    </row>
    <row r="56" spans="1:7" x14ac:dyDescent="0.25">
      <c r="A56" s="13" t="s">
        <v>1697</v>
      </c>
      <c r="B56" s="13">
        <v>1702</v>
      </c>
      <c r="C56" s="14" t="str">
        <f>+VLOOKUP(B56,[1]LISTE!$A$1:$D$431,4,FALSE)</f>
        <v>JAIET WALID</v>
      </c>
      <c r="D56" s="15" t="s">
        <v>151</v>
      </c>
      <c r="E56" s="15">
        <v>45810</v>
      </c>
      <c r="F56" s="14" t="s">
        <v>20</v>
      </c>
      <c r="G56" s="16">
        <v>66.644999999999996</v>
      </c>
    </row>
    <row r="57" spans="1:7" x14ac:dyDescent="0.25">
      <c r="A57" s="13" t="s">
        <v>1714</v>
      </c>
      <c r="B57" s="13">
        <v>1713</v>
      </c>
      <c r="C57" s="14" t="s">
        <v>939</v>
      </c>
      <c r="D57" s="15" t="s">
        <v>22</v>
      </c>
      <c r="E57" s="15">
        <v>45785</v>
      </c>
      <c r="F57" s="14" t="s">
        <v>20</v>
      </c>
      <c r="G57" s="16">
        <v>27.23</v>
      </c>
    </row>
    <row r="58" spans="1:7" x14ac:dyDescent="0.25">
      <c r="A58" s="13" t="s">
        <v>1725</v>
      </c>
      <c r="B58" s="13">
        <v>1713</v>
      </c>
      <c r="C58" s="14" t="s">
        <v>939</v>
      </c>
      <c r="D58" s="15" t="s">
        <v>22</v>
      </c>
      <c r="E58" s="15">
        <v>45820</v>
      </c>
      <c r="F58" s="14" t="s">
        <v>18</v>
      </c>
      <c r="G58" s="16">
        <v>60</v>
      </c>
    </row>
    <row r="59" spans="1:7" x14ac:dyDescent="0.25">
      <c r="A59" s="13" t="s">
        <v>1725</v>
      </c>
      <c r="B59" s="13">
        <v>1713</v>
      </c>
      <c r="C59" s="14" t="s">
        <v>939</v>
      </c>
      <c r="D59" s="14" t="s">
        <v>22</v>
      </c>
      <c r="E59" s="15">
        <v>45820</v>
      </c>
      <c r="F59" s="14" t="s">
        <v>20</v>
      </c>
      <c r="G59" s="16">
        <v>19.41</v>
      </c>
    </row>
    <row r="60" spans="1:7" x14ac:dyDescent="0.25">
      <c r="A60" s="13" t="s">
        <v>1742</v>
      </c>
      <c r="B60" s="13">
        <v>1728</v>
      </c>
      <c r="C60" s="14" t="str">
        <f>+VLOOKUP(B60,[1]LISTE!$A$1:$D$431,4,FALSE)</f>
        <v>SLAMA DHAFER</v>
      </c>
      <c r="D60" s="15" t="s">
        <v>163</v>
      </c>
      <c r="E60" s="15">
        <v>45822</v>
      </c>
      <c r="F60" s="14" t="s">
        <v>23</v>
      </c>
      <c r="G60" s="16">
        <v>50</v>
      </c>
    </row>
    <row r="61" spans="1:7" x14ac:dyDescent="0.25">
      <c r="A61" s="13" t="s">
        <v>1742</v>
      </c>
      <c r="B61" s="13">
        <v>1728</v>
      </c>
      <c r="C61" s="14" t="str">
        <f>+VLOOKUP(B61,[1]LISTE!$A$1:$D$431,4,FALSE)</f>
        <v>SLAMA DHAFER</v>
      </c>
      <c r="D61" s="15" t="s">
        <v>163</v>
      </c>
      <c r="E61" s="15">
        <v>45822</v>
      </c>
      <c r="F61" s="14" t="s">
        <v>20</v>
      </c>
      <c r="G61" s="16">
        <v>2.7149999999999999</v>
      </c>
    </row>
    <row r="62" spans="1:7" x14ac:dyDescent="0.25">
      <c r="A62" s="13" t="s">
        <v>1742</v>
      </c>
      <c r="B62" s="13">
        <v>1728</v>
      </c>
      <c r="C62" s="14" t="str">
        <f>+VLOOKUP(B62,[1]LISTE!$A$1:$D$431,4,FALSE)</f>
        <v>SLAMA DHAFER</v>
      </c>
      <c r="D62" s="14" t="s">
        <v>163</v>
      </c>
      <c r="E62" s="15">
        <v>45822</v>
      </c>
      <c r="F62" s="14" t="s">
        <v>21</v>
      </c>
      <c r="G62" s="16">
        <v>55</v>
      </c>
    </row>
    <row r="63" spans="1:7" x14ac:dyDescent="0.25">
      <c r="A63" s="13" t="s">
        <v>1685</v>
      </c>
      <c r="B63" s="13">
        <v>1746</v>
      </c>
      <c r="C63" s="14" t="str">
        <f>+VLOOKUP(B63,[1]LISTE!$A$1:$D$431,4,FALSE)</f>
        <v>BEL ARBIA KAMEL</v>
      </c>
      <c r="D63" s="14" t="s">
        <v>453</v>
      </c>
      <c r="E63" s="15">
        <v>45817</v>
      </c>
      <c r="F63" s="14" t="s">
        <v>20</v>
      </c>
      <c r="G63" s="16">
        <v>130.93600000000001</v>
      </c>
    </row>
    <row r="64" spans="1:7" x14ac:dyDescent="0.25">
      <c r="A64" s="13" t="s">
        <v>1785</v>
      </c>
      <c r="B64" s="13">
        <v>1757</v>
      </c>
      <c r="C64" s="14" t="str">
        <f>+VLOOKUP(B64,[1]LISTE!$A$1:$D$431,4,FALSE)</f>
        <v>EL HOTMANI BESSEM</v>
      </c>
      <c r="D64" s="14" t="s">
        <v>22</v>
      </c>
      <c r="E64" s="15">
        <v>45827</v>
      </c>
      <c r="F64" s="14" t="s">
        <v>23</v>
      </c>
      <c r="G64" s="16">
        <v>45</v>
      </c>
    </row>
    <row r="65" spans="1:7" x14ac:dyDescent="0.25">
      <c r="A65" s="13" t="s">
        <v>1785</v>
      </c>
      <c r="B65" s="13">
        <v>1757</v>
      </c>
      <c r="C65" s="14" t="str">
        <f>+VLOOKUP(B65,[1]LISTE!$A$1:$D$431,4,FALSE)</f>
        <v>EL HOTMANI BESSEM</v>
      </c>
      <c r="D65" s="15" t="s">
        <v>22</v>
      </c>
      <c r="E65" s="15">
        <v>45827</v>
      </c>
      <c r="F65" s="14" t="s">
        <v>20</v>
      </c>
      <c r="G65" s="16">
        <v>79.694999999999993</v>
      </c>
    </row>
    <row r="66" spans="1:7" x14ac:dyDescent="0.25">
      <c r="A66" s="13" t="s">
        <v>1716</v>
      </c>
      <c r="B66" s="13">
        <v>1780</v>
      </c>
      <c r="C66" s="14" t="str">
        <f>+VLOOKUP(B66,[1]LISTE!$A$1:$D$431,4,FALSE)</f>
        <v>SASSI SAIFELLAH</v>
      </c>
      <c r="D66" s="15" t="s">
        <v>22</v>
      </c>
      <c r="E66" s="15">
        <v>45790</v>
      </c>
      <c r="F66" s="14" t="s">
        <v>18</v>
      </c>
      <c r="G66" s="16">
        <v>70</v>
      </c>
    </row>
    <row r="67" spans="1:7" x14ac:dyDescent="0.25">
      <c r="A67" s="13" t="s">
        <v>1716</v>
      </c>
      <c r="B67" s="13">
        <v>1780</v>
      </c>
      <c r="C67" s="14" t="str">
        <f>+VLOOKUP(B67,[1]LISTE!$A$1:$D$431,4,FALSE)</f>
        <v>SASSI SAIFELLAH</v>
      </c>
      <c r="D67" s="15" t="s">
        <v>22</v>
      </c>
      <c r="E67" s="15">
        <v>45790</v>
      </c>
      <c r="F67" s="14" t="s">
        <v>21</v>
      </c>
      <c r="G67" s="16">
        <v>60</v>
      </c>
    </row>
    <row r="68" spans="1:7" x14ac:dyDescent="0.25">
      <c r="A68" s="13" t="s">
        <v>1770</v>
      </c>
      <c r="B68" s="13">
        <v>1780</v>
      </c>
      <c r="C68" s="14" t="str">
        <f>+VLOOKUP(B68,[1]LISTE!$A$1:$D$431,4,FALSE)</f>
        <v>SASSI SAIFELLAH</v>
      </c>
      <c r="D68" s="15" t="s">
        <v>22</v>
      </c>
      <c r="E68" s="15">
        <v>45825</v>
      </c>
      <c r="F68" s="14" t="s">
        <v>18</v>
      </c>
      <c r="G68" s="16">
        <v>70</v>
      </c>
    </row>
    <row r="69" spans="1:7" x14ac:dyDescent="0.25">
      <c r="A69" s="13" t="s">
        <v>1770</v>
      </c>
      <c r="B69" s="13">
        <v>1780</v>
      </c>
      <c r="C69" s="14" t="str">
        <f>+VLOOKUP(B69,[1]LISTE!$A$1:$D$431,4,FALSE)</f>
        <v>SASSI SAIFELLAH</v>
      </c>
      <c r="D69" s="14" t="s">
        <v>22</v>
      </c>
      <c r="E69" s="15">
        <v>45825</v>
      </c>
      <c r="F69" s="14" t="s">
        <v>20</v>
      </c>
      <c r="G69" s="16">
        <v>12.22</v>
      </c>
    </row>
    <row r="70" spans="1:7" x14ac:dyDescent="0.25">
      <c r="A70" s="13" t="s">
        <v>1687</v>
      </c>
      <c r="B70" s="13">
        <v>1793</v>
      </c>
      <c r="C70" s="14" t="str">
        <f>+VLOOKUP(B70,[1]LISTE!$A$1:$D$431,4,FALSE)</f>
        <v>MIMOUNA RAOUF</v>
      </c>
      <c r="D70" s="14" t="s">
        <v>22</v>
      </c>
      <c r="E70" s="15">
        <v>45818</v>
      </c>
      <c r="F70" s="14" t="s">
        <v>23</v>
      </c>
      <c r="G70" s="16">
        <v>40</v>
      </c>
    </row>
    <row r="71" spans="1:7" x14ac:dyDescent="0.25">
      <c r="A71" s="13" t="s">
        <v>1687</v>
      </c>
      <c r="B71" s="13">
        <v>1793</v>
      </c>
      <c r="C71" s="14" t="str">
        <f>+VLOOKUP(B71,[1]LISTE!$A$1:$D$431,4,FALSE)</f>
        <v>MIMOUNA RAOUF</v>
      </c>
      <c r="D71" s="14" t="s">
        <v>22</v>
      </c>
      <c r="E71" s="15">
        <v>45818</v>
      </c>
      <c r="F71" s="14" t="s">
        <v>20</v>
      </c>
      <c r="G71" s="16">
        <v>3.9849999999999999</v>
      </c>
    </row>
    <row r="72" spans="1:7" x14ac:dyDescent="0.25">
      <c r="A72" s="13" t="s">
        <v>1762</v>
      </c>
      <c r="B72" s="13">
        <v>1795</v>
      </c>
      <c r="C72" s="14" t="str">
        <f>+VLOOKUP(B72,[1]LISTE!$A$1:$D$431,4,FALSE)</f>
        <v>SOUA MOHAMED</v>
      </c>
      <c r="D72" s="14" t="s">
        <v>245</v>
      </c>
      <c r="E72" s="15">
        <v>45829</v>
      </c>
      <c r="F72" s="14" t="s">
        <v>18</v>
      </c>
      <c r="G72" s="16">
        <v>70</v>
      </c>
    </row>
    <row r="73" spans="1:7" x14ac:dyDescent="0.25">
      <c r="A73" s="13" t="s">
        <v>1762</v>
      </c>
      <c r="B73" s="13">
        <v>1795</v>
      </c>
      <c r="C73" s="14" t="str">
        <f>+VLOOKUP(B73,[1]LISTE!$A$1:$D$431,4,FALSE)</f>
        <v>SOUA MOHAMED</v>
      </c>
      <c r="D73" s="14" t="s">
        <v>245</v>
      </c>
      <c r="E73" s="15">
        <v>45829</v>
      </c>
      <c r="F73" s="14" t="s">
        <v>19</v>
      </c>
      <c r="G73" s="16">
        <v>28.69</v>
      </c>
    </row>
    <row r="74" spans="1:7" x14ac:dyDescent="0.25">
      <c r="A74" s="13" t="s">
        <v>1762</v>
      </c>
      <c r="B74" s="13">
        <v>1795</v>
      </c>
      <c r="C74" s="14" t="str">
        <f>+VLOOKUP(B74,[1]LISTE!$A$1:$D$431,4,FALSE)</f>
        <v>SOUA MOHAMED</v>
      </c>
      <c r="D74" s="14" t="s">
        <v>245</v>
      </c>
      <c r="E74" s="15">
        <v>45829</v>
      </c>
      <c r="F74" s="14" t="s">
        <v>20</v>
      </c>
      <c r="G74" s="16">
        <v>90.558000000000007</v>
      </c>
    </row>
    <row r="75" spans="1:7" x14ac:dyDescent="0.25">
      <c r="A75" s="13" t="s">
        <v>1758</v>
      </c>
      <c r="B75" s="13">
        <v>1809</v>
      </c>
      <c r="C75" s="14" t="str">
        <f>+VLOOKUP(B75,[1]LISTE!$A$1:$D$431,4,FALSE)</f>
        <v>JUILI AFIF</v>
      </c>
      <c r="D75" s="15" t="s">
        <v>200</v>
      </c>
      <c r="E75" s="15">
        <v>45822</v>
      </c>
      <c r="F75" s="14" t="s">
        <v>18</v>
      </c>
      <c r="G75" s="16">
        <v>70</v>
      </c>
    </row>
    <row r="76" spans="1:7" x14ac:dyDescent="0.25">
      <c r="A76" s="13" t="s">
        <v>1758</v>
      </c>
      <c r="B76" s="13">
        <v>1809</v>
      </c>
      <c r="C76" s="14" t="str">
        <f>+VLOOKUP(B76,[1]LISTE!$A$1:$D$431,4,FALSE)</f>
        <v>JUILI AFIF</v>
      </c>
      <c r="D76" s="14" t="s">
        <v>200</v>
      </c>
      <c r="E76" s="15">
        <v>45822</v>
      </c>
      <c r="F76" s="14" t="s">
        <v>20</v>
      </c>
      <c r="G76" s="16">
        <v>4.2450000000000001</v>
      </c>
    </row>
    <row r="77" spans="1:7" x14ac:dyDescent="0.25">
      <c r="A77" s="13" t="s">
        <v>1722</v>
      </c>
      <c r="B77" s="13">
        <v>1814</v>
      </c>
      <c r="C77" s="14" t="str">
        <f>+VLOOKUP(B77,[1]LISTE!$A$1:$D$431,4,FALSE)</f>
        <v>BEL ARBIA SLAH</v>
      </c>
      <c r="D77" s="15" t="s">
        <v>22</v>
      </c>
      <c r="E77" s="15">
        <v>45817</v>
      </c>
      <c r="F77" s="14" t="s">
        <v>23</v>
      </c>
      <c r="G77" s="16">
        <v>50</v>
      </c>
    </row>
    <row r="78" spans="1:7" x14ac:dyDescent="0.25">
      <c r="A78" s="13" t="s">
        <v>1722</v>
      </c>
      <c r="B78" s="13">
        <v>1814</v>
      </c>
      <c r="C78" s="14" t="str">
        <f>+VLOOKUP(B78,[1]LISTE!$A$1:$D$431,4,FALSE)</f>
        <v>BEL ARBIA SLAH</v>
      </c>
      <c r="D78" s="14" t="s">
        <v>22</v>
      </c>
      <c r="E78" s="15">
        <v>45824</v>
      </c>
      <c r="F78" s="14" t="s">
        <v>20</v>
      </c>
      <c r="G78" s="16">
        <v>4.2549999999999999</v>
      </c>
    </row>
    <row r="79" spans="1:7" x14ac:dyDescent="0.25">
      <c r="A79" s="13" t="s">
        <v>1722</v>
      </c>
      <c r="B79" s="13">
        <v>1814</v>
      </c>
      <c r="C79" s="14" t="str">
        <f>+VLOOKUP(B79,[1]LISTE!$A$1:$D$431,4,FALSE)</f>
        <v>BEL ARBIA SLAH</v>
      </c>
      <c r="D79" s="14" t="s">
        <v>22</v>
      </c>
      <c r="E79" s="15">
        <v>45819</v>
      </c>
      <c r="F79" s="14" t="s">
        <v>24</v>
      </c>
      <c r="G79" s="16">
        <v>100</v>
      </c>
    </row>
    <row r="80" spans="1:7" x14ac:dyDescent="0.25">
      <c r="A80" s="13" t="s">
        <v>1723</v>
      </c>
      <c r="B80" s="13">
        <v>1814</v>
      </c>
      <c r="C80" s="14" t="str">
        <f>+VLOOKUP(B80,[1]LISTE!$A$1:$D$431,4,FALSE)</f>
        <v>BEL ARBIA SLAH</v>
      </c>
      <c r="D80" s="14" t="s">
        <v>22</v>
      </c>
      <c r="E80" s="15">
        <v>45824</v>
      </c>
      <c r="F80" s="14" t="s">
        <v>25</v>
      </c>
      <c r="G80" s="16">
        <v>300</v>
      </c>
    </row>
    <row r="81" spans="1:7" x14ac:dyDescent="0.25">
      <c r="A81" s="13" t="s">
        <v>1676</v>
      </c>
      <c r="B81" s="13">
        <v>1815</v>
      </c>
      <c r="C81" s="14" t="str">
        <f>+VLOOKUP(B81,[1]LISTE!$A$1:$D$431,4,FALSE)</f>
        <v>KHEDIMI IMED</v>
      </c>
      <c r="D81" s="15" t="s">
        <v>22</v>
      </c>
      <c r="E81" s="15">
        <v>45819</v>
      </c>
      <c r="F81" s="14" t="s">
        <v>20</v>
      </c>
      <c r="G81" s="16">
        <v>4.335</v>
      </c>
    </row>
    <row r="82" spans="1:7" x14ac:dyDescent="0.25">
      <c r="A82" s="13" t="s">
        <v>1676</v>
      </c>
      <c r="B82" s="13">
        <v>1815</v>
      </c>
      <c r="C82" s="14" t="str">
        <f>+VLOOKUP(B82,[1]LISTE!$A$1:$D$431,4,FALSE)</f>
        <v>KHEDIMI IMED</v>
      </c>
      <c r="D82" s="14" t="s">
        <v>22</v>
      </c>
      <c r="E82" s="15">
        <v>45819</v>
      </c>
      <c r="F82" s="14" t="s">
        <v>24</v>
      </c>
      <c r="G82" s="16">
        <v>70</v>
      </c>
    </row>
    <row r="83" spans="1:7" x14ac:dyDescent="0.25">
      <c r="A83" s="13" t="s">
        <v>1759</v>
      </c>
      <c r="B83" s="13">
        <v>1815</v>
      </c>
      <c r="C83" s="14" t="str">
        <f>+VLOOKUP(B83,[1]LISTE!$A$1:$D$431,4,FALSE)</f>
        <v>KHEDIMI IMED</v>
      </c>
      <c r="D83" s="14" t="s">
        <v>22</v>
      </c>
      <c r="E83" s="15">
        <v>45824</v>
      </c>
      <c r="F83" s="14" t="s">
        <v>20</v>
      </c>
      <c r="G83" s="16">
        <v>18.928999999999998</v>
      </c>
    </row>
    <row r="84" spans="1:7" x14ac:dyDescent="0.25">
      <c r="A84" s="13" t="s">
        <v>1733</v>
      </c>
      <c r="B84" s="13">
        <v>1823</v>
      </c>
      <c r="C84" s="14" t="str">
        <f>+VLOOKUP(B84,[1]LISTE!$A$1:$D$431,4,FALSE)</f>
        <v>ACHOUR RAOUF</v>
      </c>
      <c r="D84" s="14" t="s">
        <v>22</v>
      </c>
      <c r="E84" s="15">
        <v>45806</v>
      </c>
      <c r="F84" s="14" t="s">
        <v>18</v>
      </c>
      <c r="G84" s="16">
        <v>80</v>
      </c>
    </row>
    <row r="85" spans="1:7" x14ac:dyDescent="0.25">
      <c r="A85" s="13" t="s">
        <v>1733</v>
      </c>
      <c r="B85" s="13">
        <v>1823</v>
      </c>
      <c r="C85" s="14" t="str">
        <f>+VLOOKUP(B85,[1]LISTE!$A$1:$D$431,4,FALSE)</f>
        <v>ACHOUR RAOUF</v>
      </c>
      <c r="D85" s="14" t="s">
        <v>22</v>
      </c>
      <c r="E85" s="15">
        <v>45806</v>
      </c>
      <c r="F85" s="14" t="s">
        <v>1734</v>
      </c>
      <c r="G85" s="16">
        <v>197.12</v>
      </c>
    </row>
    <row r="86" spans="1:7" x14ac:dyDescent="0.25">
      <c r="A86" s="13" t="s">
        <v>1771</v>
      </c>
      <c r="B86" s="13">
        <v>1825</v>
      </c>
      <c r="C86" s="14" t="str">
        <f>+VLOOKUP(B86,[1]LISTE!$A$1:$D$431,4,FALSE)</f>
        <v>AIFA SADOK</v>
      </c>
      <c r="D86" s="14" t="s">
        <v>1772</v>
      </c>
      <c r="E86" s="15">
        <v>45820</v>
      </c>
      <c r="F86" s="14" t="s">
        <v>18</v>
      </c>
      <c r="G86" s="16">
        <v>70</v>
      </c>
    </row>
    <row r="87" spans="1:7" x14ac:dyDescent="0.25">
      <c r="A87" s="13" t="s">
        <v>1771</v>
      </c>
      <c r="B87" s="13">
        <v>1825</v>
      </c>
      <c r="C87" s="14" t="str">
        <f>+VLOOKUP(B87,[1]LISTE!$A$1:$D$431,4,FALSE)</f>
        <v>AIFA SADOK</v>
      </c>
      <c r="D87" s="14" t="s">
        <v>1772</v>
      </c>
      <c r="E87" s="15">
        <v>45820</v>
      </c>
      <c r="F87" s="14" t="s">
        <v>20</v>
      </c>
      <c r="G87" s="16">
        <v>11.371</v>
      </c>
    </row>
    <row r="88" spans="1:7" x14ac:dyDescent="0.25">
      <c r="A88" s="13" t="s">
        <v>1701</v>
      </c>
      <c r="B88" s="13">
        <v>1832</v>
      </c>
      <c r="C88" s="14" t="str">
        <f>+VLOOKUP(B88,[1]LISTE!$A$1:$D$431,4,FALSE)</f>
        <v>ERGUEZ MEJDI</v>
      </c>
      <c r="D88" s="14" t="s">
        <v>742</v>
      </c>
      <c r="E88" s="15">
        <v>45776</v>
      </c>
      <c r="F88" s="14" t="s">
        <v>18</v>
      </c>
      <c r="G88" s="16">
        <v>30</v>
      </c>
    </row>
    <row r="89" spans="1:7" x14ac:dyDescent="0.25">
      <c r="A89" s="13" t="s">
        <v>1701</v>
      </c>
      <c r="B89" s="13">
        <v>1832</v>
      </c>
      <c r="C89" s="14" t="str">
        <f>+VLOOKUP(B89,[1]LISTE!$A$1:$D$431,4,FALSE)</f>
        <v>ERGUEZ MEJDI</v>
      </c>
      <c r="D89" s="14" t="s">
        <v>742</v>
      </c>
      <c r="E89" s="15">
        <v>45776</v>
      </c>
      <c r="F89" s="14" t="s">
        <v>20</v>
      </c>
      <c r="G89" s="16">
        <v>4.335</v>
      </c>
    </row>
    <row r="90" spans="1:7" x14ac:dyDescent="0.25">
      <c r="A90" s="13" t="s">
        <v>1702</v>
      </c>
      <c r="B90" s="13">
        <v>1832</v>
      </c>
      <c r="C90" s="14" t="str">
        <f>+VLOOKUP(B90,[1]LISTE!$A$1:$D$431,4,FALSE)</f>
        <v>ERGUEZ MEJDI</v>
      </c>
      <c r="D90" s="14" t="s">
        <v>22</v>
      </c>
      <c r="E90" s="15">
        <v>45776</v>
      </c>
      <c r="F90" s="14" t="s">
        <v>18</v>
      </c>
      <c r="G90" s="16">
        <v>30</v>
      </c>
    </row>
    <row r="91" spans="1:7" x14ac:dyDescent="0.25">
      <c r="A91" s="13" t="s">
        <v>1702</v>
      </c>
      <c r="B91" s="13">
        <v>1832</v>
      </c>
      <c r="C91" s="14" t="str">
        <f>+VLOOKUP(B91,[1]LISTE!$A$1:$D$431,4,FALSE)</f>
        <v>ERGUEZ MEJDI</v>
      </c>
      <c r="D91" s="15" t="s">
        <v>22</v>
      </c>
      <c r="E91" s="15">
        <v>45776</v>
      </c>
      <c r="F91" s="14" t="s">
        <v>20</v>
      </c>
      <c r="G91" s="16">
        <v>5.4029999999999996</v>
      </c>
    </row>
    <row r="92" spans="1:7" x14ac:dyDescent="0.25">
      <c r="A92" s="13" t="s">
        <v>1704</v>
      </c>
      <c r="B92" s="13">
        <v>1832</v>
      </c>
      <c r="C92" s="14" t="str">
        <f>+VLOOKUP(B92,[1]LISTE!$A$1:$D$431,4,FALSE)</f>
        <v>ERGUEZ MEJDI</v>
      </c>
      <c r="D92" s="15" t="s">
        <v>742</v>
      </c>
      <c r="E92" s="15">
        <v>45806</v>
      </c>
      <c r="F92" s="14" t="s">
        <v>23</v>
      </c>
      <c r="G92" s="16">
        <v>25</v>
      </c>
    </row>
    <row r="93" spans="1:7" x14ac:dyDescent="0.25">
      <c r="A93" s="13" t="s">
        <v>1704</v>
      </c>
      <c r="B93" s="13">
        <v>1832</v>
      </c>
      <c r="C93" s="14" t="str">
        <f>+VLOOKUP(B93,[1]LISTE!$A$1:$D$431,4,FALSE)</f>
        <v>ERGUEZ MEJDI</v>
      </c>
      <c r="D93" s="14" t="s">
        <v>742</v>
      </c>
      <c r="E93" s="15">
        <v>45806</v>
      </c>
      <c r="F93" s="14" t="s">
        <v>20</v>
      </c>
      <c r="G93" s="16">
        <v>31.984999999999999</v>
      </c>
    </row>
    <row r="94" spans="1:7" x14ac:dyDescent="0.25">
      <c r="A94" s="13" t="s">
        <v>1704</v>
      </c>
      <c r="B94" s="13">
        <v>1832</v>
      </c>
      <c r="C94" s="14" t="str">
        <f>+VLOOKUP(B94,[1]LISTE!$A$1:$D$431,4,FALSE)</f>
        <v>ERGUEZ MEJDI</v>
      </c>
      <c r="D94" s="14" t="s">
        <v>742</v>
      </c>
      <c r="E94" s="15">
        <v>45807</v>
      </c>
      <c r="F94" s="14" t="s">
        <v>19</v>
      </c>
      <c r="G94" s="16">
        <v>54.811999999999998</v>
      </c>
    </row>
    <row r="95" spans="1:7" x14ac:dyDescent="0.25">
      <c r="A95" s="13" t="s">
        <v>1704</v>
      </c>
      <c r="B95" s="13">
        <v>1832</v>
      </c>
      <c r="C95" s="14" t="str">
        <f>+VLOOKUP(B95,[1]LISTE!$A$1:$D$431,4,FALSE)</f>
        <v>ERGUEZ MEJDI</v>
      </c>
      <c r="D95" s="14" t="s">
        <v>742</v>
      </c>
      <c r="E95" s="15">
        <v>45807</v>
      </c>
      <c r="F95" s="14" t="s">
        <v>20</v>
      </c>
      <c r="G95" s="16">
        <v>40.64</v>
      </c>
    </row>
    <row r="96" spans="1:7" x14ac:dyDescent="0.25">
      <c r="A96" s="13" t="s">
        <v>1705</v>
      </c>
      <c r="B96" s="13">
        <v>1832</v>
      </c>
      <c r="C96" s="14" t="str">
        <f>+VLOOKUP(B96,[1]LISTE!$A$1:$D$431,4,FALSE)</f>
        <v>ERGUEZ MEJDI</v>
      </c>
      <c r="D96" s="14" t="s">
        <v>22</v>
      </c>
      <c r="E96" s="15">
        <v>45806</v>
      </c>
      <c r="F96" s="14" t="s">
        <v>23</v>
      </c>
      <c r="G96" s="16">
        <v>25</v>
      </c>
    </row>
    <row r="97" spans="1:7" x14ac:dyDescent="0.25">
      <c r="A97" s="13" t="s">
        <v>1705</v>
      </c>
      <c r="B97" s="13">
        <v>1832</v>
      </c>
      <c r="C97" s="14" t="str">
        <f>+VLOOKUP(B97,[1]LISTE!$A$1:$D$431,4,FALSE)</f>
        <v>ERGUEZ MEJDI</v>
      </c>
      <c r="D97" s="14" t="s">
        <v>22</v>
      </c>
      <c r="E97" s="15">
        <v>45806</v>
      </c>
      <c r="F97" s="14" t="s">
        <v>20</v>
      </c>
      <c r="G97" s="16">
        <v>56.033999999999999</v>
      </c>
    </row>
    <row r="98" spans="1:7" x14ac:dyDescent="0.25">
      <c r="A98" s="13" t="s">
        <v>1757</v>
      </c>
      <c r="B98" s="13">
        <v>1833</v>
      </c>
      <c r="C98" s="14" t="str">
        <f>+VLOOKUP(B98,[1]LISTE!$A$1:$D$431,4,FALSE)</f>
        <v>BOUZAABIA MOHAMED</v>
      </c>
      <c r="D98" s="14" t="s">
        <v>79</v>
      </c>
      <c r="E98" s="15">
        <v>45824</v>
      </c>
      <c r="F98" s="14" t="s">
        <v>20</v>
      </c>
      <c r="G98" s="16">
        <v>44.15</v>
      </c>
    </row>
    <row r="99" spans="1:7" x14ac:dyDescent="0.25">
      <c r="A99" s="13" t="s">
        <v>1698</v>
      </c>
      <c r="B99" s="13">
        <v>1837</v>
      </c>
      <c r="C99" s="14" t="str">
        <f>+VLOOKUP(B99,[1]LISTE!$A$1:$D$431,4,FALSE)</f>
        <v>SLAMA SALEM</v>
      </c>
      <c r="D99" s="14" t="s">
        <v>22</v>
      </c>
      <c r="E99" s="15">
        <v>45811</v>
      </c>
      <c r="F99" s="14" t="s">
        <v>18</v>
      </c>
      <c r="G99" s="16">
        <v>70</v>
      </c>
    </row>
    <row r="100" spans="1:7" x14ac:dyDescent="0.25">
      <c r="A100" s="13" t="s">
        <v>1698</v>
      </c>
      <c r="B100" s="13">
        <v>1837</v>
      </c>
      <c r="C100" s="14" t="str">
        <f>+VLOOKUP(B100,[1]LISTE!$A$1:$D$431,4,FALSE)</f>
        <v>SLAMA SALEM</v>
      </c>
      <c r="D100" s="15" t="s">
        <v>22</v>
      </c>
      <c r="E100" s="15">
        <v>45819</v>
      </c>
      <c r="F100" s="14" t="s">
        <v>21</v>
      </c>
      <c r="G100" s="16">
        <v>100</v>
      </c>
    </row>
    <row r="101" spans="1:7" x14ac:dyDescent="0.25">
      <c r="A101" s="13" t="s">
        <v>1674</v>
      </c>
      <c r="B101" s="13">
        <v>1839</v>
      </c>
      <c r="C101" s="14" t="str">
        <f>+VLOOKUP(B101,[1]LISTE!$A$1:$D$431,4,FALSE)</f>
        <v>TERZEGUE FERID</v>
      </c>
      <c r="D101" s="14" t="s">
        <v>1675</v>
      </c>
      <c r="E101" s="15">
        <v>45811</v>
      </c>
      <c r="F101" s="14" t="s">
        <v>18</v>
      </c>
      <c r="G101" s="16">
        <v>60</v>
      </c>
    </row>
    <row r="102" spans="1:7" x14ac:dyDescent="0.25">
      <c r="A102" s="13" t="s">
        <v>1674</v>
      </c>
      <c r="B102" s="13">
        <v>1839</v>
      </c>
      <c r="C102" s="14" t="str">
        <f>+VLOOKUP(B102,[1]LISTE!$A$1:$D$431,4,FALSE)</f>
        <v>TERZEGUE FERID</v>
      </c>
      <c r="D102" s="14" t="s">
        <v>1675</v>
      </c>
      <c r="E102" s="15">
        <v>45816</v>
      </c>
      <c r="F102" s="14" t="s">
        <v>20</v>
      </c>
      <c r="G102" s="16">
        <v>17.189</v>
      </c>
    </row>
    <row r="103" spans="1:7" x14ac:dyDescent="0.25">
      <c r="A103" s="13" t="s">
        <v>1674</v>
      </c>
      <c r="B103" s="13">
        <v>1839</v>
      </c>
      <c r="C103" s="14" t="str">
        <f>+VLOOKUP(B103,[1]LISTE!$A$1:$D$431,4,FALSE)</f>
        <v>TERZEGUE FERID</v>
      </c>
      <c r="D103" s="14" t="s">
        <v>1675</v>
      </c>
      <c r="E103" s="15">
        <v>45811</v>
      </c>
      <c r="F103" s="14" t="s">
        <v>363</v>
      </c>
      <c r="G103" s="16">
        <v>250</v>
      </c>
    </row>
    <row r="104" spans="1:7" x14ac:dyDescent="0.25">
      <c r="A104" s="13" t="s">
        <v>1752</v>
      </c>
      <c r="B104" s="13">
        <v>1851</v>
      </c>
      <c r="C104" s="14" t="str">
        <f>+VLOOKUP(B104,[1]LISTE!$A$1:$D$431,4,FALSE)</f>
        <v>ATTIA FAYCAL</v>
      </c>
      <c r="D104" s="15" t="s">
        <v>22</v>
      </c>
      <c r="E104" s="15">
        <v>45825</v>
      </c>
      <c r="F104" s="14" t="s">
        <v>23</v>
      </c>
      <c r="G104" s="16">
        <v>50</v>
      </c>
    </row>
    <row r="105" spans="1:7" x14ac:dyDescent="0.25">
      <c r="A105" s="13" t="s">
        <v>1752</v>
      </c>
      <c r="B105" s="13">
        <v>1851</v>
      </c>
      <c r="C105" s="14" t="str">
        <f>+VLOOKUP(B105,[1]LISTE!$A$1:$D$431,4,FALSE)</f>
        <v>ATTIA FAYCAL</v>
      </c>
      <c r="D105" s="15" t="s">
        <v>22</v>
      </c>
      <c r="E105" s="15">
        <v>45825</v>
      </c>
      <c r="F105" s="14" t="s">
        <v>20</v>
      </c>
      <c r="G105" s="16">
        <v>2.605</v>
      </c>
    </row>
    <row r="106" spans="1:7" x14ac:dyDescent="0.25">
      <c r="A106" s="13" t="s">
        <v>1752</v>
      </c>
      <c r="B106" s="13">
        <v>1851</v>
      </c>
      <c r="C106" s="14" t="str">
        <f>+VLOOKUP(B106,[1]LISTE!$A$1:$D$431,4,FALSE)</f>
        <v>ATTIA FAYCAL</v>
      </c>
      <c r="D106" s="14" t="s">
        <v>22</v>
      </c>
      <c r="E106" s="15">
        <v>45828</v>
      </c>
      <c r="F106" s="14" t="s">
        <v>24</v>
      </c>
      <c r="G106" s="16">
        <v>270</v>
      </c>
    </row>
    <row r="107" spans="1:7" x14ac:dyDescent="0.25">
      <c r="A107" s="13" t="s">
        <v>1720</v>
      </c>
      <c r="B107" s="13">
        <v>1856</v>
      </c>
      <c r="C107" s="14" t="str">
        <f>+VLOOKUP(B107,[1]LISTE!$A$1:$D$431,4,FALSE)</f>
        <v>ABDELLATIF MOHAMED ALI</v>
      </c>
      <c r="D107" s="14" t="s">
        <v>1721</v>
      </c>
      <c r="E107" s="15">
        <v>45813</v>
      </c>
      <c r="F107" s="14" t="s">
        <v>23</v>
      </c>
      <c r="G107" s="16">
        <v>45</v>
      </c>
    </row>
    <row r="108" spans="1:7" x14ac:dyDescent="0.25">
      <c r="A108" s="13" t="s">
        <v>1720</v>
      </c>
      <c r="B108" s="13">
        <v>1856</v>
      </c>
      <c r="C108" s="14" t="str">
        <f>+VLOOKUP(B108,[1]LISTE!$A$1:$D$431,4,FALSE)</f>
        <v>ABDELLATIF MOHAMED ALI</v>
      </c>
      <c r="D108" s="14" t="s">
        <v>1721</v>
      </c>
      <c r="E108" s="15">
        <v>45813</v>
      </c>
      <c r="F108" s="14" t="s">
        <v>20</v>
      </c>
      <c r="G108" s="16">
        <v>69.867999999999995</v>
      </c>
    </row>
    <row r="109" spans="1:7" x14ac:dyDescent="0.25">
      <c r="A109" s="13" t="s">
        <v>1741</v>
      </c>
      <c r="B109" s="13">
        <v>1856</v>
      </c>
      <c r="C109" s="14" t="str">
        <f>+VLOOKUP(B109,[1]LISTE!$A$1:$D$431,4,FALSE)</f>
        <v>ABDELLATIF MOHAMED ALI</v>
      </c>
      <c r="D109" s="14" t="s">
        <v>329</v>
      </c>
      <c r="E109" s="15">
        <v>45820</v>
      </c>
      <c r="F109" s="14" t="s">
        <v>23</v>
      </c>
      <c r="G109" s="16">
        <v>45</v>
      </c>
    </row>
    <row r="110" spans="1:7" x14ac:dyDescent="0.25">
      <c r="A110" s="13" t="s">
        <v>1741</v>
      </c>
      <c r="B110" s="13">
        <v>1856</v>
      </c>
      <c r="C110" s="14" t="str">
        <f>+VLOOKUP(B110,[1]LISTE!$A$1:$D$431,4,FALSE)</f>
        <v>ABDELLATIF MOHAMED ALI</v>
      </c>
      <c r="D110" s="14" t="s">
        <v>329</v>
      </c>
      <c r="E110" s="15">
        <v>45820</v>
      </c>
      <c r="F110" s="14" t="s">
        <v>20</v>
      </c>
      <c r="G110" s="16">
        <v>67.221999999999994</v>
      </c>
    </row>
    <row r="111" spans="1:7" x14ac:dyDescent="0.25">
      <c r="A111" s="13" t="s">
        <v>1767</v>
      </c>
      <c r="B111" s="13">
        <v>1876</v>
      </c>
      <c r="C111" s="14" t="str">
        <f>+VLOOKUP(B111,[1]LISTE!$A$1:$D$431,4,FALSE)</f>
        <v>LADHERI SAMI</v>
      </c>
      <c r="D111" s="15" t="s">
        <v>22</v>
      </c>
      <c r="E111" s="15">
        <v>45819</v>
      </c>
      <c r="F111" s="14" t="s">
        <v>18</v>
      </c>
      <c r="G111" s="16">
        <v>70</v>
      </c>
    </row>
    <row r="112" spans="1:7" x14ac:dyDescent="0.25">
      <c r="A112" s="13" t="s">
        <v>1767</v>
      </c>
      <c r="B112" s="13">
        <v>1876</v>
      </c>
      <c r="C112" s="14" t="str">
        <f>+VLOOKUP(B112,[1]LISTE!$A$1:$D$431,4,FALSE)</f>
        <v>LADHERI SAMI</v>
      </c>
      <c r="D112" s="14" t="s">
        <v>22</v>
      </c>
      <c r="E112" s="15">
        <v>45829</v>
      </c>
      <c r="F112" s="14" t="s">
        <v>65</v>
      </c>
      <c r="G112" s="16">
        <v>30</v>
      </c>
    </row>
    <row r="113" spans="1:7" x14ac:dyDescent="0.25">
      <c r="A113" s="13" t="s">
        <v>1767</v>
      </c>
      <c r="B113" s="13">
        <v>1876</v>
      </c>
      <c r="C113" s="14" t="str">
        <f>+VLOOKUP(B113,[1]LISTE!$A$1:$D$431,4,FALSE)</f>
        <v>LADHERI SAMI</v>
      </c>
      <c r="D113" s="15" t="s">
        <v>22</v>
      </c>
      <c r="E113" s="15">
        <v>45819</v>
      </c>
      <c r="F113" s="14" t="s">
        <v>20</v>
      </c>
      <c r="G113" s="16">
        <v>21.187999999999999</v>
      </c>
    </row>
    <row r="114" spans="1:7" x14ac:dyDescent="0.25">
      <c r="A114" s="13" t="s">
        <v>1767</v>
      </c>
      <c r="B114" s="13">
        <v>1876</v>
      </c>
      <c r="C114" s="14" t="str">
        <f>+VLOOKUP(B114,[1]LISTE!$A$1:$D$431,4,FALSE)</f>
        <v>LADHERI SAMI</v>
      </c>
      <c r="D114" s="15" t="s">
        <v>22</v>
      </c>
      <c r="E114" s="15">
        <v>45828</v>
      </c>
      <c r="F114" s="14" t="s">
        <v>21</v>
      </c>
      <c r="G114" s="16">
        <v>90</v>
      </c>
    </row>
    <row r="115" spans="1:7" x14ac:dyDescent="0.25">
      <c r="A115" s="13" t="s">
        <v>1677</v>
      </c>
      <c r="B115" s="13">
        <v>1884</v>
      </c>
      <c r="C115" s="14" t="str">
        <f>+VLOOKUP(B115,[1]LISTE!$A$1:$D$431,4,FALSE)</f>
        <v>BELKHIRIA HAYKEL</v>
      </c>
      <c r="D115" s="14" t="s">
        <v>1678</v>
      </c>
      <c r="E115" s="15">
        <v>45813</v>
      </c>
      <c r="F115" s="14" t="s">
        <v>23</v>
      </c>
      <c r="G115" s="16">
        <v>50</v>
      </c>
    </row>
    <row r="116" spans="1:7" x14ac:dyDescent="0.25">
      <c r="A116" s="13" t="s">
        <v>1677</v>
      </c>
      <c r="B116" s="13">
        <v>1884</v>
      </c>
      <c r="C116" s="14" t="str">
        <f>+VLOOKUP(B116,[1]LISTE!$A$1:$D$431,4,FALSE)</f>
        <v>BELKHIRIA HAYKEL</v>
      </c>
      <c r="D116" s="15" t="s">
        <v>1678</v>
      </c>
      <c r="E116" s="15">
        <v>45819</v>
      </c>
      <c r="F116" s="14" t="s">
        <v>20</v>
      </c>
      <c r="G116" s="16">
        <v>2.7149999999999999</v>
      </c>
    </row>
    <row r="117" spans="1:7" x14ac:dyDescent="0.25">
      <c r="A117" s="13" t="s">
        <v>1719</v>
      </c>
      <c r="B117" s="13">
        <v>1887</v>
      </c>
      <c r="C117" s="14" t="str">
        <f>+VLOOKUP(B117,[1]LISTE!$A$1:$D$431,4,FALSE)</f>
        <v>BEN SALAH HATEM</v>
      </c>
      <c r="D117" s="14" t="s">
        <v>361</v>
      </c>
      <c r="E117" s="15">
        <v>45806</v>
      </c>
      <c r="F117" s="14" t="s">
        <v>23</v>
      </c>
      <c r="G117" s="16">
        <v>45</v>
      </c>
    </row>
    <row r="118" spans="1:7" x14ac:dyDescent="0.25">
      <c r="A118" s="13" t="s">
        <v>1719</v>
      </c>
      <c r="B118" s="13">
        <v>1887</v>
      </c>
      <c r="C118" s="14" t="str">
        <f>+VLOOKUP(B118,[1]LISTE!$A$1:$D$431,4,FALSE)</f>
        <v>BEN SALAH HATEM</v>
      </c>
      <c r="D118" s="14" t="s">
        <v>361</v>
      </c>
      <c r="E118" s="15">
        <v>45812</v>
      </c>
      <c r="F118" s="14" t="s">
        <v>20</v>
      </c>
      <c r="G118" s="16">
        <v>143.69999999999999</v>
      </c>
    </row>
    <row r="119" spans="1:7" x14ac:dyDescent="0.25">
      <c r="A119" s="13" t="s">
        <v>1719</v>
      </c>
      <c r="B119" s="13">
        <v>1887</v>
      </c>
      <c r="C119" s="14" t="str">
        <f>+VLOOKUP(B119,[1]LISTE!$A$1:$D$431,4,FALSE)</f>
        <v>BEN SALAH HATEM</v>
      </c>
      <c r="D119" s="14" t="s">
        <v>361</v>
      </c>
      <c r="E119" s="15">
        <v>45806</v>
      </c>
      <c r="F119" s="14" t="s">
        <v>19</v>
      </c>
      <c r="G119" s="16">
        <v>46.87</v>
      </c>
    </row>
    <row r="120" spans="1:7" x14ac:dyDescent="0.25">
      <c r="A120" s="13" t="s">
        <v>1726</v>
      </c>
      <c r="B120" s="13">
        <v>1902</v>
      </c>
      <c r="C120" s="14" t="str">
        <f>+VLOOKUP(B120,[1]LISTE!$A$1:$D$431,4,FALSE)</f>
        <v>BEN ABDALLAH HATEM</v>
      </c>
      <c r="D120" s="14" t="s">
        <v>1727</v>
      </c>
      <c r="E120" s="15">
        <v>45818</v>
      </c>
      <c r="F120" s="14" t="s">
        <v>18</v>
      </c>
      <c r="G120" s="16">
        <v>60</v>
      </c>
    </row>
    <row r="121" spans="1:7" x14ac:dyDescent="0.25">
      <c r="A121" s="13" t="s">
        <v>1726</v>
      </c>
      <c r="B121" s="13">
        <v>1902</v>
      </c>
      <c r="C121" s="14" t="str">
        <f>+VLOOKUP(B121,[1]LISTE!$A$1:$D$431,4,FALSE)</f>
        <v>BEN ABDALLAH HATEM</v>
      </c>
      <c r="D121" s="15" t="s">
        <v>1727</v>
      </c>
      <c r="E121" s="15">
        <v>45818</v>
      </c>
      <c r="F121" s="14" t="s">
        <v>363</v>
      </c>
      <c r="G121" s="16">
        <v>290</v>
      </c>
    </row>
    <row r="122" spans="1:7" x14ac:dyDescent="0.25">
      <c r="A122" s="13" t="s">
        <v>1726</v>
      </c>
      <c r="B122" s="13">
        <v>1902</v>
      </c>
      <c r="C122" s="14" t="str">
        <f>+VLOOKUP(B122,[1]LISTE!$A$1:$D$431,4,FALSE)</f>
        <v>BEN ABDALLAH HATEM</v>
      </c>
      <c r="D122" s="15" t="s">
        <v>1727</v>
      </c>
      <c r="E122" s="15">
        <v>45818</v>
      </c>
      <c r="F122" s="14" t="s">
        <v>23</v>
      </c>
      <c r="G122" s="16">
        <v>7</v>
      </c>
    </row>
    <row r="123" spans="1:7" x14ac:dyDescent="0.25">
      <c r="A123" s="13" t="s">
        <v>1726</v>
      </c>
      <c r="B123" s="13">
        <v>1902</v>
      </c>
      <c r="C123" s="14" t="str">
        <f>+VLOOKUP(B123,[1]LISTE!$A$1:$D$431,4,FALSE)</f>
        <v>BEN ABDALLAH HATEM</v>
      </c>
      <c r="D123" s="14" t="s">
        <v>1727</v>
      </c>
      <c r="E123" s="15">
        <v>45818</v>
      </c>
      <c r="F123" s="14" t="s">
        <v>20</v>
      </c>
      <c r="G123" s="16">
        <v>5.0949999999999998</v>
      </c>
    </row>
    <row r="124" spans="1:7" x14ac:dyDescent="0.25">
      <c r="A124" s="13" t="s">
        <v>1726</v>
      </c>
      <c r="B124" s="13">
        <v>1902</v>
      </c>
      <c r="C124" s="14" t="str">
        <f>+VLOOKUP(B124,[1]LISTE!$A$1:$D$431,4,FALSE)</f>
        <v>BEN ABDALLAH HATEM</v>
      </c>
      <c r="D124" s="14" t="s">
        <v>1727</v>
      </c>
      <c r="E124" s="15">
        <v>45818</v>
      </c>
      <c r="F124" s="14" t="s">
        <v>21</v>
      </c>
      <c r="G124" s="16">
        <v>22.5</v>
      </c>
    </row>
    <row r="125" spans="1:7" x14ac:dyDescent="0.25">
      <c r="A125" s="13" t="s">
        <v>1684</v>
      </c>
      <c r="B125" s="13">
        <v>1908</v>
      </c>
      <c r="C125" s="14" t="str">
        <f>+VLOOKUP(B125,[1]LISTE!$A$1:$D$431,4,FALSE)</f>
        <v>ZMERLI JAOUHAR</v>
      </c>
      <c r="D125" s="15" t="s">
        <v>22</v>
      </c>
      <c r="E125" s="15">
        <v>45819</v>
      </c>
      <c r="F125" s="14" t="s">
        <v>23</v>
      </c>
      <c r="G125" s="16">
        <v>1.5</v>
      </c>
    </row>
    <row r="126" spans="1:7" x14ac:dyDescent="0.25">
      <c r="A126" s="13" t="s">
        <v>1684</v>
      </c>
      <c r="B126" s="13">
        <v>1908</v>
      </c>
      <c r="C126" s="14" t="str">
        <f>+VLOOKUP(B126,[1]LISTE!$A$1:$D$431,4,FALSE)</f>
        <v>ZMERLI JAOUHAR</v>
      </c>
      <c r="D126" s="14" t="s">
        <v>22</v>
      </c>
      <c r="E126" s="15">
        <v>45819</v>
      </c>
      <c r="F126" s="14" t="s">
        <v>20</v>
      </c>
      <c r="G126" s="16">
        <v>24.34</v>
      </c>
    </row>
    <row r="127" spans="1:7" x14ac:dyDescent="0.25">
      <c r="A127" s="13" t="s">
        <v>1745</v>
      </c>
      <c r="B127" s="13">
        <v>1921</v>
      </c>
      <c r="C127" s="14" t="str">
        <f>+VLOOKUP(B127,[1]LISTE!$A$1:$D$431,4,FALSE)</f>
        <v>HNIA SAHNOUN</v>
      </c>
      <c r="D127" s="15" t="s">
        <v>22</v>
      </c>
      <c r="E127" s="15">
        <v>45817</v>
      </c>
      <c r="F127" s="14" t="s">
        <v>23</v>
      </c>
      <c r="G127" s="16">
        <v>50</v>
      </c>
    </row>
    <row r="128" spans="1:7" x14ac:dyDescent="0.25">
      <c r="A128" s="13" t="s">
        <v>1745</v>
      </c>
      <c r="B128" s="13">
        <v>1921</v>
      </c>
      <c r="C128" s="14" t="str">
        <f>+VLOOKUP(B128,[1]LISTE!$A$1:$D$431,4,FALSE)</f>
        <v>HNIA SAHNOUN</v>
      </c>
      <c r="D128" s="14" t="s">
        <v>22</v>
      </c>
      <c r="E128" s="15">
        <v>45827</v>
      </c>
      <c r="F128" s="14" t="s">
        <v>20</v>
      </c>
      <c r="G128" s="16">
        <v>3.71</v>
      </c>
    </row>
    <row r="129" spans="1:7" x14ac:dyDescent="0.25">
      <c r="A129" s="13" t="s">
        <v>1745</v>
      </c>
      <c r="B129" s="13">
        <v>1921</v>
      </c>
      <c r="C129" s="14" t="str">
        <f>+VLOOKUP(B129,[1]LISTE!$A$1:$D$431,4,FALSE)</f>
        <v>HNIA SAHNOUN</v>
      </c>
      <c r="D129" s="14" t="s">
        <v>22</v>
      </c>
      <c r="E129" s="15">
        <v>45827</v>
      </c>
      <c r="F129" s="14" t="s">
        <v>24</v>
      </c>
      <c r="G129" s="16">
        <v>270</v>
      </c>
    </row>
    <row r="130" spans="1:7" x14ac:dyDescent="0.25">
      <c r="A130" s="13" t="s">
        <v>1745</v>
      </c>
      <c r="B130" s="13">
        <v>1921</v>
      </c>
      <c r="C130" s="14" t="str">
        <f>+VLOOKUP(B130,[1]LISTE!$A$1:$D$431,4,FALSE)</f>
        <v>HNIA SAHNOUN</v>
      </c>
      <c r="D130" s="14" t="s">
        <v>22</v>
      </c>
      <c r="E130" s="15">
        <v>45822</v>
      </c>
      <c r="F130" s="14" t="s">
        <v>25</v>
      </c>
      <c r="G130" s="16">
        <v>250</v>
      </c>
    </row>
    <row r="131" spans="1:7" x14ac:dyDescent="0.25">
      <c r="A131" s="13" t="s">
        <v>1740</v>
      </c>
      <c r="B131" s="13">
        <v>1928</v>
      </c>
      <c r="C131" s="14" t="str">
        <f>+VLOOKUP(B131,[1]LISTE!$A$1:$D$431,4,FALSE)</f>
        <v>ZAGGAR JAMEL</v>
      </c>
      <c r="D131" s="14" t="s">
        <v>892</v>
      </c>
      <c r="E131" s="15">
        <v>45792</v>
      </c>
      <c r="F131" s="14" t="s">
        <v>18</v>
      </c>
      <c r="G131" s="16">
        <v>70</v>
      </c>
    </row>
    <row r="132" spans="1:7" x14ac:dyDescent="0.25">
      <c r="A132" s="13" t="s">
        <v>1740</v>
      </c>
      <c r="B132" s="13">
        <v>1928</v>
      </c>
      <c r="C132" s="14" t="str">
        <f>+VLOOKUP(B132,[1]LISTE!$A$1:$D$431,4,FALSE)</f>
        <v>ZAGGAR JAMEL</v>
      </c>
      <c r="D132" s="15" t="s">
        <v>892</v>
      </c>
      <c r="E132" s="15">
        <v>45793</v>
      </c>
      <c r="F132" s="14" t="s">
        <v>20</v>
      </c>
      <c r="G132" s="16">
        <v>202.58</v>
      </c>
    </row>
    <row r="133" spans="1:7" x14ac:dyDescent="0.25">
      <c r="A133" s="13" t="s">
        <v>1740</v>
      </c>
      <c r="B133" s="13">
        <v>1928</v>
      </c>
      <c r="C133" s="14" t="str">
        <f>+VLOOKUP(B133,[1]LISTE!$A$1:$D$431,4,FALSE)</f>
        <v>ZAGGAR JAMEL</v>
      </c>
      <c r="D133" s="14" t="s">
        <v>892</v>
      </c>
      <c r="E133" s="15">
        <v>45793</v>
      </c>
      <c r="F133" s="14" t="s">
        <v>21</v>
      </c>
      <c r="G133" s="16">
        <v>160</v>
      </c>
    </row>
    <row r="134" spans="1:7" x14ac:dyDescent="0.25">
      <c r="A134" s="13" t="s">
        <v>1749</v>
      </c>
      <c r="B134" s="13">
        <v>1969</v>
      </c>
      <c r="C134" s="14" t="str">
        <f>+VLOOKUP(B134,[1]LISTE!$A$1:$D$431,4,FALSE)</f>
        <v>BOUKADDIDA MEHREZ</v>
      </c>
      <c r="D134" s="14" t="s">
        <v>436</v>
      </c>
      <c r="E134" s="15">
        <v>45823</v>
      </c>
      <c r="F134" s="14" t="s">
        <v>23</v>
      </c>
      <c r="G134" s="16">
        <v>7</v>
      </c>
    </row>
    <row r="135" spans="1:7" x14ac:dyDescent="0.25">
      <c r="A135" s="13" t="s">
        <v>1749</v>
      </c>
      <c r="B135" s="13">
        <v>1969</v>
      </c>
      <c r="C135" s="14" t="str">
        <f>+VLOOKUP(B135,[1]LISTE!$A$1:$D$431,4,FALSE)</f>
        <v>BOUKADDIDA MEHREZ</v>
      </c>
      <c r="D135" s="14" t="s">
        <v>436</v>
      </c>
      <c r="E135" s="15">
        <v>45823</v>
      </c>
      <c r="F135" s="14" t="s">
        <v>20</v>
      </c>
      <c r="G135" s="16">
        <v>68.274000000000001</v>
      </c>
    </row>
    <row r="136" spans="1:7" x14ac:dyDescent="0.25">
      <c r="A136" s="13" t="s">
        <v>1746</v>
      </c>
      <c r="B136" s="13">
        <v>1983</v>
      </c>
      <c r="C136" s="14" t="str">
        <f>+VLOOKUP(B136,[1]LISTE!$A$1:$D$431,4,FALSE)</f>
        <v>GOUIDER SLAHEDDINE</v>
      </c>
      <c r="D136" s="14" t="s">
        <v>296</v>
      </c>
      <c r="E136" s="15">
        <v>45825</v>
      </c>
      <c r="F136" s="14" t="s">
        <v>18</v>
      </c>
      <c r="G136" s="16">
        <v>60</v>
      </c>
    </row>
    <row r="137" spans="1:7" x14ac:dyDescent="0.25">
      <c r="A137" s="13" t="s">
        <v>1746</v>
      </c>
      <c r="B137" s="13">
        <v>1983</v>
      </c>
      <c r="C137" s="14" t="str">
        <f>+VLOOKUP(B137,[1]LISTE!$A$1:$D$431,4,FALSE)</f>
        <v>GOUIDER SLAHEDDINE</v>
      </c>
      <c r="D137" s="14" t="s">
        <v>296</v>
      </c>
      <c r="E137" s="15">
        <v>45825</v>
      </c>
      <c r="F137" s="14" t="s">
        <v>20</v>
      </c>
      <c r="G137" s="16">
        <v>94.69</v>
      </c>
    </row>
    <row r="138" spans="1:7" x14ac:dyDescent="0.25">
      <c r="A138" s="13" t="s">
        <v>1715</v>
      </c>
      <c r="B138" s="13">
        <v>2009</v>
      </c>
      <c r="C138" s="14" t="str">
        <f>+VLOOKUP(B138,[1]LISTE!$A$1:$D$431,4,FALSE)</f>
        <v>BEN SAAD MOHAMED AMINE</v>
      </c>
      <c r="D138" s="14" t="s">
        <v>22</v>
      </c>
      <c r="E138" s="15">
        <v>45817</v>
      </c>
      <c r="F138" s="14" t="s">
        <v>23</v>
      </c>
      <c r="G138" s="16">
        <v>45</v>
      </c>
    </row>
    <row r="139" spans="1:7" x14ac:dyDescent="0.25">
      <c r="A139" s="13" t="s">
        <v>1715</v>
      </c>
      <c r="B139" s="13">
        <v>2009</v>
      </c>
      <c r="C139" s="14" t="str">
        <f>+VLOOKUP(B139,[1]LISTE!$A$1:$D$431,4,FALSE)</f>
        <v>BEN SAAD MOHAMED AMINE</v>
      </c>
      <c r="D139" s="14" t="s">
        <v>22</v>
      </c>
      <c r="E139" s="15">
        <v>45817</v>
      </c>
      <c r="F139" s="14" t="s">
        <v>20</v>
      </c>
      <c r="G139" s="16">
        <v>67.620999999999995</v>
      </c>
    </row>
    <row r="140" spans="1:7" x14ac:dyDescent="0.25">
      <c r="A140" s="13" t="s">
        <v>1774</v>
      </c>
      <c r="B140" s="13">
        <v>2022</v>
      </c>
      <c r="C140" s="14" t="str">
        <f>+VLOOKUP(B140,[1]LISTE!$A$1:$D$431,4,FALSE)</f>
        <v>BOUHLEL YOUSSEF</v>
      </c>
      <c r="D140" s="14" t="s">
        <v>22</v>
      </c>
      <c r="E140" s="15">
        <v>45829</v>
      </c>
      <c r="F140" s="14" t="s">
        <v>23</v>
      </c>
      <c r="G140" s="16">
        <v>50</v>
      </c>
    </row>
    <row r="141" spans="1:7" x14ac:dyDescent="0.25">
      <c r="A141" s="13" t="s">
        <v>1774</v>
      </c>
      <c r="B141" s="13">
        <v>2022</v>
      </c>
      <c r="C141" s="14" t="str">
        <f>+VLOOKUP(B141,[1]LISTE!$A$1:$D$431,4,FALSE)</f>
        <v>BOUHLEL YOUSSEF</v>
      </c>
      <c r="D141" s="15" t="s">
        <v>22</v>
      </c>
      <c r="E141" s="15">
        <v>45829</v>
      </c>
      <c r="F141" s="14" t="s">
        <v>20</v>
      </c>
      <c r="G141" s="16">
        <v>22.65</v>
      </c>
    </row>
    <row r="142" spans="1:7" x14ac:dyDescent="0.25">
      <c r="A142" s="13" t="s">
        <v>1774</v>
      </c>
      <c r="B142" s="13">
        <v>2022</v>
      </c>
      <c r="C142" s="14" t="str">
        <f>+VLOOKUP(B142,[1]LISTE!$A$1:$D$431,4,FALSE)</f>
        <v>BOUHLEL YOUSSEF</v>
      </c>
      <c r="D142" s="15" t="s">
        <v>22</v>
      </c>
      <c r="E142" s="15">
        <v>45829</v>
      </c>
      <c r="F142" s="14" t="s">
        <v>24</v>
      </c>
      <c r="G142" s="16">
        <v>100</v>
      </c>
    </row>
    <row r="143" spans="1:7" x14ac:dyDescent="0.25">
      <c r="A143" s="13" t="s">
        <v>1737</v>
      </c>
      <c r="B143" s="13">
        <v>2036</v>
      </c>
      <c r="C143" s="14" t="s">
        <v>1738</v>
      </c>
      <c r="D143" s="14" t="s">
        <v>132</v>
      </c>
      <c r="E143" s="15">
        <v>45803</v>
      </c>
      <c r="F143" s="14" t="s">
        <v>23</v>
      </c>
      <c r="G143" s="16">
        <v>50</v>
      </c>
    </row>
    <row r="144" spans="1:7" x14ac:dyDescent="0.25">
      <c r="A144" s="13" t="s">
        <v>1737</v>
      </c>
      <c r="B144" s="13">
        <v>2036</v>
      </c>
      <c r="C144" s="14" t="s">
        <v>1738</v>
      </c>
      <c r="D144" s="14" t="s">
        <v>132</v>
      </c>
      <c r="E144" s="15">
        <v>45803</v>
      </c>
      <c r="F144" s="14" t="s">
        <v>20</v>
      </c>
      <c r="G144" s="16">
        <v>60.756999999999998</v>
      </c>
    </row>
    <row r="145" spans="1:7" x14ac:dyDescent="0.25">
      <c r="A145" s="13" t="s">
        <v>1739</v>
      </c>
      <c r="B145" s="13">
        <v>2036</v>
      </c>
      <c r="C145" s="14" t="s">
        <v>1738</v>
      </c>
      <c r="D145" s="14" t="s">
        <v>22</v>
      </c>
      <c r="E145" s="15">
        <v>45792</v>
      </c>
      <c r="F145" s="14" t="s">
        <v>23</v>
      </c>
      <c r="G145" s="16">
        <v>50</v>
      </c>
    </row>
    <row r="146" spans="1:7" x14ac:dyDescent="0.25">
      <c r="A146" s="13" t="s">
        <v>1739</v>
      </c>
      <c r="B146" s="13">
        <v>2036</v>
      </c>
      <c r="C146" s="14" t="s">
        <v>1738</v>
      </c>
      <c r="D146" s="14" t="s">
        <v>22</v>
      </c>
      <c r="E146" s="15">
        <v>45792</v>
      </c>
      <c r="F146" s="14" t="s">
        <v>20</v>
      </c>
      <c r="G146" s="16">
        <v>57.872</v>
      </c>
    </row>
    <row r="147" spans="1:7" x14ac:dyDescent="0.25">
      <c r="A147" s="13" t="s">
        <v>1700</v>
      </c>
      <c r="B147" s="13">
        <v>2040</v>
      </c>
      <c r="C147" s="14" t="str">
        <f>+VLOOKUP(B147,[1]LISTE!$A$1:$D$431,4,FALSE)</f>
        <v>GHEZAL YOUSSEF</v>
      </c>
      <c r="D147" s="14" t="s">
        <v>268</v>
      </c>
      <c r="E147" s="15">
        <v>45821</v>
      </c>
      <c r="F147" s="14" t="s">
        <v>18</v>
      </c>
      <c r="G147" s="16">
        <v>60</v>
      </c>
    </row>
    <row r="148" spans="1:7" x14ac:dyDescent="0.25">
      <c r="A148" s="13" t="s">
        <v>1700</v>
      </c>
      <c r="B148" s="13">
        <v>2040</v>
      </c>
      <c r="C148" s="14" t="str">
        <f>+VLOOKUP(B148,[1]LISTE!$A$1:$D$431,4,FALSE)</f>
        <v>GHEZAL YOUSSEF</v>
      </c>
      <c r="D148" s="15" t="s">
        <v>268</v>
      </c>
      <c r="E148" s="15">
        <v>45821</v>
      </c>
      <c r="F148" s="14" t="s">
        <v>20</v>
      </c>
      <c r="G148" s="16">
        <v>44.171999999999997</v>
      </c>
    </row>
    <row r="149" spans="1:7" x14ac:dyDescent="0.25">
      <c r="A149" s="13" t="s">
        <v>1709</v>
      </c>
      <c r="B149" s="13">
        <v>2055</v>
      </c>
      <c r="C149" s="14" t="str">
        <f>+VLOOKUP(B149,[1]LISTE!$A$1:$D$431,4,FALSE)</f>
        <v>BEN YAHIA AHMED</v>
      </c>
      <c r="D149" s="15" t="s">
        <v>1710</v>
      </c>
      <c r="E149" s="15">
        <v>45800</v>
      </c>
      <c r="F149" s="14" t="s">
        <v>23</v>
      </c>
      <c r="G149" s="16">
        <v>45</v>
      </c>
    </row>
    <row r="150" spans="1:7" x14ac:dyDescent="0.25">
      <c r="A150" s="13" t="s">
        <v>1709</v>
      </c>
      <c r="B150" s="13">
        <v>2055</v>
      </c>
      <c r="C150" s="14" t="str">
        <f>+VLOOKUP(B150,[1]LISTE!$A$1:$D$431,4,FALSE)</f>
        <v>BEN YAHIA AHMED</v>
      </c>
      <c r="D150" s="14" t="s">
        <v>1710</v>
      </c>
      <c r="E150" s="15">
        <v>45800</v>
      </c>
      <c r="F150" s="14" t="s">
        <v>20</v>
      </c>
      <c r="G150" s="16">
        <v>34.215000000000003</v>
      </c>
    </row>
    <row r="151" spans="1:7" x14ac:dyDescent="0.25">
      <c r="A151" s="13" t="s">
        <v>1753</v>
      </c>
      <c r="B151" s="13">
        <v>2084</v>
      </c>
      <c r="C151" s="14" t="str">
        <f>+VLOOKUP(B151,[1]LISTE!$A$1:$D$431,4,FALSE)</f>
        <v>HELALI Emna</v>
      </c>
      <c r="D151" s="15" t="s">
        <v>22</v>
      </c>
      <c r="E151" s="15">
        <v>45826</v>
      </c>
      <c r="F151" s="14" t="s">
        <v>18</v>
      </c>
      <c r="G151" s="16">
        <v>70</v>
      </c>
    </row>
    <row r="152" spans="1:7" x14ac:dyDescent="0.25">
      <c r="A152" s="13" t="s">
        <v>1753</v>
      </c>
      <c r="B152" s="13">
        <v>2084</v>
      </c>
      <c r="C152" s="14" t="str">
        <f>+VLOOKUP(B152,[1]LISTE!$A$1:$D$431,4,FALSE)</f>
        <v>HELALI Emna</v>
      </c>
      <c r="D152" s="14" t="s">
        <v>22</v>
      </c>
      <c r="E152" s="15">
        <v>45826</v>
      </c>
      <c r="F152" s="14" t="s">
        <v>20</v>
      </c>
      <c r="G152" s="16">
        <v>66.260000000000005</v>
      </c>
    </row>
    <row r="153" spans="1:7" x14ac:dyDescent="0.25">
      <c r="A153" s="13" t="s">
        <v>1692</v>
      </c>
      <c r="B153" s="13">
        <v>2100</v>
      </c>
      <c r="C153" s="14" t="str">
        <f>+VLOOKUP(B153,[1]LISTE!$A$1:$D$431,4,FALSE)</f>
        <v>MLAYEH NEZIHA</v>
      </c>
      <c r="D153" s="14" t="s">
        <v>284</v>
      </c>
      <c r="E153" s="15">
        <v>45818</v>
      </c>
      <c r="F153" s="14" t="s">
        <v>23</v>
      </c>
      <c r="G153" s="16">
        <v>1.5</v>
      </c>
    </row>
    <row r="154" spans="1:7" x14ac:dyDescent="0.25">
      <c r="A154" s="13" t="s">
        <v>1692</v>
      </c>
      <c r="B154" s="13">
        <v>2100</v>
      </c>
      <c r="C154" s="14" t="str">
        <f>+VLOOKUP(B154,[1]LISTE!$A$1:$D$431,4,FALSE)</f>
        <v>MLAYEH NEZIHA</v>
      </c>
      <c r="D154" s="14" t="s">
        <v>284</v>
      </c>
      <c r="E154" s="15">
        <v>45818</v>
      </c>
      <c r="F154" s="14" t="s">
        <v>20</v>
      </c>
      <c r="G154" s="16">
        <v>47.04</v>
      </c>
    </row>
    <row r="155" spans="1:7" x14ac:dyDescent="0.25">
      <c r="A155" s="13" t="s">
        <v>1776</v>
      </c>
      <c r="B155" s="13">
        <v>2102</v>
      </c>
      <c r="C155" s="14" t="str">
        <f>+VLOOKUP(B155,[1]LISTE!$A$1:$D$431,4,FALSE)</f>
        <v>BENAMER MARWA</v>
      </c>
      <c r="D155" s="15" t="s">
        <v>428</v>
      </c>
      <c r="E155" s="15">
        <v>45819</v>
      </c>
      <c r="F155" s="14" t="s">
        <v>18</v>
      </c>
      <c r="G155" s="16">
        <v>60</v>
      </c>
    </row>
    <row r="156" spans="1:7" x14ac:dyDescent="0.25">
      <c r="A156" s="13" t="s">
        <v>1776</v>
      </c>
      <c r="B156" s="13">
        <v>2102</v>
      </c>
      <c r="C156" s="14" t="str">
        <f>+VLOOKUP(B156,[1]LISTE!$A$1:$D$431,4,FALSE)</f>
        <v>BENAMER MARWA</v>
      </c>
      <c r="D156" s="15" t="s">
        <v>428</v>
      </c>
      <c r="E156" s="15">
        <v>45819</v>
      </c>
      <c r="F156" s="14" t="s">
        <v>20</v>
      </c>
      <c r="G156" s="16">
        <v>40.664999999999999</v>
      </c>
    </row>
    <row r="157" spans="1:7" x14ac:dyDescent="0.25">
      <c r="A157" s="13" t="s">
        <v>1769</v>
      </c>
      <c r="B157" s="13">
        <v>2125</v>
      </c>
      <c r="C157" s="14" t="str">
        <f>+VLOOKUP(B157,[1]LISTE!$A$1:$D$431,4,FALSE)</f>
        <v>ACHRAF HASSEN</v>
      </c>
      <c r="D157" s="14" t="s">
        <v>1369</v>
      </c>
      <c r="E157" s="15">
        <v>45831</v>
      </c>
      <c r="F157" s="14" t="s">
        <v>23</v>
      </c>
      <c r="G157" s="16">
        <v>3</v>
      </c>
    </row>
    <row r="158" spans="1:7" x14ac:dyDescent="0.25">
      <c r="A158" s="13" t="s">
        <v>1769</v>
      </c>
      <c r="B158" s="13">
        <v>2125</v>
      </c>
      <c r="C158" s="14" t="str">
        <f>+VLOOKUP(B158,[1]LISTE!$A$1:$D$431,4,FALSE)</f>
        <v>ACHRAF HASSEN</v>
      </c>
      <c r="D158" s="15" t="s">
        <v>1369</v>
      </c>
      <c r="E158" s="15">
        <v>45831</v>
      </c>
      <c r="F158" s="14" t="s">
        <v>20</v>
      </c>
      <c r="G158" s="16">
        <v>19.712</v>
      </c>
    </row>
    <row r="159" spans="1:7" x14ac:dyDescent="0.25">
      <c r="A159" s="13" t="s">
        <v>1775</v>
      </c>
      <c r="B159" s="13">
        <v>2137</v>
      </c>
      <c r="C159" s="14" t="str">
        <f>+VLOOKUP(B159,[1]LISTE!$A$1:$D$431,4,FALSE)</f>
        <v>MOHAMED BOUZAMOUCHA</v>
      </c>
      <c r="D159" s="14" t="s">
        <v>22</v>
      </c>
      <c r="E159" s="15">
        <v>45824</v>
      </c>
      <c r="F159" s="14" t="s">
        <v>18</v>
      </c>
      <c r="G159" s="16">
        <v>60</v>
      </c>
    </row>
    <row r="160" spans="1:7" x14ac:dyDescent="0.25">
      <c r="A160" s="13" t="s">
        <v>1775</v>
      </c>
      <c r="B160" s="13">
        <v>2137</v>
      </c>
      <c r="C160" s="14" t="str">
        <f>+VLOOKUP(B160,[1]LISTE!$A$1:$D$431,4,FALSE)</f>
        <v>MOHAMED BOUZAMOUCHA</v>
      </c>
      <c r="D160" s="14" t="s">
        <v>22</v>
      </c>
      <c r="E160" s="15">
        <v>45825</v>
      </c>
      <c r="F160" s="14" t="s">
        <v>20</v>
      </c>
      <c r="G160" s="16">
        <v>47.935000000000002</v>
      </c>
    </row>
    <row r="161" spans="1:7" x14ac:dyDescent="0.25">
      <c r="A161" s="13" t="s">
        <v>1775</v>
      </c>
      <c r="B161" s="13">
        <v>2137</v>
      </c>
      <c r="C161" s="14" t="str">
        <f>+VLOOKUP(B161,[1]LISTE!$A$1:$D$431,4,FALSE)</f>
        <v>MOHAMED BOUZAMOUCHA</v>
      </c>
      <c r="D161" s="14" t="s">
        <v>22</v>
      </c>
      <c r="E161" s="15">
        <v>45825</v>
      </c>
      <c r="F161" s="14" t="s">
        <v>21</v>
      </c>
      <c r="G161" s="16">
        <v>90</v>
      </c>
    </row>
    <row r="162" spans="1:7" x14ac:dyDescent="0.25">
      <c r="A162" s="13" t="s">
        <v>1699</v>
      </c>
      <c r="B162" s="13">
        <v>2149</v>
      </c>
      <c r="C162" s="14" t="str">
        <f>+VLOOKUP(B162,[1]LISTE!$A$1:$D$431,4,FALSE)</f>
        <v>BERRIRI HOUSSEM</v>
      </c>
      <c r="D162" s="14" t="s">
        <v>22</v>
      </c>
      <c r="E162" s="15">
        <v>45820</v>
      </c>
      <c r="F162" s="14" t="s">
        <v>23</v>
      </c>
      <c r="G162" s="16">
        <v>1.5</v>
      </c>
    </row>
    <row r="163" spans="1:7" x14ac:dyDescent="0.25">
      <c r="A163" s="13" t="s">
        <v>1699</v>
      </c>
      <c r="B163" s="13">
        <v>2149</v>
      </c>
      <c r="C163" s="14" t="str">
        <f>+VLOOKUP(B163,[1]LISTE!$A$1:$D$431,4,FALSE)</f>
        <v>BERRIRI HOUSSEM</v>
      </c>
      <c r="D163" s="15" t="s">
        <v>22</v>
      </c>
      <c r="E163" s="15">
        <v>45820</v>
      </c>
      <c r="F163" s="14" t="s">
        <v>20</v>
      </c>
      <c r="G163" s="16">
        <v>22.423999999999999</v>
      </c>
    </row>
    <row r="164" spans="1:7" x14ac:dyDescent="0.25">
      <c r="A164" s="13" t="s">
        <v>1750</v>
      </c>
      <c r="B164" s="13">
        <v>2170</v>
      </c>
      <c r="C164" s="14" t="str">
        <f>+VLOOKUP(B164,[1]LISTE!$A$1:$D$431,4,FALSE)</f>
        <v>BEN AHMED ANOUAR</v>
      </c>
      <c r="D164" s="14" t="s">
        <v>22</v>
      </c>
      <c r="E164" s="15">
        <v>45821</v>
      </c>
      <c r="F164" s="14" t="s">
        <v>23</v>
      </c>
      <c r="G164" s="16">
        <v>35</v>
      </c>
    </row>
    <row r="165" spans="1:7" x14ac:dyDescent="0.25">
      <c r="A165" s="13" t="s">
        <v>1750</v>
      </c>
      <c r="B165" s="13">
        <v>2170</v>
      </c>
      <c r="C165" s="14" t="str">
        <f>+VLOOKUP(B165,[1]LISTE!$A$1:$D$431,4,FALSE)</f>
        <v>BEN AHMED ANOUAR</v>
      </c>
      <c r="D165" s="15" t="s">
        <v>22</v>
      </c>
      <c r="E165" s="15">
        <v>45826</v>
      </c>
      <c r="F165" s="14" t="s">
        <v>20</v>
      </c>
      <c r="G165" s="16">
        <v>107.584</v>
      </c>
    </row>
    <row r="166" spans="1:7" x14ac:dyDescent="0.25">
      <c r="A166" s="13" t="s">
        <v>1756</v>
      </c>
      <c r="B166" s="13">
        <v>2170</v>
      </c>
      <c r="C166" s="14" t="str">
        <f>+VLOOKUP(B166,[1]LISTE!$A$1:$D$431,4,FALSE)</f>
        <v>BEN AHMED ANOUAR</v>
      </c>
      <c r="D166" s="15" t="s">
        <v>327</v>
      </c>
      <c r="E166" s="15">
        <v>45822</v>
      </c>
      <c r="F166" s="14" t="s">
        <v>18</v>
      </c>
      <c r="G166" s="16">
        <v>70</v>
      </c>
    </row>
    <row r="167" spans="1:7" x14ac:dyDescent="0.25">
      <c r="A167" s="13" t="s">
        <v>1756</v>
      </c>
      <c r="B167" s="13">
        <v>2170</v>
      </c>
      <c r="C167" s="14" t="str">
        <f>+VLOOKUP(B167,[1]LISTE!$A$1:$D$431,4,FALSE)</f>
        <v>BEN AHMED ANOUAR</v>
      </c>
      <c r="D167" s="14" t="s">
        <v>327</v>
      </c>
      <c r="E167" s="15">
        <v>45826</v>
      </c>
      <c r="F167" s="14" t="s">
        <v>20</v>
      </c>
      <c r="G167" s="16">
        <v>16.603999999999999</v>
      </c>
    </row>
    <row r="168" spans="1:7" x14ac:dyDescent="0.25">
      <c r="A168" s="13" t="s">
        <v>1756</v>
      </c>
      <c r="B168" s="13">
        <v>2170</v>
      </c>
      <c r="C168" s="14" t="str">
        <f>+VLOOKUP(B168,[1]LISTE!$A$1:$D$431,4,FALSE)</f>
        <v>BEN AHMED ANOUAR</v>
      </c>
      <c r="D168" s="14" t="s">
        <v>327</v>
      </c>
      <c r="E168" s="15">
        <v>45810</v>
      </c>
      <c r="F168" s="14" t="s">
        <v>21</v>
      </c>
      <c r="G168" s="16">
        <v>160</v>
      </c>
    </row>
    <row r="169" spans="1:7" x14ac:dyDescent="0.25">
      <c r="A169" s="13" t="s">
        <v>1706</v>
      </c>
      <c r="B169" s="13">
        <v>2181</v>
      </c>
      <c r="C169" s="14" t="s">
        <v>1707</v>
      </c>
      <c r="D169" s="15" t="s">
        <v>1708</v>
      </c>
      <c r="E169" s="15">
        <v>45819</v>
      </c>
      <c r="F169" s="14" t="s">
        <v>69</v>
      </c>
      <c r="G169" s="16">
        <v>260</v>
      </c>
    </row>
    <row r="170" spans="1:7" x14ac:dyDescent="0.25">
      <c r="A170" s="13" t="s">
        <v>1679</v>
      </c>
      <c r="B170" s="13">
        <v>2228</v>
      </c>
      <c r="C170" s="14" t="s">
        <v>1680</v>
      </c>
      <c r="D170" s="15" t="s">
        <v>1681</v>
      </c>
      <c r="E170" s="15">
        <v>45809</v>
      </c>
      <c r="F170" s="14" t="s">
        <v>23</v>
      </c>
      <c r="G170" s="16">
        <v>4.5</v>
      </c>
    </row>
    <row r="171" spans="1:7" x14ac:dyDescent="0.25">
      <c r="A171" s="13" t="s">
        <v>1679</v>
      </c>
      <c r="B171" s="13">
        <v>2228</v>
      </c>
      <c r="C171" s="14" t="s">
        <v>1680</v>
      </c>
      <c r="D171" s="14" t="s">
        <v>1681</v>
      </c>
      <c r="E171" s="15">
        <v>45809</v>
      </c>
      <c r="F171" s="14" t="s">
        <v>20</v>
      </c>
      <c r="G171" s="16">
        <v>28</v>
      </c>
    </row>
    <row r="172" spans="1:7" x14ac:dyDescent="0.25">
      <c r="A172" s="13" t="s">
        <v>1736</v>
      </c>
      <c r="B172" s="13">
        <v>2254</v>
      </c>
      <c r="C172" s="14" t="s">
        <v>106</v>
      </c>
      <c r="D172" s="14" t="s">
        <v>22</v>
      </c>
      <c r="E172" s="15">
        <v>45822</v>
      </c>
      <c r="F172" s="14" t="s">
        <v>23</v>
      </c>
      <c r="G172" s="16">
        <v>50</v>
      </c>
    </row>
    <row r="173" spans="1:7" x14ac:dyDescent="0.25">
      <c r="A173" s="13" t="s">
        <v>1736</v>
      </c>
      <c r="B173" s="13">
        <v>2254</v>
      </c>
      <c r="C173" s="14" t="s">
        <v>106</v>
      </c>
      <c r="D173" s="15" t="s">
        <v>22</v>
      </c>
      <c r="E173" s="15">
        <v>45822</v>
      </c>
      <c r="F173" s="14" t="s">
        <v>20</v>
      </c>
      <c r="G173" s="16">
        <v>19.263000000000002</v>
      </c>
    </row>
    <row r="174" spans="1:7" x14ac:dyDescent="0.25">
      <c r="A174" s="13" t="s">
        <v>1717</v>
      </c>
      <c r="B174" s="13">
        <v>2275</v>
      </c>
      <c r="C174" s="14" t="s">
        <v>916</v>
      </c>
      <c r="D174" s="14" t="s">
        <v>991</v>
      </c>
      <c r="E174" s="15">
        <v>45808</v>
      </c>
      <c r="F174" s="14" t="s">
        <v>312</v>
      </c>
      <c r="G174" s="16">
        <v>250</v>
      </c>
    </row>
    <row r="175" spans="1:7" x14ac:dyDescent="0.25">
      <c r="A175" s="13" t="s">
        <v>1690</v>
      </c>
      <c r="B175" s="13">
        <v>2319</v>
      </c>
      <c r="C175" s="14" t="s">
        <v>1145</v>
      </c>
      <c r="D175" s="14" t="s">
        <v>22</v>
      </c>
      <c r="E175" s="15">
        <v>45820</v>
      </c>
      <c r="F175" s="14" t="s">
        <v>23</v>
      </c>
      <c r="G175" s="16">
        <v>45</v>
      </c>
    </row>
    <row r="176" spans="1:7" x14ac:dyDescent="0.25">
      <c r="A176" s="13" t="s">
        <v>1690</v>
      </c>
      <c r="B176" s="13">
        <v>2319</v>
      </c>
      <c r="C176" s="14" t="s">
        <v>1145</v>
      </c>
      <c r="D176" s="14" t="s">
        <v>22</v>
      </c>
      <c r="E176" s="15">
        <v>45821</v>
      </c>
      <c r="F176" s="14" t="s">
        <v>19</v>
      </c>
      <c r="G176" s="16">
        <v>139.63999999999999</v>
      </c>
    </row>
    <row r="177" spans="1:7" x14ac:dyDescent="0.25">
      <c r="A177" s="13" t="s">
        <v>1690</v>
      </c>
      <c r="B177" s="13">
        <v>2319</v>
      </c>
      <c r="C177" s="14" t="s">
        <v>1145</v>
      </c>
      <c r="D177" s="15" t="s">
        <v>22</v>
      </c>
      <c r="E177" s="15">
        <v>45821</v>
      </c>
      <c r="F177" s="14" t="s">
        <v>20</v>
      </c>
      <c r="G177" s="16">
        <v>56.874000000000002</v>
      </c>
    </row>
    <row r="178" spans="1:7" x14ac:dyDescent="0.25">
      <c r="A178" s="13" t="s">
        <v>1690</v>
      </c>
      <c r="B178" s="13">
        <v>2319</v>
      </c>
      <c r="C178" s="14" t="s">
        <v>1145</v>
      </c>
      <c r="D178" s="15" t="s">
        <v>22</v>
      </c>
      <c r="E178" s="15">
        <v>45821</v>
      </c>
      <c r="F178" s="14" t="s">
        <v>21</v>
      </c>
      <c r="G178" s="16">
        <v>90</v>
      </c>
    </row>
    <row r="179" spans="1:7" x14ac:dyDescent="0.25">
      <c r="A179" s="13" t="s">
        <v>1691</v>
      </c>
      <c r="B179" s="13">
        <v>2319</v>
      </c>
      <c r="C179" s="14" t="s">
        <v>1145</v>
      </c>
      <c r="D179" s="14" t="s">
        <v>22</v>
      </c>
      <c r="E179" s="15">
        <v>45822</v>
      </c>
      <c r="F179" s="14" t="s">
        <v>18</v>
      </c>
      <c r="G179" s="16">
        <v>70</v>
      </c>
    </row>
    <row r="180" spans="1:7" x14ac:dyDescent="0.25">
      <c r="A180" s="13" t="s">
        <v>1691</v>
      </c>
      <c r="B180" s="13">
        <v>2319</v>
      </c>
      <c r="C180" s="14" t="s">
        <v>1145</v>
      </c>
      <c r="D180" s="14" t="s">
        <v>22</v>
      </c>
      <c r="E180" s="15">
        <v>45822</v>
      </c>
      <c r="F180" s="14" t="s">
        <v>20</v>
      </c>
      <c r="G180" s="16">
        <v>17.48</v>
      </c>
    </row>
    <row r="181" spans="1:7" x14ac:dyDescent="0.25">
      <c r="A181" s="13" t="s">
        <v>1688</v>
      </c>
      <c r="B181" s="13">
        <v>2444</v>
      </c>
      <c r="C181" s="14" t="s">
        <v>1453</v>
      </c>
      <c r="D181" s="14" t="s">
        <v>236</v>
      </c>
      <c r="E181" s="15">
        <v>45806</v>
      </c>
      <c r="F181" s="14" t="s">
        <v>18</v>
      </c>
      <c r="G181" s="16">
        <v>250</v>
      </c>
    </row>
    <row r="182" spans="1:7" x14ac:dyDescent="0.25">
      <c r="A182" s="13" t="s">
        <v>1688</v>
      </c>
      <c r="B182" s="13">
        <v>2444</v>
      </c>
      <c r="C182" s="14" t="s">
        <v>1453</v>
      </c>
      <c r="D182" s="15" t="s">
        <v>236</v>
      </c>
      <c r="E182" s="15">
        <v>45805</v>
      </c>
      <c r="F182" s="14" t="s">
        <v>363</v>
      </c>
      <c r="G182" s="16">
        <v>750</v>
      </c>
    </row>
    <row r="183" spans="1:7" x14ac:dyDescent="0.25">
      <c r="A183" s="13" t="s">
        <v>1688</v>
      </c>
      <c r="B183" s="13">
        <v>2444</v>
      </c>
      <c r="C183" s="14" t="s">
        <v>1453</v>
      </c>
      <c r="D183" s="14" t="s">
        <v>236</v>
      </c>
      <c r="E183" s="15">
        <v>45805</v>
      </c>
      <c r="F183" s="14" t="s">
        <v>363</v>
      </c>
      <c r="G183" s="16">
        <v>300</v>
      </c>
    </row>
    <row r="184" spans="1:7" x14ac:dyDescent="0.25">
      <c r="A184" s="13" t="s">
        <v>1688</v>
      </c>
      <c r="B184" s="13">
        <v>2444</v>
      </c>
      <c r="C184" s="14" t="s">
        <v>1453</v>
      </c>
      <c r="D184" s="15" t="s">
        <v>236</v>
      </c>
      <c r="E184" s="15">
        <v>45806</v>
      </c>
      <c r="F184" s="14" t="s">
        <v>20</v>
      </c>
      <c r="G184" s="16">
        <v>120.794</v>
      </c>
    </row>
    <row r="185" spans="1:7" x14ac:dyDescent="0.25">
      <c r="A185" s="13" t="s">
        <v>1688</v>
      </c>
      <c r="B185" s="13">
        <v>2444</v>
      </c>
      <c r="C185" s="14" t="s">
        <v>1453</v>
      </c>
      <c r="D185" s="15" t="s">
        <v>236</v>
      </c>
      <c r="E185" s="15">
        <v>45806</v>
      </c>
      <c r="F185" s="14" t="s">
        <v>364</v>
      </c>
      <c r="G185" s="16">
        <v>383.14499999999998</v>
      </c>
    </row>
    <row r="186" spans="1:7" x14ac:dyDescent="0.25">
      <c r="A186" s="13" t="s">
        <v>1761</v>
      </c>
      <c r="B186" s="13">
        <v>2444</v>
      </c>
      <c r="C186" s="14" t="s">
        <v>1453</v>
      </c>
      <c r="D186" s="15" t="s">
        <v>187</v>
      </c>
      <c r="E186" s="15">
        <v>45829</v>
      </c>
      <c r="F186" s="14" t="s">
        <v>18</v>
      </c>
      <c r="G186" s="16">
        <v>60</v>
      </c>
    </row>
    <row r="187" spans="1:7" x14ac:dyDescent="0.25">
      <c r="A187" s="13" t="s">
        <v>1761</v>
      </c>
      <c r="B187" s="13">
        <v>2444</v>
      </c>
      <c r="C187" s="14" t="s">
        <v>1453</v>
      </c>
      <c r="D187" s="15" t="s">
        <v>187</v>
      </c>
      <c r="E187" s="15">
        <v>45830</v>
      </c>
      <c r="F187" s="14" t="s">
        <v>20</v>
      </c>
      <c r="G187" s="16">
        <v>32.4</v>
      </c>
    </row>
    <row r="188" spans="1:7" x14ac:dyDescent="0.25">
      <c r="A188" s="13" t="s">
        <v>1728</v>
      </c>
      <c r="B188" s="13">
        <v>2473</v>
      </c>
      <c r="C188" s="14" t="s">
        <v>1729</v>
      </c>
      <c r="D188" s="14" t="s">
        <v>22</v>
      </c>
      <c r="E188" s="15">
        <v>45824</v>
      </c>
      <c r="F188" s="14" t="s">
        <v>18</v>
      </c>
      <c r="G188" s="16">
        <v>70</v>
      </c>
    </row>
    <row r="189" spans="1:7" x14ac:dyDescent="0.25">
      <c r="A189" s="13" t="s">
        <v>1728</v>
      </c>
      <c r="B189" s="13">
        <v>2473</v>
      </c>
      <c r="C189" s="14" t="s">
        <v>1729</v>
      </c>
      <c r="D189" s="15" t="s">
        <v>22</v>
      </c>
      <c r="E189" s="15">
        <v>45824</v>
      </c>
      <c r="F189" s="14" t="s">
        <v>20</v>
      </c>
      <c r="G189" s="16">
        <v>25.864999999999998</v>
      </c>
    </row>
    <row r="190" spans="1:7" x14ac:dyDescent="0.25">
      <c r="A190" s="13" t="s">
        <v>1711</v>
      </c>
      <c r="B190" s="13">
        <v>2479</v>
      </c>
      <c r="C190" s="14" t="s">
        <v>1712</v>
      </c>
      <c r="D190" s="15" t="s">
        <v>1713</v>
      </c>
      <c r="E190" s="15">
        <v>45812</v>
      </c>
      <c r="F190" s="14" t="s">
        <v>18</v>
      </c>
      <c r="G190" s="16">
        <v>70</v>
      </c>
    </row>
    <row r="191" spans="1:7" x14ac:dyDescent="0.25">
      <c r="A191" s="13" t="s">
        <v>1686</v>
      </c>
      <c r="B191" s="13">
        <v>2504</v>
      </c>
      <c r="C191" s="14" t="s">
        <v>550</v>
      </c>
      <c r="D191" s="15" t="s">
        <v>22</v>
      </c>
      <c r="E191" s="15">
        <v>45818</v>
      </c>
      <c r="F191" s="14" t="s">
        <v>23</v>
      </c>
      <c r="G191" s="16">
        <v>50</v>
      </c>
    </row>
    <row r="192" spans="1:7" x14ac:dyDescent="0.25">
      <c r="A192" s="13" t="s">
        <v>1686</v>
      </c>
      <c r="B192" s="13">
        <v>2504</v>
      </c>
      <c r="C192" s="14" t="s">
        <v>550</v>
      </c>
      <c r="D192" s="15" t="s">
        <v>22</v>
      </c>
      <c r="E192" s="15">
        <v>45818</v>
      </c>
      <c r="F192" s="14" t="s">
        <v>20</v>
      </c>
      <c r="G192" s="16">
        <v>1.45</v>
      </c>
    </row>
    <row r="193" spans="1:7" x14ac:dyDescent="0.25">
      <c r="A193" s="13" t="s">
        <v>1686</v>
      </c>
      <c r="B193" s="13">
        <v>2504</v>
      </c>
      <c r="C193" s="14" t="s">
        <v>550</v>
      </c>
      <c r="D193" s="14" t="s">
        <v>22</v>
      </c>
      <c r="E193" s="15">
        <v>45818</v>
      </c>
      <c r="F193" s="14" t="s">
        <v>21</v>
      </c>
      <c r="G193" s="16">
        <v>150</v>
      </c>
    </row>
    <row r="194" spans="1:7" x14ac:dyDescent="0.25">
      <c r="A194" s="13" t="s">
        <v>1786</v>
      </c>
      <c r="B194" s="13">
        <v>2516</v>
      </c>
      <c r="C194" s="14" t="s">
        <v>1199</v>
      </c>
      <c r="D194" s="14" t="s">
        <v>22</v>
      </c>
      <c r="E194" s="15">
        <v>45829</v>
      </c>
      <c r="F194" s="14" t="s">
        <v>23</v>
      </c>
      <c r="G194" s="16">
        <v>40</v>
      </c>
    </row>
    <row r="195" spans="1:7" x14ac:dyDescent="0.25">
      <c r="A195" s="13" t="s">
        <v>1786</v>
      </c>
      <c r="B195" s="13">
        <v>2516</v>
      </c>
      <c r="C195" s="14" t="s">
        <v>1199</v>
      </c>
      <c r="D195" s="15" t="s">
        <v>22</v>
      </c>
      <c r="E195" s="15">
        <v>45829</v>
      </c>
      <c r="F195" s="14" t="s">
        <v>20</v>
      </c>
      <c r="G195" s="16">
        <v>84.346999999999994</v>
      </c>
    </row>
    <row r="196" spans="1:7" x14ac:dyDescent="0.25">
      <c r="A196" s="13" t="s">
        <v>1787</v>
      </c>
      <c r="B196" s="13">
        <v>2519</v>
      </c>
      <c r="C196" s="14" t="s">
        <v>1069</v>
      </c>
      <c r="D196" s="15" t="s">
        <v>1788</v>
      </c>
      <c r="E196" s="15">
        <v>45807</v>
      </c>
      <c r="F196" s="14" t="s">
        <v>18</v>
      </c>
      <c r="G196" s="16">
        <v>60</v>
      </c>
    </row>
    <row r="197" spans="1:7" x14ac:dyDescent="0.25">
      <c r="A197" s="13" t="s">
        <v>1787</v>
      </c>
      <c r="B197" s="13">
        <v>2519</v>
      </c>
      <c r="C197" s="14" t="s">
        <v>1069</v>
      </c>
      <c r="D197" s="14" t="s">
        <v>1788</v>
      </c>
      <c r="E197" s="15">
        <v>45819</v>
      </c>
      <c r="F197" s="14" t="s">
        <v>20</v>
      </c>
      <c r="G197" s="16">
        <v>14.615</v>
      </c>
    </row>
    <row r="198" spans="1:7" x14ac:dyDescent="0.25">
      <c r="A198" s="13" t="s">
        <v>1731</v>
      </c>
      <c r="B198" s="13">
        <v>2525</v>
      </c>
      <c r="C198" s="14" t="s">
        <v>224</v>
      </c>
      <c r="D198" s="14" t="s">
        <v>428</v>
      </c>
      <c r="E198" s="15">
        <v>45812</v>
      </c>
      <c r="F198" s="14" t="s">
        <v>18</v>
      </c>
      <c r="G198" s="16">
        <v>60</v>
      </c>
    </row>
    <row r="199" spans="1:7" x14ac:dyDescent="0.25">
      <c r="A199" s="13" t="s">
        <v>1731</v>
      </c>
      <c r="B199" s="13">
        <v>2525</v>
      </c>
      <c r="C199" s="14" t="s">
        <v>224</v>
      </c>
      <c r="D199" s="14" t="s">
        <v>428</v>
      </c>
      <c r="E199" s="15">
        <v>45812</v>
      </c>
      <c r="F199" s="14" t="s">
        <v>19</v>
      </c>
      <c r="G199" s="16">
        <v>28.68</v>
      </c>
    </row>
    <row r="200" spans="1:7" x14ac:dyDescent="0.25">
      <c r="A200" s="13" t="s">
        <v>1731</v>
      </c>
      <c r="B200" s="13">
        <v>2525</v>
      </c>
      <c r="C200" s="14" t="s">
        <v>224</v>
      </c>
      <c r="D200" s="14" t="s">
        <v>428</v>
      </c>
      <c r="E200" s="15">
        <v>45812</v>
      </c>
      <c r="F200" s="14" t="s">
        <v>20</v>
      </c>
      <c r="G200" s="16">
        <v>6.33</v>
      </c>
    </row>
    <row r="201" spans="1:7" x14ac:dyDescent="0.25">
      <c r="A201" s="13" t="s">
        <v>1773</v>
      </c>
      <c r="B201" s="13">
        <v>2525</v>
      </c>
      <c r="C201" s="14" t="s">
        <v>224</v>
      </c>
      <c r="D201" s="14" t="s">
        <v>428</v>
      </c>
      <c r="E201" s="15">
        <v>45826</v>
      </c>
      <c r="F201" s="14" t="s">
        <v>18</v>
      </c>
      <c r="G201" s="16">
        <v>60</v>
      </c>
    </row>
    <row r="202" spans="1:7" x14ac:dyDescent="0.25">
      <c r="A202" s="13" t="s">
        <v>1773</v>
      </c>
      <c r="B202" s="13">
        <v>2525</v>
      </c>
      <c r="C202" s="14" t="s">
        <v>224</v>
      </c>
      <c r="D202" s="15" t="s">
        <v>428</v>
      </c>
      <c r="E202" s="15">
        <v>45826</v>
      </c>
      <c r="F202" s="14" t="s">
        <v>20</v>
      </c>
      <c r="G202" s="16">
        <v>22.718</v>
      </c>
    </row>
    <row r="203" spans="1:7" x14ac:dyDescent="0.25">
      <c r="A203" s="13" t="s">
        <v>1703</v>
      </c>
      <c r="B203" s="13">
        <v>2535</v>
      </c>
      <c r="C203" s="14" t="s">
        <v>30</v>
      </c>
      <c r="D203" s="14" t="s">
        <v>31</v>
      </c>
      <c r="E203" s="15">
        <v>45818</v>
      </c>
      <c r="F203" s="14" t="s">
        <v>18</v>
      </c>
      <c r="G203" s="16">
        <v>70</v>
      </c>
    </row>
    <row r="204" spans="1:7" x14ac:dyDescent="0.25">
      <c r="A204" s="13" t="s">
        <v>1703</v>
      </c>
      <c r="B204" s="13">
        <v>2535</v>
      </c>
      <c r="C204" s="14" t="s">
        <v>30</v>
      </c>
      <c r="D204" s="15" t="s">
        <v>31</v>
      </c>
      <c r="E204" s="15">
        <v>45818</v>
      </c>
      <c r="F204" s="14" t="s">
        <v>20</v>
      </c>
      <c r="G204" s="16">
        <v>42.46</v>
      </c>
    </row>
    <row r="205" spans="1:7" x14ac:dyDescent="0.25">
      <c r="A205" s="13" t="s">
        <v>1781</v>
      </c>
      <c r="B205" s="13">
        <v>2569</v>
      </c>
      <c r="C205" s="14" t="s">
        <v>101</v>
      </c>
      <c r="D205" s="15" t="s">
        <v>22</v>
      </c>
      <c r="E205" s="15">
        <v>45822</v>
      </c>
      <c r="F205" s="14" t="s">
        <v>20</v>
      </c>
      <c r="G205" s="16">
        <v>4.55</v>
      </c>
    </row>
    <row r="206" spans="1:7" x14ac:dyDescent="0.25">
      <c r="A206" s="13" t="s">
        <v>1781</v>
      </c>
      <c r="B206" s="13">
        <v>2569</v>
      </c>
      <c r="C206" s="14" t="s">
        <v>101</v>
      </c>
      <c r="D206" s="14" t="s">
        <v>22</v>
      </c>
      <c r="E206" s="15">
        <v>45822</v>
      </c>
      <c r="F206" s="14" t="s">
        <v>24</v>
      </c>
      <c r="G206" s="16">
        <v>60</v>
      </c>
    </row>
    <row r="207" spans="1:7" x14ac:dyDescent="0.25">
      <c r="A207" s="13" t="s">
        <v>1782</v>
      </c>
      <c r="B207" s="13">
        <v>2569</v>
      </c>
      <c r="C207" s="14" t="s">
        <v>101</v>
      </c>
      <c r="D207" s="14" t="s">
        <v>1783</v>
      </c>
      <c r="E207" s="15">
        <v>45829</v>
      </c>
      <c r="F207" s="14" t="s">
        <v>20</v>
      </c>
      <c r="G207" s="16">
        <v>4.2450000000000001</v>
      </c>
    </row>
    <row r="208" spans="1:7" x14ac:dyDescent="0.25">
      <c r="A208" s="13" t="s">
        <v>1782</v>
      </c>
      <c r="B208" s="13">
        <v>2569</v>
      </c>
      <c r="C208" s="14" t="s">
        <v>101</v>
      </c>
      <c r="D208" s="15" t="s">
        <v>1783</v>
      </c>
      <c r="E208" s="15">
        <v>45829</v>
      </c>
      <c r="F208" s="14" t="s">
        <v>24</v>
      </c>
      <c r="G208" s="16">
        <v>180</v>
      </c>
    </row>
    <row r="209" spans="1:7" x14ac:dyDescent="0.25">
      <c r="A209" s="13" t="s">
        <v>1718</v>
      </c>
      <c r="B209" s="13">
        <v>2572</v>
      </c>
      <c r="C209" s="14" t="s">
        <v>462</v>
      </c>
      <c r="D209" s="14" t="s">
        <v>503</v>
      </c>
      <c r="E209" s="15">
        <v>45804</v>
      </c>
      <c r="F209" s="14" t="s">
        <v>18</v>
      </c>
      <c r="G209" s="16">
        <v>70</v>
      </c>
    </row>
    <row r="210" spans="1:7" x14ac:dyDescent="0.25">
      <c r="A210" s="13" t="s">
        <v>1779</v>
      </c>
      <c r="B210" s="13">
        <v>2572</v>
      </c>
      <c r="C210" s="14" t="s">
        <v>462</v>
      </c>
      <c r="D210" s="14" t="s">
        <v>1780</v>
      </c>
      <c r="E210" s="15">
        <v>45826</v>
      </c>
      <c r="F210" s="14" t="s">
        <v>312</v>
      </c>
      <c r="G210" s="16">
        <v>250</v>
      </c>
    </row>
    <row r="211" spans="1:7" x14ac:dyDescent="0.25">
      <c r="A211" s="13" t="s">
        <v>1765</v>
      </c>
      <c r="B211" s="13">
        <v>2631</v>
      </c>
      <c r="C211" s="14" t="s">
        <v>1210</v>
      </c>
      <c r="D211" s="15" t="s">
        <v>969</v>
      </c>
      <c r="E211" s="15">
        <v>45817</v>
      </c>
      <c r="F211" s="14" t="s">
        <v>18</v>
      </c>
      <c r="G211" s="16">
        <v>60</v>
      </c>
    </row>
    <row r="212" spans="1:7" x14ac:dyDescent="0.25">
      <c r="A212" s="13" t="s">
        <v>1765</v>
      </c>
      <c r="B212" s="13">
        <v>2631</v>
      </c>
      <c r="C212" s="14" t="s">
        <v>1210</v>
      </c>
      <c r="D212" s="15" t="s">
        <v>969</v>
      </c>
      <c r="E212" s="15">
        <v>45817</v>
      </c>
      <c r="F212" s="14" t="s">
        <v>20</v>
      </c>
      <c r="G212" s="16">
        <v>12.704000000000001</v>
      </c>
    </row>
    <row r="213" spans="1:7" x14ac:dyDescent="0.25">
      <c r="A213" s="13" t="s">
        <v>1766</v>
      </c>
      <c r="B213" s="13">
        <v>2631</v>
      </c>
      <c r="C213" s="14" t="s">
        <v>1210</v>
      </c>
      <c r="D213" s="14" t="s">
        <v>22</v>
      </c>
      <c r="E213" s="15">
        <v>45813</v>
      </c>
      <c r="F213" s="14" t="s">
        <v>18</v>
      </c>
      <c r="G213" s="16">
        <v>60</v>
      </c>
    </row>
    <row r="214" spans="1:7" x14ac:dyDescent="0.25">
      <c r="A214" s="13" t="s">
        <v>1766</v>
      </c>
      <c r="B214" s="13">
        <v>2631</v>
      </c>
      <c r="C214" s="14" t="s">
        <v>1210</v>
      </c>
      <c r="D214" s="14" t="s">
        <v>22</v>
      </c>
      <c r="E214" s="15">
        <v>45813</v>
      </c>
      <c r="F214" s="14" t="s">
        <v>20</v>
      </c>
      <c r="G214" s="16">
        <v>56.1</v>
      </c>
    </row>
    <row r="215" spans="1:7" x14ac:dyDescent="0.25">
      <c r="A215" s="13" t="s">
        <v>1682</v>
      </c>
      <c r="B215" s="13">
        <v>2658</v>
      </c>
      <c r="C215" s="14" t="s">
        <v>1683</v>
      </c>
      <c r="D215" s="15" t="s">
        <v>22</v>
      </c>
      <c r="E215" s="15">
        <v>45803</v>
      </c>
      <c r="F215" s="14" t="s">
        <v>23</v>
      </c>
      <c r="G215" s="16">
        <v>10</v>
      </c>
    </row>
    <row r="216" spans="1:7" x14ac:dyDescent="0.25">
      <c r="A216" s="13" t="s">
        <v>1682</v>
      </c>
      <c r="B216" s="13">
        <v>2658</v>
      </c>
      <c r="C216" s="14" t="s">
        <v>1683</v>
      </c>
      <c r="D216" s="15" t="s">
        <v>22</v>
      </c>
      <c r="E216" s="15">
        <v>45803</v>
      </c>
      <c r="F216" s="14" t="s">
        <v>19</v>
      </c>
      <c r="G216" s="16">
        <v>40.799999999999997</v>
      </c>
    </row>
    <row r="217" spans="1:7" x14ac:dyDescent="0.25">
      <c r="A217" s="13" t="s">
        <v>1682</v>
      </c>
      <c r="B217" s="13">
        <v>2658</v>
      </c>
      <c r="C217" s="14" t="s">
        <v>1683</v>
      </c>
      <c r="D217" s="15" t="s">
        <v>22</v>
      </c>
      <c r="E217" s="15">
        <v>45818</v>
      </c>
      <c r="F217" s="14" t="s">
        <v>20</v>
      </c>
      <c r="G217" s="16">
        <v>41.505000000000003</v>
      </c>
    </row>
    <row r="218" spans="1:7" x14ac:dyDescent="0.25">
      <c r="A218" s="13" t="s">
        <v>1682</v>
      </c>
      <c r="B218" s="13">
        <v>2658</v>
      </c>
      <c r="C218" s="14" t="s">
        <v>1683</v>
      </c>
      <c r="D218" s="15" t="s">
        <v>22</v>
      </c>
      <c r="E218" s="15">
        <v>45807</v>
      </c>
      <c r="F218" s="14" t="s">
        <v>21</v>
      </c>
      <c r="G218" s="16">
        <v>29.7</v>
      </c>
    </row>
    <row r="219" spans="1:7" x14ac:dyDescent="0.25">
      <c r="A219" s="13" t="s">
        <v>1682</v>
      </c>
      <c r="B219" s="13">
        <v>2658</v>
      </c>
      <c r="C219" s="14" t="s">
        <v>1683</v>
      </c>
      <c r="D219" s="15" t="s">
        <v>22</v>
      </c>
      <c r="E219" s="15">
        <v>45818</v>
      </c>
      <c r="F219" s="14" t="s">
        <v>587</v>
      </c>
      <c r="G219" s="16">
        <v>78</v>
      </c>
    </row>
    <row r="220" spans="1:7" ht="18.75" x14ac:dyDescent="0.3">
      <c r="A220" s="14"/>
      <c r="B220" s="28"/>
      <c r="C220" s="29"/>
      <c r="D220" s="14"/>
      <c r="E220" s="28"/>
      <c r="F220" s="17" t="s">
        <v>11</v>
      </c>
      <c r="G220" s="17">
        <f>SUM(G10:G219)</f>
        <v>14790.047</v>
      </c>
    </row>
    <row r="221" spans="1:7" ht="18.75" x14ac:dyDescent="0.3">
      <c r="A221" s="38"/>
      <c r="B221" s="39"/>
      <c r="C221" s="40"/>
      <c r="D221" s="41"/>
      <c r="E221" s="19"/>
      <c r="F221" s="18"/>
      <c r="G221" s="34"/>
    </row>
    <row r="222" spans="1:7" ht="18.75" x14ac:dyDescent="0.3">
      <c r="A222" s="35"/>
      <c r="B222" s="36"/>
      <c r="C222" s="37"/>
      <c r="D222" s="42"/>
      <c r="E222" s="43"/>
      <c r="F222" s="44"/>
      <c r="G222" s="44"/>
    </row>
    <row r="223" spans="1:7" ht="15.75" x14ac:dyDescent="0.25">
      <c r="A223" s="35"/>
      <c r="B223" s="36" t="s">
        <v>12</v>
      </c>
      <c r="C223" s="37"/>
      <c r="E223" s="36" t="s">
        <v>13</v>
      </c>
      <c r="F223" s="18"/>
      <c r="G223" s="18"/>
    </row>
    <row r="224" spans="1:7" ht="15.75" x14ac:dyDescent="0.25">
      <c r="A224" s="45"/>
      <c r="B224" s="46" t="s">
        <v>14</v>
      </c>
      <c r="C224" s="47"/>
      <c r="E224" s="36" t="s">
        <v>15</v>
      </c>
      <c r="F224" s="18"/>
      <c r="G224" s="18"/>
    </row>
    <row r="225" spans="1:7" ht="15.75" x14ac:dyDescent="0.25">
      <c r="A225" s="23"/>
      <c r="B225" s="24"/>
      <c r="C225" s="25"/>
      <c r="E225" s="27"/>
      <c r="F225" s="18"/>
      <c r="G225" s="18"/>
    </row>
    <row r="226" spans="1:7" ht="18.75" x14ac:dyDescent="0.3">
      <c r="B226" s="19"/>
      <c r="C226" s="20"/>
      <c r="D226" s="21"/>
      <c r="E226" s="22"/>
      <c r="F226" s="19"/>
      <c r="G226" s="22"/>
    </row>
    <row r="227" spans="1:7" ht="15.75" x14ac:dyDescent="0.25">
      <c r="A227" s="23"/>
      <c r="B227" s="24"/>
      <c r="C227" s="25"/>
      <c r="D227" s="26"/>
      <c r="E227" s="22"/>
      <c r="F227" s="27"/>
      <c r="G227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9"/>
  <sheetViews>
    <sheetView workbookViewId="0">
      <pane ySplit="9" topLeftCell="A10" activePane="bottomLeft" state="frozen"/>
      <selection pane="bottomLeft" sqref="A1:A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1790</v>
      </c>
      <c r="C5" s="7"/>
      <c r="D5" s="4"/>
    </row>
    <row r="6" spans="1:7" ht="22.5" customHeight="1" x14ac:dyDescent="0.25">
      <c r="A6" s="6"/>
      <c r="B6" s="8" t="s">
        <v>1905</v>
      </c>
      <c r="C6" s="9"/>
      <c r="D6" s="4"/>
    </row>
    <row r="7" spans="1:7" ht="22.5" customHeight="1" x14ac:dyDescent="0.35">
      <c r="A7" s="4"/>
      <c r="B7" s="10"/>
      <c r="C7" s="11" t="s">
        <v>1895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1803</v>
      </c>
      <c r="B10" s="13">
        <v>192</v>
      </c>
      <c r="C10" s="14" t="s">
        <v>998</v>
      </c>
      <c r="D10" s="15" t="s">
        <v>234</v>
      </c>
      <c r="E10" s="15">
        <v>45820</v>
      </c>
      <c r="F10" s="14" t="s">
        <v>23</v>
      </c>
      <c r="G10" s="16">
        <v>70</v>
      </c>
    </row>
    <row r="11" spans="1:7" x14ac:dyDescent="0.25">
      <c r="A11" s="13" t="s">
        <v>1803</v>
      </c>
      <c r="B11" s="13">
        <v>192</v>
      </c>
      <c r="C11" s="14" t="s">
        <v>998</v>
      </c>
      <c r="D11" s="14" t="s">
        <v>234</v>
      </c>
      <c r="E11" s="15">
        <v>45820</v>
      </c>
      <c r="F11" s="14" t="s">
        <v>20</v>
      </c>
      <c r="G11" s="16">
        <v>30.515000000000001</v>
      </c>
    </row>
    <row r="12" spans="1:7" x14ac:dyDescent="0.25">
      <c r="A12" s="13" t="s">
        <v>1803</v>
      </c>
      <c r="B12" s="13">
        <v>192</v>
      </c>
      <c r="C12" s="14" t="s">
        <v>998</v>
      </c>
      <c r="D12" s="14" t="s">
        <v>234</v>
      </c>
      <c r="E12" s="15">
        <v>45825</v>
      </c>
      <c r="F12" s="14" t="s">
        <v>24</v>
      </c>
      <c r="G12" s="16">
        <v>240</v>
      </c>
    </row>
    <row r="13" spans="1:7" x14ac:dyDescent="0.25">
      <c r="A13" s="13" t="s">
        <v>1803</v>
      </c>
      <c r="B13" s="13">
        <v>192</v>
      </c>
      <c r="C13" s="14" t="s">
        <v>998</v>
      </c>
      <c r="D13" s="14" t="s">
        <v>234</v>
      </c>
      <c r="E13" s="15">
        <v>45833</v>
      </c>
      <c r="F13" s="14" t="s">
        <v>25</v>
      </c>
      <c r="G13" s="16">
        <v>1500</v>
      </c>
    </row>
    <row r="14" spans="1:7" x14ac:dyDescent="0.25">
      <c r="A14" s="13" t="s">
        <v>1815</v>
      </c>
      <c r="B14" s="13">
        <v>590</v>
      </c>
      <c r="C14" s="14" t="str">
        <f>+VLOOKUP(B14,[1]LISTE!$A$1:$D$431,4,FALSE)</f>
        <v>KHALFALLAH ABDELAZIZ</v>
      </c>
      <c r="D14" s="14" t="s">
        <v>22</v>
      </c>
      <c r="E14" s="15">
        <v>45832</v>
      </c>
      <c r="F14" s="14" t="s">
        <v>23</v>
      </c>
      <c r="G14" s="16">
        <v>40</v>
      </c>
    </row>
    <row r="15" spans="1:7" x14ac:dyDescent="0.25">
      <c r="A15" s="13" t="s">
        <v>1815</v>
      </c>
      <c r="B15" s="13">
        <v>590</v>
      </c>
      <c r="C15" s="14" t="str">
        <f>+VLOOKUP(B15,[1]LISTE!$A$1:$D$431,4,FALSE)</f>
        <v>KHALFALLAH ABDELAZIZ</v>
      </c>
      <c r="D15" s="14" t="s">
        <v>22</v>
      </c>
      <c r="E15" s="15">
        <v>45832</v>
      </c>
      <c r="F15" s="14" t="s">
        <v>20</v>
      </c>
      <c r="G15" s="16">
        <v>48.29</v>
      </c>
    </row>
    <row r="16" spans="1:7" x14ac:dyDescent="0.25">
      <c r="A16" s="13" t="s">
        <v>1901</v>
      </c>
      <c r="B16" s="13">
        <v>656</v>
      </c>
      <c r="C16" s="14" t="str">
        <f>+VLOOKUP(B16,[1]LISTE!$A$1:$D$431,4,FALSE)</f>
        <v>CHEBIL MOHAMED MONCEF</v>
      </c>
      <c r="D16" s="14" t="s">
        <v>1902</v>
      </c>
      <c r="E16" s="15">
        <v>45835</v>
      </c>
      <c r="F16" s="14" t="s">
        <v>18</v>
      </c>
      <c r="G16" s="16">
        <v>70</v>
      </c>
    </row>
    <row r="17" spans="1:7" x14ac:dyDescent="0.25">
      <c r="A17" s="13" t="s">
        <v>1901</v>
      </c>
      <c r="B17" s="13">
        <v>656</v>
      </c>
      <c r="C17" s="14" t="str">
        <f>+VLOOKUP(B17,[1]LISTE!$A$1:$D$431,4,FALSE)</f>
        <v>CHEBIL MOHAMED MONCEF</v>
      </c>
      <c r="D17" s="14" t="s">
        <v>1902</v>
      </c>
      <c r="E17" s="15">
        <v>45835</v>
      </c>
      <c r="F17" s="14" t="s">
        <v>20</v>
      </c>
      <c r="G17" s="16">
        <v>39.042000000000002</v>
      </c>
    </row>
    <row r="18" spans="1:7" x14ac:dyDescent="0.25">
      <c r="A18" s="13" t="s">
        <v>1793</v>
      </c>
      <c r="B18" s="13">
        <v>700</v>
      </c>
      <c r="C18" s="14" t="str">
        <f>+VLOOKUP(B18,[1]LISTE!$A$1:$D$431,4,FALSE)</f>
        <v>ZORGATI ABDELFATTEH</v>
      </c>
      <c r="D18" s="14" t="s">
        <v>22</v>
      </c>
      <c r="E18" s="15">
        <v>45832</v>
      </c>
      <c r="F18" s="14" t="s">
        <v>23</v>
      </c>
      <c r="G18" s="16">
        <v>25</v>
      </c>
    </row>
    <row r="19" spans="1:7" x14ac:dyDescent="0.25">
      <c r="A19" s="13" t="s">
        <v>1793</v>
      </c>
      <c r="B19" s="13">
        <v>700</v>
      </c>
      <c r="C19" s="14" t="str">
        <f>+VLOOKUP(B19,[1]LISTE!$A$1:$D$431,4,FALSE)</f>
        <v>ZORGATI ABDELFATTEH</v>
      </c>
      <c r="D19" s="15" t="s">
        <v>22</v>
      </c>
      <c r="E19" s="15">
        <v>45832</v>
      </c>
      <c r="F19" s="14" t="s">
        <v>20</v>
      </c>
      <c r="G19" s="16">
        <v>6.8860000000000001</v>
      </c>
    </row>
    <row r="20" spans="1:7" x14ac:dyDescent="0.25">
      <c r="A20" s="13" t="s">
        <v>1873</v>
      </c>
      <c r="B20" s="13">
        <v>832</v>
      </c>
      <c r="C20" s="14" t="str">
        <f>+VLOOKUP(B20,[1]LISTE!$A$1:$D$431,4,FALSE)</f>
        <v>ABBASSI LOTFI</v>
      </c>
      <c r="D20" s="14" t="s">
        <v>604</v>
      </c>
      <c r="E20" s="15">
        <v>45828</v>
      </c>
      <c r="F20" s="14" t="s">
        <v>23</v>
      </c>
      <c r="G20" s="16">
        <v>50</v>
      </c>
    </row>
    <row r="21" spans="1:7" x14ac:dyDescent="0.25">
      <c r="A21" s="13" t="s">
        <v>1873</v>
      </c>
      <c r="B21" s="13">
        <v>832</v>
      </c>
      <c r="C21" s="14" t="str">
        <f>+VLOOKUP(B21,[1]LISTE!$A$1:$D$431,4,FALSE)</f>
        <v>ABBASSI LOTFI</v>
      </c>
      <c r="D21" s="14" t="s">
        <v>604</v>
      </c>
      <c r="E21" s="15">
        <v>45828</v>
      </c>
      <c r="F21" s="14" t="s">
        <v>20</v>
      </c>
      <c r="G21" s="16">
        <v>21.36</v>
      </c>
    </row>
    <row r="22" spans="1:7" x14ac:dyDescent="0.25">
      <c r="A22" s="13" t="s">
        <v>1855</v>
      </c>
      <c r="B22" s="13">
        <v>1504</v>
      </c>
      <c r="C22" s="14" t="str">
        <f>+VLOOKUP(B22,[1]LISTE!$A$1:$D$431,4,FALSE)</f>
        <v>ABBADI HABIB</v>
      </c>
      <c r="D22" s="14" t="s">
        <v>22</v>
      </c>
      <c r="E22" s="15">
        <v>45839</v>
      </c>
      <c r="F22" s="14" t="s">
        <v>18</v>
      </c>
      <c r="G22" s="16">
        <v>60</v>
      </c>
    </row>
    <row r="23" spans="1:7" x14ac:dyDescent="0.25">
      <c r="A23" s="13" t="s">
        <v>1855</v>
      </c>
      <c r="B23" s="13">
        <v>1504</v>
      </c>
      <c r="C23" s="14" t="str">
        <f>+VLOOKUP(B23,[1]LISTE!$A$1:$D$431,4,FALSE)</f>
        <v>ABBADI HABIB</v>
      </c>
      <c r="D23" s="14" t="s">
        <v>22</v>
      </c>
      <c r="E23" s="15">
        <v>45839</v>
      </c>
      <c r="F23" s="14" t="s">
        <v>20</v>
      </c>
      <c r="G23" s="16">
        <v>132.55500000000001</v>
      </c>
    </row>
    <row r="24" spans="1:7" x14ac:dyDescent="0.25">
      <c r="A24" s="13" t="s">
        <v>1825</v>
      </c>
      <c r="B24" s="13">
        <v>1535</v>
      </c>
      <c r="C24" s="14" t="str">
        <f>+VLOOKUP(B24,[1]LISTE!$A$1:$D$431,4,FALSE)</f>
        <v>ROUIS LOTFI</v>
      </c>
      <c r="D24" s="14" t="s">
        <v>147</v>
      </c>
      <c r="E24" s="15">
        <v>45827</v>
      </c>
      <c r="F24" s="14" t="s">
        <v>20</v>
      </c>
      <c r="G24" s="16">
        <v>34.375</v>
      </c>
    </row>
    <row r="25" spans="1:7" x14ac:dyDescent="0.25">
      <c r="A25" s="13" t="s">
        <v>1826</v>
      </c>
      <c r="B25" s="13">
        <v>1535</v>
      </c>
      <c r="C25" s="14" t="str">
        <f>+VLOOKUP(B25,[1]LISTE!$A$1:$D$431,4,FALSE)</f>
        <v>ROUIS LOTFI</v>
      </c>
      <c r="D25" s="14" t="s">
        <v>22</v>
      </c>
      <c r="E25" s="15">
        <v>45827</v>
      </c>
      <c r="F25" s="14" t="s">
        <v>20</v>
      </c>
      <c r="G25" s="16">
        <v>14.815</v>
      </c>
    </row>
    <row r="26" spans="1:7" x14ac:dyDescent="0.25">
      <c r="A26" s="13" t="s">
        <v>1844</v>
      </c>
      <c r="B26" s="13">
        <v>1535</v>
      </c>
      <c r="C26" s="14" t="str">
        <f>+VLOOKUP(B26,[1]LISTE!$A$1:$D$431,4,FALSE)</f>
        <v>ROUIS LOTFI</v>
      </c>
      <c r="D26" s="14" t="s">
        <v>22</v>
      </c>
      <c r="E26" s="15">
        <v>45843</v>
      </c>
      <c r="F26" s="14" t="s">
        <v>23</v>
      </c>
      <c r="G26" s="16">
        <v>50</v>
      </c>
    </row>
    <row r="27" spans="1:7" x14ac:dyDescent="0.25">
      <c r="A27" s="13" t="s">
        <v>1844</v>
      </c>
      <c r="B27" s="13">
        <v>1535</v>
      </c>
      <c r="C27" s="14" t="str">
        <f>+VLOOKUP(B27,[1]LISTE!$A$1:$D$431,4,FALSE)</f>
        <v>ROUIS LOTFI</v>
      </c>
      <c r="D27" s="15" t="s">
        <v>22</v>
      </c>
      <c r="E27" s="15">
        <v>45843</v>
      </c>
      <c r="F27" s="14" t="s">
        <v>20</v>
      </c>
      <c r="G27" s="16">
        <v>4.2450000000000001</v>
      </c>
    </row>
    <row r="28" spans="1:7" x14ac:dyDescent="0.25">
      <c r="A28" s="13" t="s">
        <v>1820</v>
      </c>
      <c r="B28" s="13">
        <v>1558</v>
      </c>
      <c r="C28" s="14" t="str">
        <f>+VLOOKUP(B28,[1]LISTE!$A$1:$D$431,4,FALSE)</f>
        <v>DRIDI KARIM</v>
      </c>
      <c r="D28" s="15" t="s">
        <v>296</v>
      </c>
      <c r="E28" s="15">
        <v>45825</v>
      </c>
      <c r="F28" s="14" t="s">
        <v>18</v>
      </c>
      <c r="G28" s="16">
        <v>70</v>
      </c>
    </row>
    <row r="29" spans="1:7" x14ac:dyDescent="0.25">
      <c r="A29" s="13" t="s">
        <v>1820</v>
      </c>
      <c r="B29" s="13">
        <v>1558</v>
      </c>
      <c r="C29" s="14" t="str">
        <f>+VLOOKUP(B29,[1]LISTE!$A$1:$D$431,4,FALSE)</f>
        <v>DRIDI KARIM</v>
      </c>
      <c r="D29" s="14" t="s">
        <v>296</v>
      </c>
      <c r="E29" s="15">
        <v>45825</v>
      </c>
      <c r="F29" s="14" t="s">
        <v>20</v>
      </c>
      <c r="G29" s="16">
        <v>24.696999999999999</v>
      </c>
    </row>
    <row r="30" spans="1:7" x14ac:dyDescent="0.25">
      <c r="A30" s="13" t="s">
        <v>1820</v>
      </c>
      <c r="B30" s="13">
        <v>1558</v>
      </c>
      <c r="C30" s="14" t="str">
        <f>+VLOOKUP(B30,[1]LISTE!$A$1:$D$431,4,FALSE)</f>
        <v>DRIDI KARIM</v>
      </c>
      <c r="D30" s="14" t="s">
        <v>296</v>
      </c>
      <c r="E30" s="15">
        <v>45825</v>
      </c>
      <c r="F30" s="14" t="s">
        <v>21</v>
      </c>
      <c r="G30" s="16">
        <v>80</v>
      </c>
    </row>
    <row r="31" spans="1:7" x14ac:dyDescent="0.25">
      <c r="A31" s="13" t="s">
        <v>1853</v>
      </c>
      <c r="B31" s="13">
        <v>1596</v>
      </c>
      <c r="C31" s="14" t="str">
        <f>+VLOOKUP(B31,[1]LISTE!$A$1:$D$431,4,FALSE)</f>
        <v>GORCHENE NOUREDDINE</v>
      </c>
      <c r="D31" s="15" t="s">
        <v>322</v>
      </c>
      <c r="E31" s="15">
        <v>45825</v>
      </c>
      <c r="F31" s="14" t="s">
        <v>18</v>
      </c>
      <c r="G31" s="16">
        <v>70</v>
      </c>
    </row>
    <row r="32" spans="1:7" x14ac:dyDescent="0.25">
      <c r="A32" s="13" t="s">
        <v>1853</v>
      </c>
      <c r="B32" s="13">
        <v>1596</v>
      </c>
      <c r="C32" s="14" t="str">
        <f>+VLOOKUP(B32,[1]LISTE!$A$1:$D$431,4,FALSE)</f>
        <v>GORCHENE NOUREDDINE</v>
      </c>
      <c r="D32" s="14" t="s">
        <v>322</v>
      </c>
      <c r="E32" s="15">
        <v>45825</v>
      </c>
      <c r="F32" s="14" t="s">
        <v>20</v>
      </c>
      <c r="G32" s="16">
        <v>39.186999999999998</v>
      </c>
    </row>
    <row r="33" spans="1:7" x14ac:dyDescent="0.25">
      <c r="A33" s="13" t="s">
        <v>1853</v>
      </c>
      <c r="B33" s="13">
        <v>1596</v>
      </c>
      <c r="C33" s="14" t="str">
        <f>+VLOOKUP(B33,[1]LISTE!$A$1:$D$431,4,FALSE)</f>
        <v>GORCHENE NOUREDDINE</v>
      </c>
      <c r="D33" s="14" t="s">
        <v>322</v>
      </c>
      <c r="E33" s="15">
        <v>45841</v>
      </c>
      <c r="F33" s="14" t="s">
        <v>21</v>
      </c>
      <c r="G33" s="16">
        <v>50</v>
      </c>
    </row>
    <row r="34" spans="1:7" x14ac:dyDescent="0.25">
      <c r="A34" s="13" t="s">
        <v>1853</v>
      </c>
      <c r="B34" s="13">
        <v>1596</v>
      </c>
      <c r="C34" s="14" t="str">
        <f>+VLOOKUP(B34,[1]LISTE!$A$1:$D$431,4,FALSE)</f>
        <v>GORCHENE NOUREDDINE</v>
      </c>
      <c r="D34" s="14" t="s">
        <v>322</v>
      </c>
      <c r="E34" s="15">
        <v>45833</v>
      </c>
      <c r="F34" s="14" t="s">
        <v>69</v>
      </c>
      <c r="G34" s="16">
        <v>280</v>
      </c>
    </row>
    <row r="35" spans="1:7" x14ac:dyDescent="0.25">
      <c r="A35" s="13" t="s">
        <v>1860</v>
      </c>
      <c r="B35" s="13">
        <v>1619</v>
      </c>
      <c r="C35" s="14" t="str">
        <f>+VLOOKUP(B35,[1]LISTE!$A$1:$D$431,4,FALSE)</f>
        <v>CHTIOUI FETHI</v>
      </c>
      <c r="D35" s="14" t="s">
        <v>486</v>
      </c>
      <c r="E35" s="15">
        <v>45840</v>
      </c>
      <c r="F35" s="14" t="s">
        <v>23</v>
      </c>
      <c r="G35" s="16">
        <v>1.5</v>
      </c>
    </row>
    <row r="36" spans="1:7" x14ac:dyDescent="0.25">
      <c r="A36" s="13" t="s">
        <v>1860</v>
      </c>
      <c r="B36" s="13">
        <v>1619</v>
      </c>
      <c r="C36" s="14" t="str">
        <f>+VLOOKUP(B36,[1]LISTE!$A$1:$D$431,4,FALSE)</f>
        <v>CHTIOUI FETHI</v>
      </c>
      <c r="D36" s="14" t="s">
        <v>486</v>
      </c>
      <c r="E36" s="15">
        <v>45840</v>
      </c>
      <c r="F36" s="14" t="s">
        <v>20</v>
      </c>
      <c r="G36" s="16">
        <v>25.815000000000001</v>
      </c>
    </row>
    <row r="37" spans="1:7" x14ac:dyDescent="0.25">
      <c r="A37" s="13" t="s">
        <v>1830</v>
      </c>
      <c r="B37" s="13">
        <v>1639</v>
      </c>
      <c r="C37" s="14" t="str">
        <f>+VLOOKUP(B37,[1]LISTE!$A$1:$D$431,4,FALSE)</f>
        <v>ZBIDI FAKHER</v>
      </c>
      <c r="D37" s="14" t="s">
        <v>22</v>
      </c>
      <c r="E37" s="15">
        <v>45836</v>
      </c>
      <c r="F37" s="14" t="s">
        <v>20</v>
      </c>
      <c r="G37" s="16">
        <v>71.209000000000003</v>
      </c>
    </row>
    <row r="38" spans="1:7" x14ac:dyDescent="0.25">
      <c r="A38" s="13" t="s">
        <v>1830</v>
      </c>
      <c r="B38" s="13">
        <v>1639</v>
      </c>
      <c r="C38" s="14" t="str">
        <f>+VLOOKUP(B38,[1]LISTE!$A$1:$D$431,4,FALSE)</f>
        <v>ZBIDI FAKHER</v>
      </c>
      <c r="D38" s="14" t="s">
        <v>22</v>
      </c>
      <c r="E38" s="15">
        <v>45836</v>
      </c>
      <c r="F38" s="14" t="s">
        <v>21</v>
      </c>
      <c r="G38" s="16">
        <v>145</v>
      </c>
    </row>
    <row r="39" spans="1:7" x14ac:dyDescent="0.25">
      <c r="A39" s="13" t="s">
        <v>1830</v>
      </c>
      <c r="B39" s="13">
        <v>1639</v>
      </c>
      <c r="C39" s="14" t="str">
        <f>+VLOOKUP(B39,[1]LISTE!$A$1:$D$431,4,FALSE)</f>
        <v>ZBIDI FAKHER</v>
      </c>
      <c r="D39" s="14" t="s">
        <v>22</v>
      </c>
      <c r="E39" s="15">
        <v>45836</v>
      </c>
      <c r="F39" s="14" t="s">
        <v>21</v>
      </c>
      <c r="G39" s="16">
        <v>280</v>
      </c>
    </row>
    <row r="40" spans="1:7" x14ac:dyDescent="0.25">
      <c r="A40" s="13" t="s">
        <v>1819</v>
      </c>
      <c r="B40" s="13">
        <v>1651</v>
      </c>
      <c r="C40" s="14" t="str">
        <f>+VLOOKUP(B40,[1]LISTE!$A$1:$D$431,4,FALSE)</f>
        <v>BEL HADJ MOHAMED</v>
      </c>
      <c r="D40" s="14" t="s">
        <v>742</v>
      </c>
      <c r="E40" s="15">
        <v>45829</v>
      </c>
      <c r="F40" s="14" t="s">
        <v>20</v>
      </c>
      <c r="G40" s="16">
        <v>30.33</v>
      </c>
    </row>
    <row r="41" spans="1:7" x14ac:dyDescent="0.25">
      <c r="A41" s="13" t="s">
        <v>1819</v>
      </c>
      <c r="B41" s="13">
        <v>1651</v>
      </c>
      <c r="C41" s="14" t="str">
        <f>+VLOOKUP(B41,[1]LISTE!$A$1:$D$431,4,FALSE)</f>
        <v>BEL HADJ MOHAMED</v>
      </c>
      <c r="D41" s="15" t="s">
        <v>742</v>
      </c>
      <c r="E41" s="15">
        <v>45829</v>
      </c>
      <c r="F41" s="14" t="s">
        <v>24</v>
      </c>
      <c r="G41" s="16">
        <v>80</v>
      </c>
    </row>
    <row r="42" spans="1:7" x14ac:dyDescent="0.25">
      <c r="A42" s="13" t="s">
        <v>1795</v>
      </c>
      <c r="B42" s="13">
        <v>1659</v>
      </c>
      <c r="C42" s="14" t="str">
        <f>+VLOOKUP(B42,[1]LISTE!$A$1:$D$431,4,FALSE)</f>
        <v>BEN ABDALLAH FAOUZI</v>
      </c>
      <c r="D42" s="15" t="s">
        <v>54</v>
      </c>
      <c r="E42" s="15">
        <v>45825</v>
      </c>
      <c r="F42" s="14" t="s">
        <v>23</v>
      </c>
      <c r="G42" s="16">
        <v>45</v>
      </c>
    </row>
    <row r="43" spans="1:7" x14ac:dyDescent="0.25">
      <c r="A43" s="13" t="s">
        <v>1795</v>
      </c>
      <c r="B43" s="13">
        <v>1659</v>
      </c>
      <c r="C43" s="14" t="str">
        <f>+VLOOKUP(B43,[1]LISTE!$A$1:$D$431,4,FALSE)</f>
        <v>BEN ABDALLAH FAOUZI</v>
      </c>
      <c r="D43" s="15" t="s">
        <v>54</v>
      </c>
      <c r="E43" s="15">
        <v>45825</v>
      </c>
      <c r="F43" s="14" t="s">
        <v>20</v>
      </c>
      <c r="G43" s="16">
        <v>20.984999999999999</v>
      </c>
    </row>
    <row r="44" spans="1:7" x14ac:dyDescent="0.25">
      <c r="A44" s="13" t="s">
        <v>1821</v>
      </c>
      <c r="B44" s="13">
        <v>1664</v>
      </c>
      <c r="C44" s="14" t="str">
        <f>+VLOOKUP(B44,[1]LISTE!$A$1:$D$431,4,FALSE)</f>
        <v>BEN SAOUD SOFIANE</v>
      </c>
      <c r="D44" s="14" t="s">
        <v>31</v>
      </c>
      <c r="E44" s="15">
        <v>45832</v>
      </c>
      <c r="F44" s="14" t="s">
        <v>18</v>
      </c>
      <c r="G44" s="16">
        <v>70</v>
      </c>
    </row>
    <row r="45" spans="1:7" x14ac:dyDescent="0.25">
      <c r="A45" s="13" t="s">
        <v>1821</v>
      </c>
      <c r="B45" s="13">
        <v>1664</v>
      </c>
      <c r="C45" s="14" t="str">
        <f>+VLOOKUP(B45,[1]LISTE!$A$1:$D$431,4,FALSE)</f>
        <v>BEN SAOUD SOFIANE</v>
      </c>
      <c r="D45" s="15" t="s">
        <v>31</v>
      </c>
      <c r="E45" s="15">
        <v>45832</v>
      </c>
      <c r="F45" s="14" t="s">
        <v>20</v>
      </c>
      <c r="G45" s="16">
        <v>35.289000000000001</v>
      </c>
    </row>
    <row r="46" spans="1:7" x14ac:dyDescent="0.25">
      <c r="A46" s="13" t="s">
        <v>1903</v>
      </c>
      <c r="B46" s="13">
        <v>1664</v>
      </c>
      <c r="C46" s="14" t="str">
        <f>+VLOOKUP(B46,[1]LISTE!$A$1:$D$431,4,FALSE)</f>
        <v>BEN SAOUD SOFIANE</v>
      </c>
      <c r="D46" s="14" t="s">
        <v>22</v>
      </c>
      <c r="E46" s="15">
        <v>45845</v>
      </c>
      <c r="F46" s="14" t="s">
        <v>23</v>
      </c>
      <c r="G46" s="16">
        <v>35</v>
      </c>
    </row>
    <row r="47" spans="1:7" x14ac:dyDescent="0.25">
      <c r="A47" s="13" t="s">
        <v>1903</v>
      </c>
      <c r="B47" s="13">
        <v>1664</v>
      </c>
      <c r="C47" s="14" t="str">
        <f>+VLOOKUP(B47,[1]LISTE!$A$1:$D$431,4,FALSE)</f>
        <v>BEN SAOUD SOFIANE</v>
      </c>
      <c r="D47" s="14" t="s">
        <v>22</v>
      </c>
      <c r="E47" s="15">
        <v>45847</v>
      </c>
      <c r="F47" s="14" t="s">
        <v>20</v>
      </c>
      <c r="G47" s="16">
        <v>37.097999999999999</v>
      </c>
    </row>
    <row r="48" spans="1:7" x14ac:dyDescent="0.25">
      <c r="A48" s="13" t="s">
        <v>1904</v>
      </c>
      <c r="B48" s="13">
        <v>1664</v>
      </c>
      <c r="C48" s="14" t="str">
        <f>+VLOOKUP(B48,[1]LISTE!$A$1:$D$431,4,FALSE)</f>
        <v>BEN SAOUD SOFIANE</v>
      </c>
      <c r="D48" s="14" t="s">
        <v>212</v>
      </c>
      <c r="E48" s="15">
        <v>45847</v>
      </c>
      <c r="F48" s="14" t="s">
        <v>23</v>
      </c>
      <c r="G48" s="16">
        <v>35</v>
      </c>
    </row>
    <row r="49" spans="1:7" x14ac:dyDescent="0.25">
      <c r="A49" s="13" t="s">
        <v>1904</v>
      </c>
      <c r="B49" s="13">
        <v>1664</v>
      </c>
      <c r="C49" s="14" t="str">
        <f>+VLOOKUP(B49,[1]LISTE!$A$1:$D$431,4,FALSE)</f>
        <v>BEN SAOUD SOFIANE</v>
      </c>
      <c r="D49" s="15" t="s">
        <v>212</v>
      </c>
      <c r="E49" s="15">
        <v>45847</v>
      </c>
      <c r="F49" s="14" t="s">
        <v>20</v>
      </c>
      <c r="G49" s="16">
        <v>39.168999999999997</v>
      </c>
    </row>
    <row r="50" spans="1:7" x14ac:dyDescent="0.25">
      <c r="A50" s="13" t="s">
        <v>1894</v>
      </c>
      <c r="B50" s="13">
        <v>1671</v>
      </c>
      <c r="C50" s="14" t="str">
        <f>+VLOOKUP(B50,[1]LISTE!$A$1:$D$431,4,FALSE)</f>
        <v>EL BACH ADEL</v>
      </c>
      <c r="D50" s="14" t="s">
        <v>687</v>
      </c>
      <c r="E50" s="15">
        <v>45828</v>
      </c>
      <c r="F50" s="14" t="s">
        <v>18</v>
      </c>
      <c r="G50" s="16">
        <v>70</v>
      </c>
    </row>
    <row r="51" spans="1:7" x14ac:dyDescent="0.25">
      <c r="A51" s="13" t="s">
        <v>1894</v>
      </c>
      <c r="B51" s="13">
        <v>1671</v>
      </c>
      <c r="C51" s="14" t="str">
        <f>+VLOOKUP(B51,[1]LISTE!$A$1:$D$431,4,FALSE)</f>
        <v>EL BACH ADEL</v>
      </c>
      <c r="D51" s="14" t="s">
        <v>687</v>
      </c>
      <c r="E51" s="15">
        <v>45845</v>
      </c>
      <c r="F51" s="14" t="s">
        <v>20</v>
      </c>
      <c r="G51" s="16">
        <v>5.38</v>
      </c>
    </row>
    <row r="52" spans="1:7" x14ac:dyDescent="0.25">
      <c r="A52" s="13" t="s">
        <v>1894</v>
      </c>
      <c r="B52" s="13">
        <v>1671</v>
      </c>
      <c r="C52" s="14" t="str">
        <f>+VLOOKUP(B52,[1]LISTE!$A$1:$D$431,4,FALSE)</f>
        <v>EL BACH ADEL</v>
      </c>
      <c r="D52" s="15" t="s">
        <v>687</v>
      </c>
      <c r="E52" s="15">
        <v>45828</v>
      </c>
      <c r="F52" s="14" t="s">
        <v>21</v>
      </c>
      <c r="G52" s="16">
        <v>60</v>
      </c>
    </row>
    <row r="53" spans="1:7" x14ac:dyDescent="0.25">
      <c r="A53" s="13" t="s">
        <v>1794</v>
      </c>
      <c r="B53" s="13">
        <v>1680</v>
      </c>
      <c r="C53" s="14" t="str">
        <f>+VLOOKUP(B53,[1]LISTE!$A$1:$D$431,4,FALSE)</f>
        <v>SASSI WALID</v>
      </c>
      <c r="D53" s="15" t="s">
        <v>242</v>
      </c>
      <c r="E53" s="15">
        <v>45831</v>
      </c>
      <c r="F53" s="14" t="s">
        <v>23</v>
      </c>
      <c r="G53" s="16">
        <v>40</v>
      </c>
    </row>
    <row r="54" spans="1:7" x14ac:dyDescent="0.25">
      <c r="A54" s="13" t="s">
        <v>1794</v>
      </c>
      <c r="B54" s="13">
        <v>1680</v>
      </c>
      <c r="C54" s="14" t="str">
        <f>+VLOOKUP(B54,[1]LISTE!$A$1:$D$431,4,FALSE)</f>
        <v>SASSI WALID</v>
      </c>
      <c r="D54" s="15" t="s">
        <v>242</v>
      </c>
      <c r="E54" s="15">
        <v>45831</v>
      </c>
      <c r="F54" s="14" t="s">
        <v>20</v>
      </c>
      <c r="G54" s="16">
        <v>13.343</v>
      </c>
    </row>
    <row r="55" spans="1:7" x14ac:dyDescent="0.25">
      <c r="A55" s="13" t="s">
        <v>1801</v>
      </c>
      <c r="B55" s="13">
        <v>1682</v>
      </c>
      <c r="C55" s="14" t="str">
        <f>+VLOOKUP(B55,[1]LISTE!$A$1:$D$431,4,FALSE)</f>
        <v>LASSOUAD ABDELJELIL</v>
      </c>
      <c r="D55" s="14" t="s">
        <v>1802</v>
      </c>
      <c r="E55" s="15">
        <v>45829</v>
      </c>
      <c r="F55" s="14" t="s">
        <v>18</v>
      </c>
      <c r="G55" s="16">
        <v>90</v>
      </c>
    </row>
    <row r="56" spans="1:7" x14ac:dyDescent="0.25">
      <c r="A56" s="13" t="s">
        <v>1801</v>
      </c>
      <c r="B56" s="13">
        <v>1682</v>
      </c>
      <c r="C56" s="14" t="str">
        <f>+VLOOKUP(B56,[1]LISTE!$A$1:$D$431,4,FALSE)</f>
        <v>LASSOUAD ABDELJELIL</v>
      </c>
      <c r="D56" s="15" t="s">
        <v>1802</v>
      </c>
      <c r="E56" s="15">
        <v>45831</v>
      </c>
      <c r="F56" s="14" t="s">
        <v>20</v>
      </c>
      <c r="G56" s="16">
        <v>21.38</v>
      </c>
    </row>
    <row r="57" spans="1:7" x14ac:dyDescent="0.25">
      <c r="A57" s="13" t="s">
        <v>1801</v>
      </c>
      <c r="B57" s="13">
        <v>1682</v>
      </c>
      <c r="C57" s="14" t="str">
        <f>+VLOOKUP(B57,[1]LISTE!$A$1:$D$431,4,FALSE)</f>
        <v>LASSOUAD ABDELJELIL</v>
      </c>
      <c r="D57" s="14" t="s">
        <v>1802</v>
      </c>
      <c r="E57" s="15">
        <v>45829</v>
      </c>
      <c r="F57" s="14" t="s">
        <v>525</v>
      </c>
      <c r="G57" s="16">
        <v>130</v>
      </c>
    </row>
    <row r="58" spans="1:7" x14ac:dyDescent="0.25">
      <c r="A58" s="13" t="s">
        <v>1872</v>
      </c>
      <c r="B58" s="13">
        <v>1685</v>
      </c>
      <c r="C58" s="14" t="str">
        <f>+VLOOKUP(B58,[1]LISTE!$A$1:$D$431,4,FALSE)</f>
        <v>MAHJOUB MOHAMED KARIM</v>
      </c>
      <c r="D58" s="14" t="s">
        <v>421</v>
      </c>
      <c r="E58" s="15">
        <v>45838</v>
      </c>
      <c r="F58" s="14" t="s">
        <v>23</v>
      </c>
      <c r="G58" s="16">
        <v>50</v>
      </c>
    </row>
    <row r="59" spans="1:7" x14ac:dyDescent="0.25">
      <c r="A59" s="13" t="s">
        <v>1872</v>
      </c>
      <c r="B59" s="13">
        <v>1685</v>
      </c>
      <c r="C59" s="14" t="str">
        <f>+VLOOKUP(B59,[1]LISTE!$A$1:$D$431,4,FALSE)</f>
        <v>MAHJOUB MOHAMED KARIM</v>
      </c>
      <c r="D59" s="15" t="s">
        <v>421</v>
      </c>
      <c r="E59" s="15">
        <v>45838</v>
      </c>
      <c r="F59" s="14" t="s">
        <v>20</v>
      </c>
      <c r="G59" s="16">
        <v>12.38</v>
      </c>
    </row>
    <row r="60" spans="1:7" x14ac:dyDescent="0.25">
      <c r="A60" s="13" t="s">
        <v>1872</v>
      </c>
      <c r="B60" s="13">
        <v>1685</v>
      </c>
      <c r="C60" s="14" t="str">
        <f>+VLOOKUP(B60,[1]LISTE!$A$1:$D$431,4,FALSE)</f>
        <v>MAHJOUB MOHAMED KARIM</v>
      </c>
      <c r="D60" s="14" t="s">
        <v>421</v>
      </c>
      <c r="E60" s="15">
        <v>45843</v>
      </c>
      <c r="F60" s="14" t="s">
        <v>24</v>
      </c>
      <c r="G60" s="16">
        <v>60</v>
      </c>
    </row>
    <row r="61" spans="1:7" x14ac:dyDescent="0.25">
      <c r="A61" s="13" t="s">
        <v>1805</v>
      </c>
      <c r="B61" s="13">
        <v>1687</v>
      </c>
      <c r="C61" s="14" t="str">
        <f>+VLOOKUP(B61,[1]LISTE!$A$1:$D$431,4,FALSE)</f>
        <v>LACHHAB SAHBI</v>
      </c>
      <c r="D61" s="14" t="s">
        <v>349</v>
      </c>
      <c r="E61" s="15">
        <v>45834</v>
      </c>
      <c r="F61" s="14" t="s">
        <v>23</v>
      </c>
      <c r="G61" s="16">
        <v>45</v>
      </c>
    </row>
    <row r="62" spans="1:7" x14ac:dyDescent="0.25">
      <c r="A62" s="13" t="s">
        <v>1805</v>
      </c>
      <c r="B62" s="13">
        <v>1687</v>
      </c>
      <c r="C62" s="14" t="str">
        <f>+VLOOKUP(B62,[1]LISTE!$A$1:$D$431,4,FALSE)</f>
        <v>LACHHAB SAHBI</v>
      </c>
      <c r="D62" s="14" t="s">
        <v>349</v>
      </c>
      <c r="E62" s="15">
        <v>45834</v>
      </c>
      <c r="F62" s="14" t="s">
        <v>20</v>
      </c>
      <c r="G62" s="16">
        <v>51.616999999999997</v>
      </c>
    </row>
    <row r="63" spans="1:7" x14ac:dyDescent="0.25">
      <c r="A63" s="13" t="s">
        <v>1882</v>
      </c>
      <c r="B63" s="13">
        <v>1687</v>
      </c>
      <c r="C63" s="14" t="str">
        <f>+VLOOKUP(B63,[1]LISTE!$A$1:$D$431,4,FALSE)</f>
        <v>LACHHAB SAHBI</v>
      </c>
      <c r="D63" s="15" t="s">
        <v>26</v>
      </c>
      <c r="E63" s="15">
        <v>45845</v>
      </c>
      <c r="F63" s="14" t="s">
        <v>18</v>
      </c>
      <c r="G63" s="16">
        <v>60</v>
      </c>
    </row>
    <row r="64" spans="1:7" x14ac:dyDescent="0.25">
      <c r="A64" s="13" t="s">
        <v>1882</v>
      </c>
      <c r="B64" s="13">
        <v>1687</v>
      </c>
      <c r="C64" s="14" t="str">
        <f>+VLOOKUP(B64,[1]LISTE!$A$1:$D$431,4,FALSE)</f>
        <v>LACHHAB SAHBI</v>
      </c>
      <c r="D64" s="15" t="s">
        <v>26</v>
      </c>
      <c r="E64" s="15">
        <v>45845</v>
      </c>
      <c r="F64" s="14" t="s">
        <v>20</v>
      </c>
      <c r="G64" s="16">
        <v>140.97</v>
      </c>
    </row>
    <row r="65" spans="1:7" x14ac:dyDescent="0.25">
      <c r="A65" s="13" t="s">
        <v>1883</v>
      </c>
      <c r="B65" s="13">
        <v>1687</v>
      </c>
      <c r="C65" s="14" t="str">
        <f>+VLOOKUP(B65,[1]LISTE!$A$1:$D$431,4,FALSE)</f>
        <v>LACHHAB SAHBI</v>
      </c>
      <c r="D65" s="14" t="s">
        <v>54</v>
      </c>
      <c r="E65" s="15">
        <v>45846</v>
      </c>
      <c r="F65" s="14" t="s">
        <v>18</v>
      </c>
      <c r="G65" s="16">
        <v>60</v>
      </c>
    </row>
    <row r="66" spans="1:7" x14ac:dyDescent="0.25">
      <c r="A66" s="13" t="s">
        <v>1883</v>
      </c>
      <c r="B66" s="13">
        <v>1687</v>
      </c>
      <c r="C66" s="14" t="str">
        <f>+VLOOKUP(B66,[1]LISTE!$A$1:$D$431,4,FALSE)</f>
        <v>LACHHAB SAHBI</v>
      </c>
      <c r="D66" s="14" t="s">
        <v>54</v>
      </c>
      <c r="E66" s="15">
        <v>45846</v>
      </c>
      <c r="F66" s="14" t="s">
        <v>20</v>
      </c>
      <c r="G66" s="16">
        <v>123.91</v>
      </c>
    </row>
    <row r="67" spans="1:7" x14ac:dyDescent="0.25">
      <c r="A67" s="13" t="s">
        <v>1884</v>
      </c>
      <c r="B67" s="13">
        <v>1687</v>
      </c>
      <c r="C67" s="14" t="str">
        <f>+VLOOKUP(B67,[1]LISTE!$A$1:$D$431,4,FALSE)</f>
        <v>LACHHAB SAHBI</v>
      </c>
      <c r="D67" s="14" t="s">
        <v>22</v>
      </c>
      <c r="E67" s="15">
        <v>45841</v>
      </c>
      <c r="F67" s="14" t="s">
        <v>18</v>
      </c>
      <c r="G67" s="16">
        <v>60</v>
      </c>
    </row>
    <row r="68" spans="1:7" x14ac:dyDescent="0.25">
      <c r="A68" s="13" t="s">
        <v>1884</v>
      </c>
      <c r="B68" s="13">
        <v>1687</v>
      </c>
      <c r="C68" s="14" t="str">
        <f>+VLOOKUP(B68,[1]LISTE!$A$1:$D$431,4,FALSE)</f>
        <v>LACHHAB SAHBI</v>
      </c>
      <c r="D68" s="14" t="s">
        <v>22</v>
      </c>
      <c r="E68" s="15">
        <v>45841</v>
      </c>
      <c r="F68" s="14" t="s">
        <v>20</v>
      </c>
      <c r="G68" s="16">
        <v>133.57</v>
      </c>
    </row>
    <row r="69" spans="1:7" x14ac:dyDescent="0.25">
      <c r="A69" s="13" t="s">
        <v>1848</v>
      </c>
      <c r="B69" s="13">
        <v>1691</v>
      </c>
      <c r="C69" s="14" t="str">
        <f>+VLOOKUP(B69,[1]LISTE!$A$1:$D$431,4,FALSE)</f>
        <v>GADHI MOHAMED</v>
      </c>
      <c r="D69" s="15" t="s">
        <v>1849</v>
      </c>
      <c r="E69" s="15">
        <v>45835</v>
      </c>
      <c r="F69" s="14" t="s">
        <v>23</v>
      </c>
      <c r="G69" s="16">
        <v>40</v>
      </c>
    </row>
    <row r="70" spans="1:7" x14ac:dyDescent="0.25">
      <c r="A70" s="13" t="s">
        <v>1848</v>
      </c>
      <c r="B70" s="13">
        <v>1691</v>
      </c>
      <c r="C70" s="14" t="str">
        <f>+VLOOKUP(B70,[1]LISTE!$A$1:$D$431,4,FALSE)</f>
        <v>GADHI MOHAMED</v>
      </c>
      <c r="D70" s="15" t="s">
        <v>1849</v>
      </c>
      <c r="E70" s="15">
        <v>45835</v>
      </c>
      <c r="F70" s="14" t="s">
        <v>20</v>
      </c>
      <c r="G70" s="16">
        <v>28.966000000000001</v>
      </c>
    </row>
    <row r="71" spans="1:7" x14ac:dyDescent="0.25">
      <c r="A71" s="13" t="s">
        <v>1891</v>
      </c>
      <c r="B71" s="13">
        <v>1713</v>
      </c>
      <c r="C71" s="14" t="s">
        <v>939</v>
      </c>
      <c r="D71" s="14" t="s">
        <v>22</v>
      </c>
      <c r="E71" s="15">
        <v>45842</v>
      </c>
      <c r="F71" s="14" t="s">
        <v>23</v>
      </c>
      <c r="G71" s="16">
        <v>40</v>
      </c>
    </row>
    <row r="72" spans="1:7" x14ac:dyDescent="0.25">
      <c r="A72" s="13" t="s">
        <v>1891</v>
      </c>
      <c r="B72" s="13">
        <v>1713</v>
      </c>
      <c r="C72" s="14" t="s">
        <v>939</v>
      </c>
      <c r="D72" s="14" t="s">
        <v>22</v>
      </c>
      <c r="E72" s="15">
        <v>45842</v>
      </c>
      <c r="F72" s="14" t="s">
        <v>20</v>
      </c>
      <c r="G72" s="16">
        <v>69.11</v>
      </c>
    </row>
    <row r="73" spans="1:7" x14ac:dyDescent="0.25">
      <c r="A73" s="13" t="s">
        <v>1891</v>
      </c>
      <c r="B73" s="13">
        <v>1713</v>
      </c>
      <c r="C73" s="14" t="s">
        <v>939</v>
      </c>
      <c r="D73" s="14" t="s">
        <v>22</v>
      </c>
      <c r="E73" s="15">
        <v>45842</v>
      </c>
      <c r="F73" s="14" t="s">
        <v>24</v>
      </c>
      <c r="G73" s="16">
        <v>80</v>
      </c>
    </row>
    <row r="74" spans="1:7" x14ac:dyDescent="0.25">
      <c r="A74" s="13" t="s">
        <v>1891</v>
      </c>
      <c r="B74" s="13">
        <v>1713</v>
      </c>
      <c r="C74" s="14" t="s">
        <v>939</v>
      </c>
      <c r="D74" s="14" t="s">
        <v>22</v>
      </c>
      <c r="E74" s="15">
        <v>45846</v>
      </c>
      <c r="F74" s="14" t="s">
        <v>25</v>
      </c>
      <c r="G74" s="16">
        <v>750</v>
      </c>
    </row>
    <row r="75" spans="1:7" x14ac:dyDescent="0.25">
      <c r="A75" s="13" t="s">
        <v>1851</v>
      </c>
      <c r="B75" s="13">
        <v>1746</v>
      </c>
      <c r="C75" s="14" t="str">
        <f>+VLOOKUP(B75,[1]LISTE!$A$1:$D$431,4,FALSE)</f>
        <v>BEL ARBIA KAMEL</v>
      </c>
      <c r="D75" s="15" t="s">
        <v>453</v>
      </c>
      <c r="E75" s="15">
        <v>45832</v>
      </c>
      <c r="F75" s="14" t="s">
        <v>20</v>
      </c>
      <c r="G75" s="16">
        <v>45.365000000000002</v>
      </c>
    </row>
    <row r="76" spans="1:7" x14ac:dyDescent="0.25">
      <c r="A76" s="13" t="s">
        <v>1851</v>
      </c>
      <c r="B76" s="13">
        <v>1746</v>
      </c>
      <c r="C76" s="14" t="str">
        <f>+VLOOKUP(B76,[1]LISTE!$A$1:$D$431,4,FALSE)</f>
        <v>BEL ARBIA KAMEL</v>
      </c>
      <c r="D76" s="14" t="s">
        <v>453</v>
      </c>
      <c r="E76" s="15">
        <v>45832</v>
      </c>
      <c r="F76" s="14" t="s">
        <v>19</v>
      </c>
      <c r="G76" s="16">
        <v>125.02</v>
      </c>
    </row>
    <row r="77" spans="1:7" x14ac:dyDescent="0.25">
      <c r="A77" s="13" t="s">
        <v>1851</v>
      </c>
      <c r="B77" s="13">
        <v>1746</v>
      </c>
      <c r="C77" s="14" t="str">
        <f>+VLOOKUP(B77,[1]LISTE!$A$1:$D$431,4,FALSE)</f>
        <v>BEL ARBIA KAMEL</v>
      </c>
      <c r="D77" s="15" t="s">
        <v>453</v>
      </c>
      <c r="E77" s="15">
        <v>45832</v>
      </c>
      <c r="F77" s="14" t="s">
        <v>363</v>
      </c>
      <c r="G77" s="16">
        <v>700</v>
      </c>
    </row>
    <row r="78" spans="1:7" x14ac:dyDescent="0.25">
      <c r="A78" s="13" t="s">
        <v>1851</v>
      </c>
      <c r="B78" s="13">
        <v>1746</v>
      </c>
      <c r="C78" s="14" t="str">
        <f>+VLOOKUP(B78,[1]LISTE!$A$1:$D$431,4,FALSE)</f>
        <v>BEL ARBIA KAMEL</v>
      </c>
      <c r="D78" s="14" t="s">
        <v>453</v>
      </c>
      <c r="E78" s="15">
        <v>45832</v>
      </c>
      <c r="F78" s="14" t="s">
        <v>363</v>
      </c>
      <c r="G78" s="16">
        <v>240</v>
      </c>
    </row>
    <row r="79" spans="1:7" x14ac:dyDescent="0.25">
      <c r="A79" s="13" t="s">
        <v>1851</v>
      </c>
      <c r="B79" s="13">
        <v>1746</v>
      </c>
      <c r="C79" s="14" t="str">
        <f>+VLOOKUP(B79,[1]LISTE!$A$1:$D$431,4,FALSE)</f>
        <v>BEL ARBIA KAMEL</v>
      </c>
      <c r="D79" s="14" t="s">
        <v>453</v>
      </c>
      <c r="E79" s="15">
        <v>45832</v>
      </c>
      <c r="F79" s="14" t="s">
        <v>364</v>
      </c>
      <c r="G79" s="16">
        <v>1076.9490000000001</v>
      </c>
    </row>
    <row r="80" spans="1:7" x14ac:dyDescent="0.25">
      <c r="A80" s="13" t="s">
        <v>1867</v>
      </c>
      <c r="B80" s="13">
        <v>1752</v>
      </c>
      <c r="C80" s="14" t="str">
        <f>+VLOOKUP(B80,[1]LISTE!$A$1:$D$431,4,FALSE)</f>
        <v>HEDHILI MUSTAPHA</v>
      </c>
      <c r="D80" s="14" t="s">
        <v>22</v>
      </c>
      <c r="E80" s="15">
        <v>45836</v>
      </c>
      <c r="F80" s="14" t="s">
        <v>23</v>
      </c>
      <c r="G80" s="16">
        <v>40</v>
      </c>
    </row>
    <row r="81" spans="1:7" x14ac:dyDescent="0.25">
      <c r="A81" s="13" t="s">
        <v>1867</v>
      </c>
      <c r="B81" s="13">
        <v>1752</v>
      </c>
      <c r="C81" s="14" t="str">
        <f>+VLOOKUP(B81,[1]LISTE!$A$1:$D$431,4,FALSE)</f>
        <v>HEDHILI MUSTAPHA</v>
      </c>
      <c r="D81" s="14" t="s">
        <v>22</v>
      </c>
      <c r="E81" s="15">
        <v>45836</v>
      </c>
      <c r="F81" s="14" t="s">
        <v>20</v>
      </c>
      <c r="G81" s="16">
        <v>3.9</v>
      </c>
    </row>
    <row r="82" spans="1:7" x14ac:dyDescent="0.25">
      <c r="A82" s="13" t="s">
        <v>1867</v>
      </c>
      <c r="B82" s="13">
        <v>1752</v>
      </c>
      <c r="C82" s="14" t="str">
        <f>+VLOOKUP(B82,[1]LISTE!$A$1:$D$431,4,FALSE)</f>
        <v>HEDHILI MUSTAPHA</v>
      </c>
      <c r="D82" s="14" t="s">
        <v>22</v>
      </c>
      <c r="E82" s="15">
        <v>45842</v>
      </c>
      <c r="F82" s="14" t="s">
        <v>25</v>
      </c>
      <c r="G82" s="16">
        <v>240</v>
      </c>
    </row>
    <row r="83" spans="1:7" x14ac:dyDescent="0.25">
      <c r="A83" s="13" t="s">
        <v>1839</v>
      </c>
      <c r="B83" s="13">
        <v>1764</v>
      </c>
      <c r="C83" s="14" t="str">
        <f>+VLOOKUP(B83,[1]LISTE!$A$1:$D$431,4,FALSE)</f>
        <v>RBEH MAHMOUD</v>
      </c>
      <c r="D83" s="14" t="s">
        <v>565</v>
      </c>
      <c r="E83" s="15">
        <v>45835</v>
      </c>
      <c r="F83" s="14" t="s">
        <v>18</v>
      </c>
      <c r="G83" s="16">
        <v>80</v>
      </c>
    </row>
    <row r="84" spans="1:7" x14ac:dyDescent="0.25">
      <c r="A84" s="13" t="s">
        <v>1839</v>
      </c>
      <c r="B84" s="13">
        <v>1764</v>
      </c>
      <c r="C84" s="14" t="str">
        <f>+VLOOKUP(B84,[1]LISTE!$A$1:$D$431,4,FALSE)</f>
        <v>RBEH MAHMOUD</v>
      </c>
      <c r="D84" s="14" t="s">
        <v>565</v>
      </c>
      <c r="E84" s="15">
        <v>45835</v>
      </c>
      <c r="F84" s="14" t="s">
        <v>19</v>
      </c>
      <c r="G84" s="16">
        <v>34.4</v>
      </c>
    </row>
    <row r="85" spans="1:7" x14ac:dyDescent="0.25">
      <c r="A85" s="13" t="s">
        <v>1839</v>
      </c>
      <c r="B85" s="13">
        <v>1764</v>
      </c>
      <c r="C85" s="14" t="str">
        <f>+VLOOKUP(B85,[1]LISTE!$A$1:$D$431,4,FALSE)</f>
        <v>RBEH MAHMOUD</v>
      </c>
      <c r="D85" s="14" t="s">
        <v>565</v>
      </c>
      <c r="E85" s="15">
        <v>45835</v>
      </c>
      <c r="F85" s="14" t="s">
        <v>20</v>
      </c>
      <c r="G85" s="16">
        <v>25.375</v>
      </c>
    </row>
    <row r="86" spans="1:7" x14ac:dyDescent="0.25">
      <c r="A86" s="13" t="s">
        <v>1824</v>
      </c>
      <c r="B86" s="13">
        <v>1767</v>
      </c>
      <c r="C86" s="14" t="str">
        <f>+VLOOKUP(B86,[1]LISTE!$A$1:$D$431,4,FALSE)</f>
        <v>B.H.SGHAIER NAOUFEL</v>
      </c>
      <c r="D86" s="14" t="s">
        <v>251</v>
      </c>
      <c r="E86" s="15">
        <v>45833</v>
      </c>
      <c r="F86" s="14" t="s">
        <v>18</v>
      </c>
      <c r="G86" s="16">
        <v>70</v>
      </c>
    </row>
    <row r="87" spans="1:7" x14ac:dyDescent="0.25">
      <c r="A87" s="13" t="s">
        <v>1824</v>
      </c>
      <c r="B87" s="13">
        <v>1767</v>
      </c>
      <c r="C87" s="14" t="str">
        <f>+VLOOKUP(B87,[1]LISTE!$A$1:$D$431,4,FALSE)</f>
        <v>B.H.SGHAIER NAOUFEL</v>
      </c>
      <c r="D87" s="15" t="s">
        <v>251</v>
      </c>
      <c r="E87" s="15">
        <v>45836</v>
      </c>
      <c r="F87" s="14" t="s">
        <v>20</v>
      </c>
      <c r="G87" s="16">
        <v>53.8</v>
      </c>
    </row>
    <row r="88" spans="1:7" x14ac:dyDescent="0.25">
      <c r="A88" s="13" t="s">
        <v>1811</v>
      </c>
      <c r="B88" s="13">
        <v>1768</v>
      </c>
      <c r="C88" s="14" t="str">
        <f>+VLOOKUP(B88,[1]LISTE!$A$1:$D$431,4,FALSE)</f>
        <v>LADJIMI MAHER</v>
      </c>
      <c r="D88" s="14" t="s">
        <v>455</v>
      </c>
      <c r="E88" s="15">
        <v>45827</v>
      </c>
      <c r="F88" s="14" t="s">
        <v>18</v>
      </c>
      <c r="G88" s="16">
        <v>80</v>
      </c>
    </row>
    <row r="89" spans="1:7" x14ac:dyDescent="0.25">
      <c r="A89" s="13" t="s">
        <v>1811</v>
      </c>
      <c r="B89" s="13">
        <v>1768</v>
      </c>
      <c r="C89" s="14" t="str">
        <f>+VLOOKUP(B89,[1]LISTE!$A$1:$D$431,4,FALSE)</f>
        <v>LADJIMI MAHER</v>
      </c>
      <c r="D89" s="15" t="s">
        <v>455</v>
      </c>
      <c r="E89" s="15">
        <v>45827</v>
      </c>
      <c r="F89" s="14" t="s">
        <v>20</v>
      </c>
      <c r="G89" s="16">
        <v>15.09</v>
      </c>
    </row>
    <row r="90" spans="1:7" x14ac:dyDescent="0.25">
      <c r="A90" s="13" t="s">
        <v>1854</v>
      </c>
      <c r="B90" s="13">
        <v>1768</v>
      </c>
      <c r="C90" s="14" t="str">
        <f>+VLOOKUP(B90,[1]LISTE!$A$1:$D$431,4,FALSE)</f>
        <v>LADJIMI MAHER</v>
      </c>
      <c r="D90" s="14" t="s">
        <v>22</v>
      </c>
      <c r="E90" s="15">
        <v>45835</v>
      </c>
      <c r="F90" s="14" t="s">
        <v>20</v>
      </c>
      <c r="G90" s="16">
        <v>54.863</v>
      </c>
    </row>
    <row r="91" spans="1:7" x14ac:dyDescent="0.25">
      <c r="A91" s="13" t="s">
        <v>1814</v>
      </c>
      <c r="B91" s="13">
        <v>1781</v>
      </c>
      <c r="C91" s="14" t="str">
        <f>+VLOOKUP(B91,[1]LISTE!$A$1:$D$431,4,FALSE)</f>
        <v>KEMIMECH MOHAMED</v>
      </c>
      <c r="D91" s="14" t="s">
        <v>22</v>
      </c>
      <c r="E91" s="15">
        <v>45824</v>
      </c>
      <c r="F91" s="14" t="s">
        <v>23</v>
      </c>
      <c r="G91" s="16">
        <v>50</v>
      </c>
    </row>
    <row r="92" spans="1:7" x14ac:dyDescent="0.25">
      <c r="A92" s="13" t="s">
        <v>1814</v>
      </c>
      <c r="B92" s="13">
        <v>1781</v>
      </c>
      <c r="C92" s="14" t="str">
        <f>+VLOOKUP(B92,[1]LISTE!$A$1:$D$431,4,FALSE)</f>
        <v>KEMIMECH MOHAMED</v>
      </c>
      <c r="D92" s="15" t="s">
        <v>22</v>
      </c>
      <c r="E92" s="15">
        <v>45824</v>
      </c>
      <c r="F92" s="14" t="s">
        <v>20</v>
      </c>
      <c r="G92" s="16">
        <v>4.2450000000000001</v>
      </c>
    </row>
    <row r="93" spans="1:7" x14ac:dyDescent="0.25">
      <c r="A93" s="13" t="s">
        <v>1814</v>
      </c>
      <c r="B93" s="13">
        <v>1781</v>
      </c>
      <c r="C93" s="14" t="str">
        <f>+VLOOKUP(B93,[1]LISTE!$A$1:$D$431,4,FALSE)</f>
        <v>KEMIMECH MOHAMED</v>
      </c>
      <c r="D93" s="15" t="s">
        <v>22</v>
      </c>
      <c r="E93" s="15">
        <v>45826</v>
      </c>
      <c r="F93" s="14" t="s">
        <v>24</v>
      </c>
      <c r="G93" s="16">
        <v>60</v>
      </c>
    </row>
    <row r="94" spans="1:7" x14ac:dyDescent="0.25">
      <c r="A94" s="13" t="s">
        <v>1810</v>
      </c>
      <c r="B94" s="13">
        <v>1782</v>
      </c>
      <c r="C94" s="14" t="str">
        <f>+VLOOKUP(B94,[1]LISTE!$A$1:$D$431,4,FALSE)</f>
        <v>IBRAHIM JAMEL</v>
      </c>
      <c r="D94" s="15" t="s">
        <v>22</v>
      </c>
      <c r="E94" s="15">
        <v>45825</v>
      </c>
      <c r="F94" s="14" t="s">
        <v>23</v>
      </c>
      <c r="G94" s="16">
        <v>45</v>
      </c>
    </row>
    <row r="95" spans="1:7" x14ac:dyDescent="0.25">
      <c r="A95" s="13" t="s">
        <v>1810</v>
      </c>
      <c r="B95" s="13">
        <v>1782</v>
      </c>
      <c r="C95" s="14" t="str">
        <f>+VLOOKUP(B95,[1]LISTE!$A$1:$D$431,4,FALSE)</f>
        <v>IBRAHIM JAMEL</v>
      </c>
      <c r="D95" s="15" t="s">
        <v>22</v>
      </c>
      <c r="E95" s="15">
        <v>45825</v>
      </c>
      <c r="F95" s="14" t="s">
        <v>20</v>
      </c>
      <c r="G95" s="16">
        <v>17.963999999999999</v>
      </c>
    </row>
    <row r="96" spans="1:7" x14ac:dyDescent="0.25">
      <c r="A96" s="13" t="s">
        <v>1836</v>
      </c>
      <c r="B96" s="13">
        <v>1785</v>
      </c>
      <c r="C96" s="14" t="s">
        <v>625</v>
      </c>
      <c r="D96" s="14" t="s">
        <v>1837</v>
      </c>
      <c r="E96" s="15">
        <v>45832</v>
      </c>
      <c r="F96" s="14" t="s">
        <v>18</v>
      </c>
      <c r="G96" s="16">
        <v>60</v>
      </c>
    </row>
    <row r="97" spans="1:7" x14ac:dyDescent="0.25">
      <c r="A97" s="13" t="s">
        <v>1836</v>
      </c>
      <c r="B97" s="13">
        <v>1785</v>
      </c>
      <c r="C97" s="14" t="s">
        <v>625</v>
      </c>
      <c r="D97" s="14" t="s">
        <v>1837</v>
      </c>
      <c r="E97" s="15">
        <v>45832</v>
      </c>
      <c r="F97" s="14" t="s">
        <v>20</v>
      </c>
      <c r="G97" s="16">
        <v>4.7149999999999999</v>
      </c>
    </row>
    <row r="98" spans="1:7" x14ac:dyDescent="0.25">
      <c r="A98" s="13" t="s">
        <v>1836</v>
      </c>
      <c r="B98" s="13">
        <v>1785</v>
      </c>
      <c r="C98" s="14" t="s">
        <v>625</v>
      </c>
      <c r="D98" s="14" t="s">
        <v>1837</v>
      </c>
      <c r="E98" s="15">
        <v>45832</v>
      </c>
      <c r="F98" s="14" t="s">
        <v>363</v>
      </c>
      <c r="G98" s="16">
        <v>290</v>
      </c>
    </row>
    <row r="99" spans="1:7" x14ac:dyDescent="0.25">
      <c r="A99" s="13" t="s">
        <v>1898</v>
      </c>
      <c r="B99" s="13">
        <v>1787</v>
      </c>
      <c r="C99" s="14" t="str">
        <f>+VLOOKUP(B99,[1]LISTE!$A$1:$D$431,4,FALSE)</f>
        <v>BEN ALITA NEBIL</v>
      </c>
      <c r="D99" s="14" t="s">
        <v>1641</v>
      </c>
      <c r="E99" s="15">
        <v>45833</v>
      </c>
      <c r="F99" s="14" t="s">
        <v>23</v>
      </c>
      <c r="G99" s="16">
        <v>35</v>
      </c>
    </row>
    <row r="100" spans="1:7" x14ac:dyDescent="0.25">
      <c r="A100" s="13" t="s">
        <v>1898</v>
      </c>
      <c r="B100" s="13">
        <v>1787</v>
      </c>
      <c r="C100" s="14" t="str">
        <f>+VLOOKUP(B100,[1]LISTE!$A$1:$D$431,4,FALSE)</f>
        <v>BEN ALITA NEBIL</v>
      </c>
      <c r="D100" s="14" t="s">
        <v>1641</v>
      </c>
      <c r="E100" s="15">
        <v>45833</v>
      </c>
      <c r="F100" s="14" t="s">
        <v>20</v>
      </c>
      <c r="G100" s="16">
        <v>6.9160000000000004</v>
      </c>
    </row>
    <row r="101" spans="1:7" x14ac:dyDescent="0.25">
      <c r="A101" s="13" t="s">
        <v>1861</v>
      </c>
      <c r="B101" s="13">
        <v>1789</v>
      </c>
      <c r="C101" s="14" t="str">
        <f>+VLOOKUP(B101,[1]LISTE!$A$1:$D$431,4,FALSE)</f>
        <v>CHIHI MOHAMED SALAH</v>
      </c>
      <c r="D101" s="14" t="s">
        <v>22</v>
      </c>
      <c r="E101" s="15">
        <v>45845</v>
      </c>
      <c r="F101" s="14" t="s">
        <v>23</v>
      </c>
      <c r="G101" s="16">
        <v>40</v>
      </c>
    </row>
    <row r="102" spans="1:7" x14ac:dyDescent="0.25">
      <c r="A102" s="13" t="s">
        <v>1861</v>
      </c>
      <c r="B102" s="13">
        <v>1789</v>
      </c>
      <c r="C102" s="14" t="str">
        <f>+VLOOKUP(B102,[1]LISTE!$A$1:$D$431,4,FALSE)</f>
        <v>CHIHI MOHAMED SALAH</v>
      </c>
      <c r="D102" s="15" t="s">
        <v>22</v>
      </c>
      <c r="E102" s="15">
        <v>45845</v>
      </c>
      <c r="F102" s="14" t="s">
        <v>20</v>
      </c>
      <c r="G102" s="16">
        <v>26.594999999999999</v>
      </c>
    </row>
    <row r="103" spans="1:7" x14ac:dyDescent="0.25">
      <c r="A103" s="13" t="s">
        <v>1862</v>
      </c>
      <c r="B103" s="13">
        <v>1789</v>
      </c>
      <c r="C103" s="14" t="str">
        <f>+VLOOKUP(B103,[1]LISTE!$A$1:$D$431,4,FALSE)</f>
        <v>CHIHI MOHAMED SALAH</v>
      </c>
      <c r="D103" s="15" t="s">
        <v>37</v>
      </c>
      <c r="E103" s="15">
        <v>45843</v>
      </c>
      <c r="F103" s="14" t="s">
        <v>18</v>
      </c>
      <c r="G103" s="16">
        <v>70</v>
      </c>
    </row>
    <row r="104" spans="1:7" x14ac:dyDescent="0.25">
      <c r="A104" s="13" t="s">
        <v>1862</v>
      </c>
      <c r="B104" s="13">
        <v>1789</v>
      </c>
      <c r="C104" s="14" t="str">
        <f>+VLOOKUP(B104,[1]LISTE!$A$1:$D$431,4,FALSE)</f>
        <v>CHIHI MOHAMED SALAH</v>
      </c>
      <c r="D104" s="14" t="s">
        <v>37</v>
      </c>
      <c r="E104" s="15">
        <v>45843</v>
      </c>
      <c r="F104" s="14" t="s">
        <v>65</v>
      </c>
      <c r="G104" s="16">
        <v>30</v>
      </c>
    </row>
    <row r="105" spans="1:7" x14ac:dyDescent="0.25">
      <c r="A105" s="13" t="s">
        <v>1862</v>
      </c>
      <c r="B105" s="13">
        <v>1789</v>
      </c>
      <c r="C105" s="14" t="str">
        <f>+VLOOKUP(B105,[1]LISTE!$A$1:$D$431,4,FALSE)</f>
        <v>CHIHI MOHAMED SALAH</v>
      </c>
      <c r="D105" s="15" t="s">
        <v>37</v>
      </c>
      <c r="E105" s="15">
        <v>45843</v>
      </c>
      <c r="F105" s="14" t="s">
        <v>20</v>
      </c>
      <c r="G105" s="16">
        <v>24.93</v>
      </c>
    </row>
    <row r="106" spans="1:7" x14ac:dyDescent="0.25">
      <c r="A106" s="13" t="s">
        <v>1840</v>
      </c>
      <c r="B106" s="13">
        <v>1797</v>
      </c>
      <c r="C106" s="14" t="str">
        <f>+VLOOKUP(B106,[1]LISTE!$A$1:$D$431,4,FALSE)</f>
        <v>ABBADI MOHAMED</v>
      </c>
      <c r="D106" s="15" t="s">
        <v>253</v>
      </c>
      <c r="E106" s="15">
        <v>45838</v>
      </c>
      <c r="F106" s="14" t="s">
        <v>18</v>
      </c>
      <c r="G106" s="16">
        <v>70</v>
      </c>
    </row>
    <row r="107" spans="1:7" x14ac:dyDescent="0.25">
      <c r="A107" s="13" t="s">
        <v>1840</v>
      </c>
      <c r="B107" s="13">
        <v>1797</v>
      </c>
      <c r="C107" s="14" t="str">
        <f>+VLOOKUP(B107,[1]LISTE!$A$1:$D$431,4,FALSE)</f>
        <v>ABBADI MOHAMED</v>
      </c>
      <c r="D107" s="15" t="s">
        <v>253</v>
      </c>
      <c r="E107" s="15">
        <v>45838</v>
      </c>
      <c r="F107" s="14" t="s">
        <v>20</v>
      </c>
      <c r="G107" s="16">
        <v>14.846</v>
      </c>
    </row>
    <row r="108" spans="1:7" x14ac:dyDescent="0.25">
      <c r="A108" s="13" t="s">
        <v>1845</v>
      </c>
      <c r="B108" s="13">
        <v>1801</v>
      </c>
      <c r="C108" s="14" t="str">
        <f>+VLOOKUP(B108,[1]LISTE!$A$1:$D$431,4,FALSE)</f>
        <v>MAHJOUB MOHAMED</v>
      </c>
      <c r="D108" s="14" t="s">
        <v>128</v>
      </c>
      <c r="E108" s="15">
        <v>45824</v>
      </c>
      <c r="F108" s="14" t="s">
        <v>18</v>
      </c>
      <c r="G108" s="16">
        <v>70</v>
      </c>
    </row>
    <row r="109" spans="1:7" x14ac:dyDescent="0.25">
      <c r="A109" s="13" t="s">
        <v>1845</v>
      </c>
      <c r="B109" s="13">
        <v>1801</v>
      </c>
      <c r="C109" s="14" t="str">
        <f>+VLOOKUP(B109,[1]LISTE!$A$1:$D$431,4,FALSE)</f>
        <v>MAHJOUB MOHAMED</v>
      </c>
      <c r="D109" s="15" t="s">
        <v>128</v>
      </c>
      <c r="E109" s="15">
        <v>45825</v>
      </c>
      <c r="F109" s="14" t="s">
        <v>20</v>
      </c>
      <c r="G109" s="16">
        <v>71.48</v>
      </c>
    </row>
    <row r="110" spans="1:7" x14ac:dyDescent="0.25">
      <c r="A110" s="13" t="s">
        <v>1877</v>
      </c>
      <c r="B110" s="13">
        <v>1803</v>
      </c>
      <c r="C110" s="14" t="str">
        <f>+VLOOKUP(B110,[1]LISTE!$A$1:$D$431,4,FALSE)</f>
        <v>GAM HAMDI</v>
      </c>
      <c r="D110" s="15" t="s">
        <v>22</v>
      </c>
      <c r="E110" s="15">
        <v>45833</v>
      </c>
      <c r="F110" s="14" t="s">
        <v>23</v>
      </c>
      <c r="G110" s="16">
        <v>20</v>
      </c>
    </row>
    <row r="111" spans="1:7" x14ac:dyDescent="0.25">
      <c r="A111" s="13" t="s">
        <v>1877</v>
      </c>
      <c r="B111" s="13">
        <v>1803</v>
      </c>
      <c r="C111" s="14" t="str">
        <f>+VLOOKUP(B111,[1]LISTE!$A$1:$D$431,4,FALSE)</f>
        <v>GAM HAMDI</v>
      </c>
      <c r="D111" s="15" t="s">
        <v>22</v>
      </c>
      <c r="E111" s="15">
        <v>45833</v>
      </c>
      <c r="F111" s="14" t="s">
        <v>20</v>
      </c>
      <c r="G111" s="16">
        <v>7.9749999999999996</v>
      </c>
    </row>
    <row r="112" spans="1:7" x14ac:dyDescent="0.25">
      <c r="A112" s="13" t="s">
        <v>1878</v>
      </c>
      <c r="B112" s="13">
        <v>1803</v>
      </c>
      <c r="C112" s="14" t="str">
        <f>+VLOOKUP(B112,[1]LISTE!$A$1:$D$431,4,FALSE)</f>
        <v>GAM HAMDI</v>
      </c>
      <c r="D112" s="15" t="s">
        <v>187</v>
      </c>
      <c r="E112" s="15">
        <v>45833</v>
      </c>
      <c r="F112" s="14" t="s">
        <v>23</v>
      </c>
      <c r="G112" s="16">
        <v>20</v>
      </c>
    </row>
    <row r="113" spans="1:7" x14ac:dyDescent="0.25">
      <c r="A113" s="13" t="s">
        <v>1878</v>
      </c>
      <c r="B113" s="13">
        <v>1803</v>
      </c>
      <c r="C113" s="14" t="str">
        <f>+VLOOKUP(B113,[1]LISTE!$A$1:$D$431,4,FALSE)</f>
        <v>GAM HAMDI</v>
      </c>
      <c r="D113" s="14" t="s">
        <v>187</v>
      </c>
      <c r="E113" s="15">
        <v>45833</v>
      </c>
      <c r="F113" s="14" t="s">
        <v>20</v>
      </c>
      <c r="G113" s="16">
        <v>39.692999999999998</v>
      </c>
    </row>
    <row r="114" spans="1:7" x14ac:dyDescent="0.25">
      <c r="A114" s="13" t="s">
        <v>1879</v>
      </c>
      <c r="B114" s="13">
        <v>1803</v>
      </c>
      <c r="C114" s="14" t="str">
        <f>+VLOOKUP(B114,[1]LISTE!$A$1:$D$431,4,FALSE)</f>
        <v>GAM HAMDI</v>
      </c>
      <c r="D114" s="15" t="s">
        <v>184</v>
      </c>
      <c r="E114" s="15">
        <v>45821</v>
      </c>
      <c r="F114" s="14" t="s">
        <v>23</v>
      </c>
      <c r="G114" s="16">
        <v>20</v>
      </c>
    </row>
    <row r="115" spans="1:7" x14ac:dyDescent="0.25">
      <c r="A115" s="13" t="s">
        <v>1879</v>
      </c>
      <c r="B115" s="13">
        <v>1803</v>
      </c>
      <c r="C115" s="14" t="str">
        <f>+VLOOKUP(B115,[1]LISTE!$A$1:$D$431,4,FALSE)</f>
        <v>GAM HAMDI</v>
      </c>
      <c r="D115" s="15" t="s">
        <v>184</v>
      </c>
      <c r="E115" s="15">
        <v>45821</v>
      </c>
      <c r="F115" s="14" t="s">
        <v>20</v>
      </c>
      <c r="G115" s="16">
        <v>28.495000000000001</v>
      </c>
    </row>
    <row r="116" spans="1:7" x14ac:dyDescent="0.25">
      <c r="A116" s="13" t="s">
        <v>1804</v>
      </c>
      <c r="B116" s="13">
        <v>1809</v>
      </c>
      <c r="C116" s="14" t="str">
        <f>+VLOOKUP(B116,[1]LISTE!$A$1:$D$431,4,FALSE)</f>
        <v>JUILI AFIF</v>
      </c>
      <c r="D116" s="14" t="s">
        <v>200</v>
      </c>
      <c r="E116" s="15">
        <v>45836</v>
      </c>
      <c r="F116" s="14" t="s">
        <v>20</v>
      </c>
      <c r="G116" s="16">
        <v>2.7149999999999999</v>
      </c>
    </row>
    <row r="117" spans="1:7" x14ac:dyDescent="0.25">
      <c r="A117" s="13" t="s">
        <v>1804</v>
      </c>
      <c r="B117" s="13">
        <v>1809</v>
      </c>
      <c r="C117" s="14" t="str">
        <f>+VLOOKUP(B117,[1]LISTE!$A$1:$D$431,4,FALSE)</f>
        <v>JUILI AFIF</v>
      </c>
      <c r="D117" s="14" t="s">
        <v>200</v>
      </c>
      <c r="E117" s="15">
        <v>45836</v>
      </c>
      <c r="F117" s="14" t="s">
        <v>363</v>
      </c>
      <c r="G117" s="16">
        <v>80</v>
      </c>
    </row>
    <row r="118" spans="1:7" x14ac:dyDescent="0.25">
      <c r="A118" s="13" t="s">
        <v>1804</v>
      </c>
      <c r="B118" s="13">
        <v>1809</v>
      </c>
      <c r="C118" s="14" t="str">
        <f>+VLOOKUP(B118,[1]LISTE!$A$1:$D$431,4,FALSE)</f>
        <v>JUILI AFIF</v>
      </c>
      <c r="D118" s="14" t="s">
        <v>200</v>
      </c>
      <c r="E118" s="15">
        <v>45836</v>
      </c>
      <c r="F118" s="14" t="s">
        <v>363</v>
      </c>
      <c r="G118" s="16">
        <v>250</v>
      </c>
    </row>
    <row r="119" spans="1:7" x14ac:dyDescent="0.25">
      <c r="A119" s="13" t="s">
        <v>1804</v>
      </c>
      <c r="B119" s="13">
        <v>1809</v>
      </c>
      <c r="C119" s="14" t="str">
        <f>+VLOOKUP(B119,[1]LISTE!$A$1:$D$431,4,FALSE)</f>
        <v>JUILI AFIF</v>
      </c>
      <c r="D119" s="14" t="s">
        <v>200</v>
      </c>
      <c r="E119" s="15">
        <v>45836</v>
      </c>
      <c r="F119" s="14" t="s">
        <v>364</v>
      </c>
      <c r="G119" s="16">
        <v>405.14800000000002</v>
      </c>
    </row>
    <row r="120" spans="1:7" x14ac:dyDescent="0.25">
      <c r="A120" s="13" t="s">
        <v>1842</v>
      </c>
      <c r="B120" s="13">
        <v>1819</v>
      </c>
      <c r="C120" s="14" t="str">
        <f>+VLOOKUP(B120,[1]LISTE!$A$1:$D$431,4,FALSE)</f>
        <v>SASSI MOHAMED WALID</v>
      </c>
      <c r="D120" s="14" t="s">
        <v>22</v>
      </c>
      <c r="E120" s="15">
        <v>45817</v>
      </c>
      <c r="F120" s="14" t="s">
        <v>20</v>
      </c>
      <c r="G120" s="16">
        <v>8.64</v>
      </c>
    </row>
    <row r="121" spans="1:7" x14ac:dyDescent="0.25">
      <c r="A121" s="13" t="s">
        <v>1846</v>
      </c>
      <c r="B121" s="13">
        <v>1819</v>
      </c>
      <c r="C121" s="14" t="str">
        <f>+VLOOKUP(B121,[1]LISTE!$A$1:$D$431,4,FALSE)</f>
        <v>SASSI MOHAMED WALID</v>
      </c>
      <c r="D121" s="15" t="s">
        <v>371</v>
      </c>
      <c r="E121" s="15">
        <v>45817</v>
      </c>
      <c r="F121" s="14" t="s">
        <v>23</v>
      </c>
      <c r="G121" s="16">
        <v>45</v>
      </c>
    </row>
    <row r="122" spans="1:7" x14ac:dyDescent="0.25">
      <c r="A122" s="13" t="s">
        <v>1846</v>
      </c>
      <c r="B122" s="13">
        <v>1819</v>
      </c>
      <c r="C122" s="14" t="str">
        <f>+VLOOKUP(B122,[1]LISTE!$A$1:$D$431,4,FALSE)</f>
        <v>SASSI MOHAMED WALID</v>
      </c>
      <c r="D122" s="14" t="s">
        <v>371</v>
      </c>
      <c r="E122" s="15">
        <v>45818</v>
      </c>
      <c r="F122" s="14" t="s">
        <v>19</v>
      </c>
      <c r="G122" s="16">
        <v>26.364000000000001</v>
      </c>
    </row>
    <row r="123" spans="1:7" x14ac:dyDescent="0.25">
      <c r="A123" s="13" t="s">
        <v>1846</v>
      </c>
      <c r="B123" s="13">
        <v>1819</v>
      </c>
      <c r="C123" s="14" t="str">
        <f>+VLOOKUP(B123,[1]LISTE!$A$1:$D$431,4,FALSE)</f>
        <v>SASSI MOHAMED WALID</v>
      </c>
      <c r="D123" s="15" t="s">
        <v>371</v>
      </c>
      <c r="E123" s="15">
        <v>45820</v>
      </c>
      <c r="F123" s="14" t="s">
        <v>20</v>
      </c>
      <c r="G123" s="16">
        <v>19.12</v>
      </c>
    </row>
    <row r="124" spans="1:7" x14ac:dyDescent="0.25">
      <c r="A124" s="13" t="s">
        <v>1846</v>
      </c>
      <c r="B124" s="13">
        <v>1819</v>
      </c>
      <c r="C124" s="14" t="str">
        <f>+VLOOKUP(B124,[1]LISTE!$A$1:$D$431,4,FALSE)</f>
        <v>SASSI MOHAMED WALID</v>
      </c>
      <c r="D124" s="14" t="s">
        <v>371</v>
      </c>
      <c r="E124" s="15">
        <v>45817</v>
      </c>
      <c r="F124" s="14" t="s">
        <v>21</v>
      </c>
      <c r="G124" s="16">
        <v>90</v>
      </c>
    </row>
    <row r="125" spans="1:7" x14ac:dyDescent="0.25">
      <c r="A125" s="13" t="s">
        <v>1806</v>
      </c>
      <c r="B125" s="13">
        <v>1827</v>
      </c>
      <c r="C125" s="14" t="str">
        <f>+VLOOKUP(B125,[1]LISTE!$A$1:$D$431,4,FALSE)</f>
        <v>CHTIOUI HAMADI</v>
      </c>
      <c r="D125" s="15" t="s">
        <v>22</v>
      </c>
      <c r="E125" s="15">
        <v>45836</v>
      </c>
      <c r="F125" s="14" t="s">
        <v>20</v>
      </c>
      <c r="G125" s="16">
        <v>77.075999999999993</v>
      </c>
    </row>
    <row r="126" spans="1:7" x14ac:dyDescent="0.25">
      <c r="A126" s="13" t="s">
        <v>1823</v>
      </c>
      <c r="B126" s="13">
        <v>1833</v>
      </c>
      <c r="C126" s="14" t="str">
        <f>+VLOOKUP(B126,[1]LISTE!$A$1:$D$431,4,FALSE)</f>
        <v>BOUZAABIA MOHAMED</v>
      </c>
      <c r="D126" s="14" t="s">
        <v>79</v>
      </c>
      <c r="E126" s="15">
        <v>45834</v>
      </c>
      <c r="F126" s="14" t="s">
        <v>23</v>
      </c>
      <c r="G126" s="16">
        <v>50</v>
      </c>
    </row>
    <row r="127" spans="1:7" x14ac:dyDescent="0.25">
      <c r="A127" s="13" t="s">
        <v>1823</v>
      </c>
      <c r="B127" s="13">
        <v>1833</v>
      </c>
      <c r="C127" s="14" t="str">
        <f>+VLOOKUP(B127,[1]LISTE!$A$1:$D$431,4,FALSE)</f>
        <v>BOUZAABIA MOHAMED</v>
      </c>
      <c r="D127" s="14" t="s">
        <v>79</v>
      </c>
      <c r="E127" s="15">
        <v>45834</v>
      </c>
      <c r="F127" s="14" t="s">
        <v>20</v>
      </c>
      <c r="G127" s="16">
        <v>5.0949999999999998</v>
      </c>
    </row>
    <row r="128" spans="1:7" x14ac:dyDescent="0.25">
      <c r="A128" s="13" t="s">
        <v>1823</v>
      </c>
      <c r="B128" s="13">
        <v>1833</v>
      </c>
      <c r="C128" s="14" t="str">
        <f>+VLOOKUP(B128,[1]LISTE!$A$1:$D$431,4,FALSE)</f>
        <v>BOUZAABIA MOHAMED</v>
      </c>
      <c r="D128" s="14" t="s">
        <v>79</v>
      </c>
      <c r="E128" s="15">
        <v>45834</v>
      </c>
      <c r="F128" s="14" t="s">
        <v>24</v>
      </c>
      <c r="G128" s="16">
        <v>328</v>
      </c>
    </row>
    <row r="129" spans="1:7" x14ac:dyDescent="0.25">
      <c r="A129" s="13" t="s">
        <v>1823</v>
      </c>
      <c r="B129" s="13">
        <v>1833</v>
      </c>
      <c r="C129" s="14" t="str">
        <f>+VLOOKUP(B129,[1]LISTE!$A$1:$D$431,4,FALSE)</f>
        <v>BOUZAABIA MOHAMED</v>
      </c>
      <c r="D129" s="15" t="s">
        <v>79</v>
      </c>
      <c r="E129" s="15">
        <v>45834</v>
      </c>
      <c r="F129" s="14" t="s">
        <v>25</v>
      </c>
      <c r="G129" s="16">
        <v>251</v>
      </c>
    </row>
    <row r="130" spans="1:7" x14ac:dyDescent="0.25">
      <c r="A130" s="13" t="s">
        <v>1863</v>
      </c>
      <c r="B130" s="13">
        <v>1833</v>
      </c>
      <c r="C130" s="14" t="str">
        <f>+VLOOKUP(B130,[1]LISTE!$A$1:$D$431,4,FALSE)</f>
        <v>BOUZAABIA MOHAMED</v>
      </c>
      <c r="D130" s="14" t="s">
        <v>22</v>
      </c>
      <c r="E130" s="15">
        <v>45838</v>
      </c>
      <c r="F130" s="14" t="s">
        <v>23</v>
      </c>
      <c r="G130" s="16">
        <v>50</v>
      </c>
    </row>
    <row r="131" spans="1:7" x14ac:dyDescent="0.25">
      <c r="A131" s="13" t="s">
        <v>1863</v>
      </c>
      <c r="B131" s="13">
        <v>1833</v>
      </c>
      <c r="C131" s="14" t="str">
        <f>+VLOOKUP(B131,[1]LISTE!$A$1:$D$431,4,FALSE)</f>
        <v>BOUZAABIA MOHAMED</v>
      </c>
      <c r="D131" s="14" t="s">
        <v>22</v>
      </c>
      <c r="E131" s="15">
        <v>45838</v>
      </c>
      <c r="F131" s="14" t="s">
        <v>20</v>
      </c>
      <c r="G131" s="16">
        <v>38.99</v>
      </c>
    </row>
    <row r="132" spans="1:7" x14ac:dyDescent="0.25">
      <c r="A132" s="13" t="s">
        <v>1896</v>
      </c>
      <c r="B132" s="13">
        <v>1833</v>
      </c>
      <c r="C132" s="14" t="str">
        <f>+VLOOKUP(B132,[1]LISTE!$A$1:$D$431,4,FALSE)</f>
        <v>BOUZAABIA MOHAMED</v>
      </c>
      <c r="D132" s="15" t="s">
        <v>22</v>
      </c>
      <c r="E132" s="15">
        <v>45842</v>
      </c>
      <c r="F132" s="14" t="s">
        <v>23</v>
      </c>
      <c r="G132" s="16">
        <v>20</v>
      </c>
    </row>
    <row r="133" spans="1:7" x14ac:dyDescent="0.25">
      <c r="A133" s="13" t="s">
        <v>1896</v>
      </c>
      <c r="B133" s="13">
        <v>1833</v>
      </c>
      <c r="C133" s="14" t="str">
        <f>+VLOOKUP(B133,[1]LISTE!$A$1:$D$431,4,FALSE)</f>
        <v>BOUZAABIA MOHAMED</v>
      </c>
      <c r="D133" s="14" t="s">
        <v>22</v>
      </c>
      <c r="E133" s="15">
        <v>45842</v>
      </c>
      <c r="F133" s="14" t="s">
        <v>20</v>
      </c>
      <c r="G133" s="16">
        <v>30.44</v>
      </c>
    </row>
    <row r="134" spans="1:7" x14ac:dyDescent="0.25">
      <c r="A134" s="13" t="s">
        <v>1859</v>
      </c>
      <c r="B134" s="13">
        <v>1839</v>
      </c>
      <c r="C134" s="14" t="str">
        <f>+VLOOKUP(B134,[1]LISTE!$A$1:$D$431,4,FALSE)</f>
        <v>TERZEGUE FERID</v>
      </c>
      <c r="D134" s="14" t="s">
        <v>253</v>
      </c>
      <c r="E134" s="15">
        <v>45840</v>
      </c>
      <c r="F134" s="14" t="s">
        <v>18</v>
      </c>
      <c r="G134" s="16">
        <v>70</v>
      </c>
    </row>
    <row r="135" spans="1:7" x14ac:dyDescent="0.25">
      <c r="A135" s="13" t="s">
        <v>1859</v>
      </c>
      <c r="B135" s="13">
        <v>1839</v>
      </c>
      <c r="C135" s="14" t="str">
        <f>+VLOOKUP(B135,[1]LISTE!$A$1:$D$431,4,FALSE)</f>
        <v>TERZEGUE FERID</v>
      </c>
      <c r="D135" s="14" t="s">
        <v>253</v>
      </c>
      <c r="E135" s="15">
        <v>45840</v>
      </c>
      <c r="F135" s="14" t="s">
        <v>20</v>
      </c>
      <c r="G135" s="16">
        <v>35.168999999999997</v>
      </c>
    </row>
    <row r="136" spans="1:7" x14ac:dyDescent="0.25">
      <c r="A136" s="13" t="s">
        <v>1847</v>
      </c>
      <c r="B136" s="13">
        <v>1860</v>
      </c>
      <c r="C136" s="14" t="str">
        <f>+VLOOKUP(B136,[1]LISTE!$A$1:$D$431,4,FALSE)</f>
        <v>KTAIEB FREDJ</v>
      </c>
      <c r="D136" s="14" t="s">
        <v>332</v>
      </c>
      <c r="E136" s="15">
        <v>45839</v>
      </c>
      <c r="F136" s="14" t="s">
        <v>18</v>
      </c>
      <c r="G136" s="16">
        <v>60</v>
      </c>
    </row>
    <row r="137" spans="1:7" x14ac:dyDescent="0.25">
      <c r="A137" s="13" t="s">
        <v>1847</v>
      </c>
      <c r="B137" s="13">
        <v>1860</v>
      </c>
      <c r="C137" s="14" t="str">
        <f>+VLOOKUP(B137,[1]LISTE!$A$1:$D$431,4,FALSE)</f>
        <v>KTAIEB FREDJ</v>
      </c>
      <c r="D137" s="14" t="s">
        <v>332</v>
      </c>
      <c r="E137" s="15">
        <v>45839</v>
      </c>
      <c r="F137" s="14" t="s">
        <v>19</v>
      </c>
      <c r="G137" s="16">
        <v>45.05</v>
      </c>
    </row>
    <row r="138" spans="1:7" x14ac:dyDescent="0.25">
      <c r="A138" s="13" t="s">
        <v>1847</v>
      </c>
      <c r="B138" s="13">
        <v>1860</v>
      </c>
      <c r="C138" s="14" t="str">
        <f>+VLOOKUP(B138,[1]LISTE!$A$1:$D$431,4,FALSE)</f>
        <v>KTAIEB FREDJ</v>
      </c>
      <c r="D138" s="14" t="s">
        <v>332</v>
      </c>
      <c r="E138" s="15">
        <v>45839</v>
      </c>
      <c r="F138" s="14" t="s">
        <v>20</v>
      </c>
      <c r="G138" s="16">
        <v>89.149000000000001</v>
      </c>
    </row>
    <row r="139" spans="1:7" x14ac:dyDescent="0.25">
      <c r="A139" s="13" t="s">
        <v>1892</v>
      </c>
      <c r="B139" s="13">
        <v>1866</v>
      </c>
      <c r="C139" s="14" t="s">
        <v>1893</v>
      </c>
      <c r="D139" s="15" t="s">
        <v>349</v>
      </c>
      <c r="E139" s="15">
        <v>45843</v>
      </c>
      <c r="F139" s="14" t="s">
        <v>19</v>
      </c>
      <c r="G139" s="16">
        <v>85.385999999999996</v>
      </c>
    </row>
    <row r="140" spans="1:7" x14ac:dyDescent="0.25">
      <c r="A140" s="13" t="s">
        <v>1850</v>
      </c>
      <c r="B140" s="13">
        <v>1867</v>
      </c>
      <c r="C140" s="14" t="str">
        <f>+VLOOKUP(B140,[1]LISTE!$A$1:$D$431,4,FALSE)</f>
        <v>GAZZAH LOTFI</v>
      </c>
      <c r="D140" s="14" t="s">
        <v>40</v>
      </c>
      <c r="E140" s="15">
        <v>45834</v>
      </c>
      <c r="F140" s="14" t="s">
        <v>23</v>
      </c>
      <c r="G140" s="16">
        <v>50</v>
      </c>
    </row>
    <row r="141" spans="1:7" x14ac:dyDescent="0.25">
      <c r="A141" s="13" t="s">
        <v>1850</v>
      </c>
      <c r="B141" s="13">
        <v>1867</v>
      </c>
      <c r="C141" s="14" t="str">
        <f>+VLOOKUP(B141,[1]LISTE!$A$1:$D$431,4,FALSE)</f>
        <v>GAZZAH LOTFI</v>
      </c>
      <c r="D141" s="14" t="s">
        <v>40</v>
      </c>
      <c r="E141" s="15">
        <v>45834</v>
      </c>
      <c r="F141" s="14" t="s">
        <v>20</v>
      </c>
      <c r="G141" s="16">
        <v>7.96</v>
      </c>
    </row>
    <row r="142" spans="1:7" x14ac:dyDescent="0.25">
      <c r="A142" s="13" t="s">
        <v>1899</v>
      </c>
      <c r="B142" s="13">
        <v>1898</v>
      </c>
      <c r="C142" s="14" t="str">
        <f>+VLOOKUP(B142,[1]LISTE!$A$1:$D$431,4,FALSE)</f>
        <v>BOUHLEL BILEL</v>
      </c>
      <c r="D142" s="14" t="s">
        <v>1900</v>
      </c>
      <c r="E142" s="15">
        <v>45842</v>
      </c>
      <c r="F142" s="14" t="s">
        <v>19</v>
      </c>
      <c r="G142" s="16">
        <v>42.8</v>
      </c>
    </row>
    <row r="143" spans="1:7" x14ac:dyDescent="0.25">
      <c r="A143" s="13" t="s">
        <v>1899</v>
      </c>
      <c r="B143" s="13">
        <v>1898</v>
      </c>
      <c r="C143" s="14" t="str">
        <f>+VLOOKUP(B143,[1]LISTE!$A$1:$D$431,4,FALSE)</f>
        <v>BOUHLEL BILEL</v>
      </c>
      <c r="D143" s="14" t="s">
        <v>1900</v>
      </c>
      <c r="E143" s="15">
        <v>45842</v>
      </c>
      <c r="F143" s="14" t="s">
        <v>20</v>
      </c>
      <c r="G143" s="16">
        <v>61.301000000000002</v>
      </c>
    </row>
    <row r="144" spans="1:7" x14ac:dyDescent="0.25">
      <c r="A144" s="13" t="s">
        <v>1798</v>
      </c>
      <c r="B144" s="13">
        <v>1901</v>
      </c>
      <c r="C144" s="14" t="str">
        <f>+VLOOKUP(B144,[1]LISTE!$A$1:$D$431,4,FALSE)</f>
        <v>BACH ZOUHAIER</v>
      </c>
      <c r="D144" s="14" t="s">
        <v>1799</v>
      </c>
      <c r="E144" s="15">
        <v>45824</v>
      </c>
      <c r="F144" s="14" t="s">
        <v>18</v>
      </c>
      <c r="G144" s="16">
        <v>60</v>
      </c>
    </row>
    <row r="145" spans="1:7" x14ac:dyDescent="0.25">
      <c r="A145" s="13" t="s">
        <v>1798</v>
      </c>
      <c r="B145" s="13">
        <v>1901</v>
      </c>
      <c r="C145" s="14" t="str">
        <f>+VLOOKUP(B145,[1]LISTE!$A$1:$D$431,4,FALSE)</f>
        <v>BACH ZOUHAIER</v>
      </c>
      <c r="D145" s="15" t="s">
        <v>1799</v>
      </c>
      <c r="E145" s="15">
        <v>45824</v>
      </c>
      <c r="F145" s="14" t="s">
        <v>20</v>
      </c>
      <c r="G145" s="16">
        <v>6.92</v>
      </c>
    </row>
    <row r="146" spans="1:7" x14ac:dyDescent="0.25">
      <c r="A146" s="13" t="s">
        <v>1866</v>
      </c>
      <c r="B146" s="13">
        <v>1901</v>
      </c>
      <c r="C146" s="14" t="str">
        <f>+VLOOKUP(B146,[1]LISTE!$A$1:$D$431,4,FALSE)</f>
        <v>BACH ZOUHAIER</v>
      </c>
      <c r="D146" s="15" t="s">
        <v>1799</v>
      </c>
      <c r="E146" s="15">
        <v>45824</v>
      </c>
      <c r="F146" s="14" t="s">
        <v>18</v>
      </c>
      <c r="G146" s="16">
        <v>60</v>
      </c>
    </row>
    <row r="147" spans="1:7" x14ac:dyDescent="0.25">
      <c r="A147" s="13" t="s">
        <v>1866</v>
      </c>
      <c r="B147" s="13">
        <v>1901</v>
      </c>
      <c r="C147" s="14" t="str">
        <f>+VLOOKUP(B147,[1]LISTE!$A$1:$D$431,4,FALSE)</f>
        <v>BACH ZOUHAIER</v>
      </c>
      <c r="D147" s="14" t="s">
        <v>1799</v>
      </c>
      <c r="E147" s="15">
        <v>45824</v>
      </c>
      <c r="F147" s="14" t="s">
        <v>20</v>
      </c>
      <c r="G147" s="16">
        <v>20.68</v>
      </c>
    </row>
    <row r="148" spans="1:7" x14ac:dyDescent="0.25">
      <c r="A148" s="13" t="s">
        <v>1866</v>
      </c>
      <c r="B148" s="13">
        <v>1901</v>
      </c>
      <c r="C148" s="14" t="str">
        <f>+VLOOKUP(B148,[1]LISTE!$A$1:$D$431,4,FALSE)</f>
        <v>BACH ZOUHAIER</v>
      </c>
      <c r="D148" s="15" t="s">
        <v>1799</v>
      </c>
      <c r="E148" s="15">
        <v>45843</v>
      </c>
      <c r="F148" s="14" t="s">
        <v>19</v>
      </c>
      <c r="G148" s="16">
        <v>25.04</v>
      </c>
    </row>
    <row r="149" spans="1:7" x14ac:dyDescent="0.25">
      <c r="A149" s="13" t="s">
        <v>1874</v>
      </c>
      <c r="B149" s="13">
        <v>1905</v>
      </c>
      <c r="C149" s="14" t="str">
        <f>+VLOOKUP(B149,[1]LISTE!$A$1:$D$431,4,FALSE)</f>
        <v>LADHARI MOHAMED</v>
      </c>
      <c r="D149" s="15" t="s">
        <v>923</v>
      </c>
      <c r="E149" s="15">
        <v>45843</v>
      </c>
      <c r="F149" s="14" t="s">
        <v>23</v>
      </c>
      <c r="G149" s="16">
        <v>3</v>
      </c>
    </row>
    <row r="150" spans="1:7" x14ac:dyDescent="0.25">
      <c r="A150" s="13" t="s">
        <v>1874</v>
      </c>
      <c r="B150" s="13">
        <v>1905</v>
      </c>
      <c r="C150" s="14" t="str">
        <f>+VLOOKUP(B150,[1]LISTE!$A$1:$D$431,4,FALSE)</f>
        <v>LADHARI MOHAMED</v>
      </c>
      <c r="D150" s="15" t="s">
        <v>923</v>
      </c>
      <c r="E150" s="15">
        <v>45843</v>
      </c>
      <c r="F150" s="14" t="s">
        <v>21</v>
      </c>
      <c r="G150" s="16">
        <v>4.5</v>
      </c>
    </row>
    <row r="151" spans="1:7" x14ac:dyDescent="0.25">
      <c r="A151" s="13" t="s">
        <v>1874</v>
      </c>
      <c r="B151" s="13">
        <v>1905</v>
      </c>
      <c r="C151" s="14" t="str">
        <f>+VLOOKUP(B151,[1]LISTE!$A$1:$D$431,4,FALSE)</f>
        <v>LADHARI MOHAMED</v>
      </c>
      <c r="D151" s="14" t="s">
        <v>923</v>
      </c>
      <c r="E151" s="15">
        <v>45843</v>
      </c>
      <c r="F151" s="14" t="s">
        <v>20</v>
      </c>
      <c r="G151" s="16">
        <v>70.789000000000001</v>
      </c>
    </row>
    <row r="152" spans="1:7" x14ac:dyDescent="0.25">
      <c r="A152" s="13" t="s">
        <v>1875</v>
      </c>
      <c r="B152" s="13">
        <v>1905</v>
      </c>
      <c r="C152" s="14" t="str">
        <f>+VLOOKUP(B152,[1]LISTE!$A$1:$D$431,4,FALSE)</f>
        <v>LADHARI MOHAMED</v>
      </c>
      <c r="D152" s="14" t="s">
        <v>22</v>
      </c>
      <c r="E152" s="15">
        <v>45846</v>
      </c>
      <c r="F152" s="14" t="s">
        <v>23</v>
      </c>
      <c r="G152" s="16">
        <v>45</v>
      </c>
    </row>
    <row r="153" spans="1:7" x14ac:dyDescent="0.25">
      <c r="A153" s="13" t="s">
        <v>1875</v>
      </c>
      <c r="B153" s="13">
        <v>1905</v>
      </c>
      <c r="C153" s="14" t="str">
        <f>+VLOOKUP(B153,[1]LISTE!$A$1:$D$431,4,FALSE)</f>
        <v>LADHARI MOHAMED</v>
      </c>
      <c r="D153" s="14" t="s">
        <v>22</v>
      </c>
      <c r="E153" s="15">
        <v>45846</v>
      </c>
      <c r="F153" s="14" t="s">
        <v>20</v>
      </c>
      <c r="G153" s="16">
        <v>41.712000000000003</v>
      </c>
    </row>
    <row r="154" spans="1:7" x14ac:dyDescent="0.25">
      <c r="A154" s="13" t="s">
        <v>1875</v>
      </c>
      <c r="B154" s="13">
        <v>1905</v>
      </c>
      <c r="C154" s="14" t="str">
        <f>+VLOOKUP(B154,[1]LISTE!$A$1:$D$431,4,FALSE)</f>
        <v>LADHARI MOHAMED</v>
      </c>
      <c r="D154" s="15" t="s">
        <v>22</v>
      </c>
      <c r="E154" s="15">
        <v>45847</v>
      </c>
      <c r="F154" s="14" t="s">
        <v>21</v>
      </c>
      <c r="G154" s="16">
        <v>70</v>
      </c>
    </row>
    <row r="155" spans="1:7" x14ac:dyDescent="0.25">
      <c r="A155" s="13" t="s">
        <v>1869</v>
      </c>
      <c r="B155" s="13">
        <v>1908</v>
      </c>
      <c r="C155" s="14" t="str">
        <f>+VLOOKUP(B155,[1]LISTE!$A$1:$D$431,4,FALSE)</f>
        <v>ZMERLI JAOUHAR</v>
      </c>
      <c r="D155" s="14" t="s">
        <v>1260</v>
      </c>
      <c r="E155" s="15">
        <v>45839</v>
      </c>
      <c r="F155" s="14" t="s">
        <v>23</v>
      </c>
      <c r="G155" s="16">
        <v>40</v>
      </c>
    </row>
    <row r="156" spans="1:7" x14ac:dyDescent="0.25">
      <c r="A156" s="13" t="s">
        <v>1869</v>
      </c>
      <c r="B156" s="13">
        <v>1908</v>
      </c>
      <c r="C156" s="14" t="str">
        <f>+VLOOKUP(B156,[1]LISTE!$A$1:$D$431,4,FALSE)</f>
        <v>ZMERLI JAOUHAR</v>
      </c>
      <c r="D156" s="15" t="s">
        <v>1260</v>
      </c>
      <c r="E156" s="15">
        <v>45840</v>
      </c>
      <c r="F156" s="14" t="s">
        <v>20</v>
      </c>
      <c r="G156" s="16">
        <v>10.68</v>
      </c>
    </row>
    <row r="157" spans="1:7" x14ac:dyDescent="0.25">
      <c r="A157" s="13" t="s">
        <v>1869</v>
      </c>
      <c r="B157" s="13">
        <v>1908</v>
      </c>
      <c r="C157" s="14" t="str">
        <f>+VLOOKUP(B157,[1]LISTE!$A$1:$D$431,4,FALSE)</f>
        <v>ZMERLI JAOUHAR</v>
      </c>
      <c r="D157" s="15" t="s">
        <v>1260</v>
      </c>
      <c r="E157" s="15">
        <v>45840</v>
      </c>
      <c r="F157" s="14" t="s">
        <v>24</v>
      </c>
      <c r="G157" s="16">
        <v>69</v>
      </c>
    </row>
    <row r="158" spans="1:7" x14ac:dyDescent="0.25">
      <c r="A158" s="13" t="s">
        <v>1881</v>
      </c>
      <c r="B158" s="13">
        <v>1908</v>
      </c>
      <c r="C158" s="14" t="str">
        <f>+VLOOKUP(B158,[1]LISTE!$A$1:$D$431,4,FALSE)</f>
        <v>ZMERLI JAOUHAR</v>
      </c>
      <c r="D158" s="14" t="s">
        <v>22</v>
      </c>
      <c r="E158" s="15">
        <v>45846</v>
      </c>
      <c r="F158" s="14" t="s">
        <v>18</v>
      </c>
      <c r="G158" s="16">
        <v>60</v>
      </c>
    </row>
    <row r="159" spans="1:7" x14ac:dyDescent="0.25">
      <c r="A159" s="13" t="s">
        <v>1881</v>
      </c>
      <c r="B159" s="13">
        <v>1908</v>
      </c>
      <c r="C159" s="14" t="str">
        <f>+VLOOKUP(B159,[1]LISTE!$A$1:$D$431,4,FALSE)</f>
        <v>ZMERLI JAOUHAR</v>
      </c>
      <c r="D159" s="14" t="s">
        <v>22</v>
      </c>
      <c r="E159" s="15">
        <v>45846</v>
      </c>
      <c r="F159" s="14" t="s">
        <v>20</v>
      </c>
      <c r="G159" s="16">
        <v>32.328000000000003</v>
      </c>
    </row>
    <row r="160" spans="1:7" x14ac:dyDescent="0.25">
      <c r="A160" s="13" t="s">
        <v>1887</v>
      </c>
      <c r="B160" s="13">
        <v>1909</v>
      </c>
      <c r="C160" s="14" t="str">
        <f>+VLOOKUP(B160,[1]LISTE!$A$1:$D$431,4,FALSE)</f>
        <v>BHIRI ADLI</v>
      </c>
      <c r="D160" s="14" t="s">
        <v>1888</v>
      </c>
      <c r="E160" s="15">
        <v>45839</v>
      </c>
      <c r="F160" s="14" t="s">
        <v>18</v>
      </c>
      <c r="G160" s="16">
        <v>60</v>
      </c>
    </row>
    <row r="161" spans="1:7" x14ac:dyDescent="0.25">
      <c r="A161" s="13" t="s">
        <v>1887</v>
      </c>
      <c r="B161" s="13">
        <v>1909</v>
      </c>
      <c r="C161" s="14" t="str">
        <f>+VLOOKUP(B161,[1]LISTE!$A$1:$D$431,4,FALSE)</f>
        <v>BHIRI ADLI</v>
      </c>
      <c r="D161" s="14" t="s">
        <v>1888</v>
      </c>
      <c r="E161" s="15">
        <v>45847</v>
      </c>
      <c r="F161" s="14" t="s">
        <v>20</v>
      </c>
      <c r="G161" s="16">
        <v>16.850000000000001</v>
      </c>
    </row>
    <row r="162" spans="1:7" x14ac:dyDescent="0.25">
      <c r="A162" s="13" t="s">
        <v>1887</v>
      </c>
      <c r="B162" s="13">
        <v>1909</v>
      </c>
      <c r="C162" s="14" t="str">
        <f>+VLOOKUP(B162,[1]LISTE!$A$1:$D$431,4,FALSE)</f>
        <v>BHIRI ADLI</v>
      </c>
      <c r="D162" s="14" t="s">
        <v>1888</v>
      </c>
      <c r="E162" s="15">
        <v>45846</v>
      </c>
      <c r="F162" s="14" t="s">
        <v>1889</v>
      </c>
      <c r="G162" s="16">
        <v>150</v>
      </c>
    </row>
    <row r="163" spans="1:7" x14ac:dyDescent="0.25">
      <c r="A163" s="13" t="s">
        <v>1887</v>
      </c>
      <c r="B163" s="13">
        <v>1909</v>
      </c>
      <c r="C163" s="14" t="str">
        <f>+VLOOKUP(B163,[1]LISTE!$A$1:$D$431,4,FALSE)</f>
        <v>BHIRI ADLI</v>
      </c>
      <c r="D163" s="14" t="s">
        <v>1888</v>
      </c>
      <c r="E163" s="15">
        <v>45846</v>
      </c>
      <c r="F163" s="14" t="s">
        <v>363</v>
      </c>
      <c r="G163" s="16">
        <v>40</v>
      </c>
    </row>
    <row r="164" spans="1:7" x14ac:dyDescent="0.25">
      <c r="A164" s="13" t="s">
        <v>1887</v>
      </c>
      <c r="B164" s="13">
        <v>1909</v>
      </c>
      <c r="C164" s="14" t="str">
        <f>+VLOOKUP(B164,[1]LISTE!$A$1:$D$431,4,FALSE)</f>
        <v>BHIRI ADLI</v>
      </c>
      <c r="D164" s="14" t="s">
        <v>1888</v>
      </c>
      <c r="E164" s="15">
        <v>45846</v>
      </c>
      <c r="F164" s="14" t="s">
        <v>364</v>
      </c>
      <c r="G164" s="16">
        <v>146</v>
      </c>
    </row>
    <row r="165" spans="1:7" x14ac:dyDescent="0.25">
      <c r="A165" s="13" t="s">
        <v>1890</v>
      </c>
      <c r="B165" s="13">
        <v>1909</v>
      </c>
      <c r="C165" s="14" t="str">
        <f>+VLOOKUP(B165,[1]LISTE!$A$1:$D$431,4,FALSE)</f>
        <v>BHIRI ADLI</v>
      </c>
      <c r="D165" s="14" t="s">
        <v>268</v>
      </c>
      <c r="E165" s="15">
        <v>45839</v>
      </c>
      <c r="F165" s="14" t="s">
        <v>18</v>
      </c>
      <c r="G165" s="16">
        <v>60</v>
      </c>
    </row>
    <row r="166" spans="1:7" x14ac:dyDescent="0.25">
      <c r="A166" s="13" t="s">
        <v>1890</v>
      </c>
      <c r="B166" s="13">
        <v>1909</v>
      </c>
      <c r="C166" s="14" t="str">
        <f>+VLOOKUP(B166,[1]LISTE!$A$1:$D$431,4,FALSE)</f>
        <v>BHIRI ADLI</v>
      </c>
      <c r="D166" s="14" t="s">
        <v>268</v>
      </c>
      <c r="E166" s="15">
        <v>45847</v>
      </c>
      <c r="F166" s="14" t="s">
        <v>20</v>
      </c>
      <c r="G166" s="16">
        <v>16.850000000000001</v>
      </c>
    </row>
    <row r="167" spans="1:7" x14ac:dyDescent="0.25">
      <c r="A167" s="13" t="s">
        <v>1890</v>
      </c>
      <c r="B167" s="13">
        <v>1909</v>
      </c>
      <c r="C167" s="14" t="str">
        <f>+VLOOKUP(B167,[1]LISTE!$A$1:$D$431,4,FALSE)</f>
        <v>BHIRI ADLI</v>
      </c>
      <c r="D167" s="14" t="s">
        <v>268</v>
      </c>
      <c r="E167" s="15">
        <v>45846</v>
      </c>
      <c r="F167" s="14" t="s">
        <v>363</v>
      </c>
      <c r="G167" s="16">
        <v>300</v>
      </c>
    </row>
    <row r="168" spans="1:7" x14ac:dyDescent="0.25">
      <c r="A168" s="13" t="s">
        <v>1890</v>
      </c>
      <c r="B168" s="13">
        <v>1909</v>
      </c>
      <c r="C168" s="14" t="str">
        <f>+VLOOKUP(B168,[1]LISTE!$A$1:$D$431,4,FALSE)</f>
        <v>BHIRI ADLI</v>
      </c>
      <c r="D168" s="14" t="s">
        <v>268</v>
      </c>
      <c r="E168" s="15">
        <v>45846</v>
      </c>
      <c r="F168" s="14" t="s">
        <v>363</v>
      </c>
      <c r="G168" s="16">
        <v>80</v>
      </c>
    </row>
    <row r="169" spans="1:7" x14ac:dyDescent="0.25">
      <c r="A169" s="13" t="s">
        <v>1890</v>
      </c>
      <c r="B169" s="13">
        <v>1909</v>
      </c>
      <c r="C169" s="14" t="str">
        <f>+VLOOKUP(B169,[1]LISTE!$A$1:$D$431,4,FALSE)</f>
        <v>BHIRI ADLI</v>
      </c>
      <c r="D169" s="14" t="s">
        <v>268</v>
      </c>
      <c r="E169" s="15">
        <v>45846</v>
      </c>
      <c r="F169" s="14" t="s">
        <v>364</v>
      </c>
      <c r="G169" s="16">
        <v>727.64099999999996</v>
      </c>
    </row>
    <row r="170" spans="1:7" x14ac:dyDescent="0.25">
      <c r="A170" s="13" t="s">
        <v>1828</v>
      </c>
      <c r="B170" s="13">
        <v>1910</v>
      </c>
      <c r="C170" s="14" t="str">
        <f>+VLOOKUP(B170,[1]LISTE!$A$1:$D$431,4,FALSE)</f>
        <v>YOUSFI MEHDI</v>
      </c>
      <c r="D170" s="14" t="s">
        <v>22</v>
      </c>
      <c r="E170" s="15">
        <v>45838</v>
      </c>
      <c r="F170" s="14" t="s">
        <v>20</v>
      </c>
      <c r="G170" s="16">
        <v>121.11199999999999</v>
      </c>
    </row>
    <row r="171" spans="1:7" x14ac:dyDescent="0.25">
      <c r="A171" s="13" t="s">
        <v>1829</v>
      </c>
      <c r="B171" s="13">
        <v>1910</v>
      </c>
      <c r="C171" s="14" t="str">
        <f>+VLOOKUP(B171,[1]LISTE!$A$1:$D$431,4,FALSE)</f>
        <v>YOUSFI MEHDI</v>
      </c>
      <c r="D171" s="14" t="s">
        <v>292</v>
      </c>
      <c r="E171" s="15">
        <v>45840</v>
      </c>
      <c r="F171" s="14" t="s">
        <v>18</v>
      </c>
      <c r="G171" s="16">
        <v>70</v>
      </c>
    </row>
    <row r="172" spans="1:7" x14ac:dyDescent="0.25">
      <c r="A172" s="13" t="s">
        <v>1829</v>
      </c>
      <c r="B172" s="13">
        <v>1910</v>
      </c>
      <c r="C172" s="14" t="str">
        <f>+VLOOKUP(B172,[1]LISTE!$A$1:$D$431,4,FALSE)</f>
        <v>YOUSFI MEHDI</v>
      </c>
      <c r="D172" s="14" t="s">
        <v>292</v>
      </c>
      <c r="E172" s="15">
        <v>45840</v>
      </c>
      <c r="F172" s="14" t="s">
        <v>20</v>
      </c>
      <c r="G172" s="16">
        <v>4.2450000000000001</v>
      </c>
    </row>
    <row r="173" spans="1:7" x14ac:dyDescent="0.25">
      <c r="A173" s="13" t="s">
        <v>1880</v>
      </c>
      <c r="B173" s="13">
        <v>1983</v>
      </c>
      <c r="C173" s="14" t="str">
        <f>+VLOOKUP(B173,[1]LISTE!$A$1:$D$431,4,FALSE)</f>
        <v>GOUIDER SLAHEDDINE</v>
      </c>
      <c r="D173" s="15" t="s">
        <v>63</v>
      </c>
      <c r="E173" s="15">
        <v>45831</v>
      </c>
      <c r="F173" s="14" t="s">
        <v>23</v>
      </c>
      <c r="G173" s="16">
        <v>45</v>
      </c>
    </row>
    <row r="174" spans="1:7" x14ac:dyDescent="0.25">
      <c r="A174" s="13" t="s">
        <v>1880</v>
      </c>
      <c r="B174" s="13">
        <v>1983</v>
      </c>
      <c r="C174" s="14" t="str">
        <f>+VLOOKUP(B174,[1]LISTE!$A$1:$D$431,4,FALSE)</f>
        <v>GOUIDER SLAHEDDINE</v>
      </c>
      <c r="D174" s="15" t="s">
        <v>63</v>
      </c>
      <c r="E174" s="15">
        <v>45831</v>
      </c>
      <c r="F174" s="14" t="s">
        <v>20</v>
      </c>
      <c r="G174" s="16">
        <v>42.103999999999999</v>
      </c>
    </row>
    <row r="175" spans="1:7" x14ac:dyDescent="0.25">
      <c r="A175" s="13" t="s">
        <v>1841</v>
      </c>
      <c r="B175" s="13">
        <v>2005</v>
      </c>
      <c r="C175" s="14" t="str">
        <f>+VLOOKUP(B175,[1]LISTE!$A$1:$D$431,4,FALSE)</f>
        <v>ESSAFI FEHMI</v>
      </c>
      <c r="D175" s="14" t="s">
        <v>22</v>
      </c>
      <c r="E175" s="15">
        <v>45835</v>
      </c>
      <c r="F175" s="14" t="s">
        <v>19</v>
      </c>
      <c r="G175" s="16">
        <v>210.80099999999999</v>
      </c>
    </row>
    <row r="176" spans="1:7" x14ac:dyDescent="0.25">
      <c r="A176" s="13" t="s">
        <v>1897</v>
      </c>
      <c r="B176" s="13">
        <v>2022</v>
      </c>
      <c r="C176" s="14" t="str">
        <f>+VLOOKUP(B176,[1]LISTE!$A$1:$D$431,4,FALSE)</f>
        <v>BOUHLEL YOUSSEF</v>
      </c>
      <c r="D176" s="14" t="s">
        <v>22</v>
      </c>
      <c r="E176" s="15">
        <v>45846</v>
      </c>
      <c r="F176" s="14" t="s">
        <v>23</v>
      </c>
      <c r="G176" s="16">
        <v>50</v>
      </c>
    </row>
    <row r="177" spans="1:7" x14ac:dyDescent="0.25">
      <c r="A177" s="13" t="s">
        <v>1897</v>
      </c>
      <c r="B177" s="13">
        <v>2022</v>
      </c>
      <c r="C177" s="14" t="str">
        <f>+VLOOKUP(B177,[1]LISTE!$A$1:$D$431,4,FALSE)</f>
        <v>BOUHLEL YOUSSEF</v>
      </c>
      <c r="D177" s="14" t="s">
        <v>22</v>
      </c>
      <c r="E177" s="15">
        <v>45846</v>
      </c>
      <c r="F177" s="14" t="s">
        <v>20</v>
      </c>
      <c r="G177" s="16">
        <v>29.98</v>
      </c>
    </row>
    <row r="178" spans="1:7" x14ac:dyDescent="0.25">
      <c r="A178" s="13" t="s">
        <v>1897</v>
      </c>
      <c r="B178" s="13">
        <v>2022</v>
      </c>
      <c r="C178" s="14" t="str">
        <f>+VLOOKUP(B178,[1]LISTE!$A$1:$D$431,4,FALSE)</f>
        <v>BOUHLEL YOUSSEF</v>
      </c>
      <c r="D178" s="14" t="s">
        <v>22</v>
      </c>
      <c r="E178" s="15">
        <v>45846</v>
      </c>
      <c r="F178" s="14" t="s">
        <v>20</v>
      </c>
      <c r="G178" s="16">
        <v>16.234999999999999</v>
      </c>
    </row>
    <row r="179" spans="1:7" x14ac:dyDescent="0.25">
      <c r="A179" s="13" t="s">
        <v>1897</v>
      </c>
      <c r="B179" s="13">
        <v>2022</v>
      </c>
      <c r="C179" s="14" t="str">
        <f>+VLOOKUP(B179,[1]LISTE!$A$1:$D$431,4,FALSE)</f>
        <v>BOUHLEL YOUSSEF</v>
      </c>
      <c r="D179" s="14" t="s">
        <v>22</v>
      </c>
      <c r="E179" s="15">
        <v>45846</v>
      </c>
      <c r="F179" s="14" t="s">
        <v>21</v>
      </c>
      <c r="G179" s="16">
        <v>60</v>
      </c>
    </row>
    <row r="180" spans="1:7" x14ac:dyDescent="0.25">
      <c r="A180" s="13" t="s">
        <v>1897</v>
      </c>
      <c r="B180" s="13">
        <v>2022</v>
      </c>
      <c r="C180" s="14" t="str">
        <f>+VLOOKUP(B180,[1]LISTE!$A$1:$D$431,4,FALSE)</f>
        <v>BOUHLEL YOUSSEF</v>
      </c>
      <c r="D180" s="14" t="s">
        <v>22</v>
      </c>
      <c r="E180" s="15">
        <v>45846</v>
      </c>
      <c r="F180" s="14" t="s">
        <v>24</v>
      </c>
      <c r="G180" s="16">
        <v>200</v>
      </c>
    </row>
    <row r="181" spans="1:7" x14ac:dyDescent="0.25">
      <c r="A181" s="13" t="s">
        <v>1796</v>
      </c>
      <c r="B181" s="13">
        <v>2036</v>
      </c>
      <c r="C181" s="14" t="s">
        <v>1738</v>
      </c>
      <c r="D181" s="14" t="s">
        <v>22</v>
      </c>
      <c r="E181" s="15">
        <v>45821</v>
      </c>
      <c r="F181" s="14" t="s">
        <v>23</v>
      </c>
      <c r="G181" s="16">
        <v>50</v>
      </c>
    </row>
    <row r="182" spans="1:7" x14ac:dyDescent="0.25">
      <c r="A182" s="13" t="s">
        <v>1796</v>
      </c>
      <c r="B182" s="13">
        <v>2036</v>
      </c>
      <c r="C182" s="14" t="s">
        <v>1738</v>
      </c>
      <c r="D182" s="14" t="s">
        <v>22</v>
      </c>
      <c r="E182" s="15">
        <v>45821</v>
      </c>
      <c r="F182" s="14" t="s">
        <v>20</v>
      </c>
      <c r="G182" s="16">
        <v>71.954999999999998</v>
      </c>
    </row>
    <row r="183" spans="1:7" x14ac:dyDescent="0.25">
      <c r="A183" s="13" t="s">
        <v>1797</v>
      </c>
      <c r="B183" s="13">
        <v>2036</v>
      </c>
      <c r="C183" s="14" t="s">
        <v>1738</v>
      </c>
      <c r="D183" s="15" t="s">
        <v>22</v>
      </c>
      <c r="E183" s="15">
        <v>45813</v>
      </c>
      <c r="F183" s="14" t="s">
        <v>23</v>
      </c>
      <c r="G183" s="16">
        <v>50</v>
      </c>
    </row>
    <row r="184" spans="1:7" x14ac:dyDescent="0.25">
      <c r="A184" s="13" t="s">
        <v>1797</v>
      </c>
      <c r="B184" s="13">
        <v>2036</v>
      </c>
      <c r="C184" s="14" t="s">
        <v>1738</v>
      </c>
      <c r="D184" s="14" t="s">
        <v>22</v>
      </c>
      <c r="E184" s="15">
        <v>45813</v>
      </c>
      <c r="F184" s="14" t="s">
        <v>20</v>
      </c>
      <c r="G184" s="16">
        <v>4.2450000000000001</v>
      </c>
    </row>
    <row r="185" spans="1:7" x14ac:dyDescent="0.25">
      <c r="A185" s="13" t="s">
        <v>1797</v>
      </c>
      <c r="B185" s="13">
        <v>2036</v>
      </c>
      <c r="C185" s="14" t="s">
        <v>1738</v>
      </c>
      <c r="D185" s="15" t="s">
        <v>22</v>
      </c>
      <c r="E185" s="15">
        <v>45836</v>
      </c>
      <c r="F185" s="14" t="s">
        <v>24</v>
      </c>
      <c r="G185" s="16">
        <v>180</v>
      </c>
    </row>
    <row r="186" spans="1:7" x14ac:dyDescent="0.25">
      <c r="A186" s="13" t="s">
        <v>1870</v>
      </c>
      <c r="B186" s="13">
        <v>2084</v>
      </c>
      <c r="C186" s="14" t="str">
        <f>+VLOOKUP(B186,[1]LISTE!$A$1:$D$431,4,FALSE)</f>
        <v>HELALI Emna</v>
      </c>
      <c r="D186" s="14" t="s">
        <v>22</v>
      </c>
      <c r="E186" s="15">
        <v>45842</v>
      </c>
      <c r="F186" s="14" t="s">
        <v>23</v>
      </c>
      <c r="G186" s="16">
        <v>45</v>
      </c>
    </row>
    <row r="187" spans="1:7" x14ac:dyDescent="0.25">
      <c r="A187" s="13" t="s">
        <v>1870</v>
      </c>
      <c r="B187" s="13">
        <v>2084</v>
      </c>
      <c r="C187" s="14" t="str">
        <f>+VLOOKUP(B187,[1]LISTE!$A$1:$D$431,4,FALSE)</f>
        <v>HELALI Emna</v>
      </c>
      <c r="D187" s="14" t="s">
        <v>22</v>
      </c>
      <c r="E187" s="15">
        <v>45842</v>
      </c>
      <c r="F187" s="14" t="s">
        <v>20</v>
      </c>
      <c r="G187" s="16">
        <v>77.105000000000004</v>
      </c>
    </row>
    <row r="188" spans="1:7" x14ac:dyDescent="0.25">
      <c r="A188" s="13" t="s">
        <v>1812</v>
      </c>
      <c r="B188" s="13">
        <v>2100</v>
      </c>
      <c r="C188" s="14" t="str">
        <f>+VLOOKUP(B188,[1]LISTE!$A$1:$D$431,4,FALSE)</f>
        <v>MLAYEH NEZIHA</v>
      </c>
      <c r="D188" s="14" t="s">
        <v>284</v>
      </c>
      <c r="E188" s="15">
        <v>45829</v>
      </c>
      <c r="F188" s="14" t="s">
        <v>18</v>
      </c>
      <c r="G188" s="16">
        <v>70</v>
      </c>
    </row>
    <row r="189" spans="1:7" x14ac:dyDescent="0.25">
      <c r="A189" s="13" t="s">
        <v>1812</v>
      </c>
      <c r="B189" s="13">
        <v>2100</v>
      </c>
      <c r="C189" s="14" t="str">
        <f>+VLOOKUP(B189,[1]LISTE!$A$1:$D$431,4,FALSE)</f>
        <v>MLAYEH NEZIHA</v>
      </c>
      <c r="D189" s="15" t="s">
        <v>284</v>
      </c>
      <c r="E189" s="15">
        <v>45829</v>
      </c>
      <c r="F189" s="14" t="s">
        <v>20</v>
      </c>
      <c r="G189" s="16">
        <v>31.565999999999999</v>
      </c>
    </row>
    <row r="190" spans="1:7" x14ac:dyDescent="0.25">
      <c r="A190" s="13" t="s">
        <v>1812</v>
      </c>
      <c r="B190" s="13">
        <v>2100</v>
      </c>
      <c r="C190" s="14" t="str">
        <f>+VLOOKUP(B190,[1]LISTE!$A$1:$D$431,4,FALSE)</f>
        <v>MLAYEH NEZIHA</v>
      </c>
      <c r="D190" s="15" t="s">
        <v>284</v>
      </c>
      <c r="E190" s="15">
        <v>45832</v>
      </c>
      <c r="F190" s="14" t="s">
        <v>20</v>
      </c>
      <c r="G190" s="16">
        <v>1.8979999999999999</v>
      </c>
    </row>
    <row r="191" spans="1:7" x14ac:dyDescent="0.25">
      <c r="A191" s="13" t="s">
        <v>1831</v>
      </c>
      <c r="B191" s="13">
        <v>2100</v>
      </c>
      <c r="C191" s="14" t="str">
        <f>+VLOOKUP(B191,[1]LISTE!$A$1:$D$431,4,FALSE)</f>
        <v>MLAYEH NEZIHA</v>
      </c>
      <c r="D191" s="14" t="s">
        <v>284</v>
      </c>
      <c r="E191" s="15">
        <v>45840</v>
      </c>
      <c r="F191" s="14" t="s">
        <v>20</v>
      </c>
      <c r="G191" s="16">
        <v>11.23</v>
      </c>
    </row>
    <row r="192" spans="1:7" x14ac:dyDescent="0.25">
      <c r="A192" s="13" t="s">
        <v>1832</v>
      </c>
      <c r="B192" s="13">
        <v>2100</v>
      </c>
      <c r="C192" s="14" t="str">
        <f>+VLOOKUP(B192,[1]LISTE!$A$1:$D$431,4,FALSE)</f>
        <v>MLAYEH NEZIHA</v>
      </c>
      <c r="D192" s="14" t="s">
        <v>1833</v>
      </c>
      <c r="E192" s="15">
        <v>45828</v>
      </c>
      <c r="F192" s="14" t="s">
        <v>18</v>
      </c>
      <c r="G192" s="16">
        <v>70</v>
      </c>
    </row>
    <row r="193" spans="1:7" x14ac:dyDescent="0.25">
      <c r="A193" s="13" t="s">
        <v>1832</v>
      </c>
      <c r="B193" s="13">
        <v>2100</v>
      </c>
      <c r="C193" s="14" t="str">
        <f>+VLOOKUP(B193,[1]LISTE!$A$1:$D$431,4,FALSE)</f>
        <v>MLAYEH NEZIHA</v>
      </c>
      <c r="D193" s="14" t="s">
        <v>1833</v>
      </c>
      <c r="E193" s="15">
        <v>45828</v>
      </c>
      <c r="F193" s="14" t="s">
        <v>525</v>
      </c>
      <c r="G193" s="16">
        <v>150</v>
      </c>
    </row>
    <row r="194" spans="1:7" x14ac:dyDescent="0.25">
      <c r="A194" s="13" t="s">
        <v>1832</v>
      </c>
      <c r="B194" s="13">
        <v>2100</v>
      </c>
      <c r="C194" s="14" t="str">
        <f>+VLOOKUP(B194,[1]LISTE!$A$1:$D$431,4,FALSE)</f>
        <v>MLAYEH NEZIHA</v>
      </c>
      <c r="D194" s="15" t="s">
        <v>1833</v>
      </c>
      <c r="E194" s="15">
        <v>45828</v>
      </c>
      <c r="F194" s="14" t="s">
        <v>1834</v>
      </c>
      <c r="G194" s="16">
        <v>85.11</v>
      </c>
    </row>
    <row r="195" spans="1:7" x14ac:dyDescent="0.25">
      <c r="A195" s="13" t="s">
        <v>1832</v>
      </c>
      <c r="B195" s="13">
        <v>2100</v>
      </c>
      <c r="C195" s="14" t="str">
        <f>+VLOOKUP(B195,[1]LISTE!$A$1:$D$431,4,FALSE)</f>
        <v>MLAYEH NEZIHA</v>
      </c>
      <c r="D195" s="15" t="s">
        <v>1833</v>
      </c>
      <c r="E195" s="15">
        <v>45829</v>
      </c>
      <c r="F195" s="14" t="s">
        <v>20</v>
      </c>
      <c r="G195" s="16">
        <v>75.156000000000006</v>
      </c>
    </row>
    <row r="196" spans="1:7" x14ac:dyDescent="0.25">
      <c r="A196" s="13" t="s">
        <v>1832</v>
      </c>
      <c r="B196" s="13">
        <v>2100</v>
      </c>
      <c r="C196" s="14" t="str">
        <f>+VLOOKUP(B196,[1]LISTE!$A$1:$D$431,4,FALSE)</f>
        <v>MLAYEH NEZIHA</v>
      </c>
      <c r="D196" s="14" t="s">
        <v>1833</v>
      </c>
      <c r="E196" s="15">
        <v>45828</v>
      </c>
      <c r="F196" s="14" t="s">
        <v>525</v>
      </c>
      <c r="G196" s="16">
        <v>120</v>
      </c>
    </row>
    <row r="197" spans="1:7" x14ac:dyDescent="0.25">
      <c r="A197" s="13" t="s">
        <v>1835</v>
      </c>
      <c r="B197" s="13">
        <v>2145</v>
      </c>
      <c r="C197" s="14" t="str">
        <f>+VLOOKUP(B197,[1]LISTE!$A$1:$D$431,4,FALSE)</f>
        <v>MRIBAH HAMZA</v>
      </c>
      <c r="D197" s="14" t="s">
        <v>44</v>
      </c>
      <c r="E197" s="15">
        <v>45807</v>
      </c>
      <c r="F197" s="14" t="s">
        <v>18</v>
      </c>
      <c r="G197" s="16">
        <v>70</v>
      </c>
    </row>
    <row r="198" spans="1:7" x14ac:dyDescent="0.25">
      <c r="A198" s="13" t="s">
        <v>1835</v>
      </c>
      <c r="B198" s="13">
        <v>2145</v>
      </c>
      <c r="C198" s="14" t="str">
        <f>+VLOOKUP(B198,[1]LISTE!$A$1:$D$431,4,FALSE)</f>
        <v>MRIBAH HAMZA</v>
      </c>
      <c r="D198" s="14" t="s">
        <v>44</v>
      </c>
      <c r="E198" s="15">
        <v>45807</v>
      </c>
      <c r="F198" s="14" t="s">
        <v>20</v>
      </c>
      <c r="G198" s="16">
        <v>78</v>
      </c>
    </row>
    <row r="199" spans="1:7" x14ac:dyDescent="0.25">
      <c r="A199" s="13" t="s">
        <v>1835</v>
      </c>
      <c r="B199" s="13">
        <v>2145</v>
      </c>
      <c r="C199" s="14" t="str">
        <f>+VLOOKUP(B199,[1]LISTE!$A$1:$D$431,4,FALSE)</f>
        <v>MRIBAH HAMZA</v>
      </c>
      <c r="D199" s="14" t="s">
        <v>44</v>
      </c>
      <c r="E199" s="15">
        <v>45807</v>
      </c>
      <c r="F199" s="14" t="s">
        <v>19</v>
      </c>
      <c r="G199" s="16">
        <v>74.150999999999996</v>
      </c>
    </row>
    <row r="200" spans="1:7" x14ac:dyDescent="0.25">
      <c r="A200" s="13" t="s">
        <v>1885</v>
      </c>
      <c r="B200" s="13">
        <v>2145</v>
      </c>
      <c r="C200" s="14" t="str">
        <f>+VLOOKUP(B200,[1]LISTE!$A$1:$D$431,4,FALSE)</f>
        <v>MRIBAH HAMZA</v>
      </c>
      <c r="D200" s="14" t="s">
        <v>44</v>
      </c>
      <c r="E200" s="15">
        <v>45843</v>
      </c>
      <c r="F200" s="14" t="s">
        <v>23</v>
      </c>
      <c r="G200" s="16">
        <v>40</v>
      </c>
    </row>
    <row r="201" spans="1:7" x14ac:dyDescent="0.25">
      <c r="A201" s="13" t="s">
        <v>1885</v>
      </c>
      <c r="B201" s="13">
        <v>2145</v>
      </c>
      <c r="C201" s="14" t="str">
        <f>+VLOOKUP(B201,[1]LISTE!$A$1:$D$431,4,FALSE)</f>
        <v>MRIBAH HAMZA</v>
      </c>
      <c r="D201" s="15" t="s">
        <v>44</v>
      </c>
      <c r="E201" s="15">
        <v>45843</v>
      </c>
      <c r="F201" s="14" t="s">
        <v>20</v>
      </c>
      <c r="G201" s="16">
        <v>8.9550000000000001</v>
      </c>
    </row>
    <row r="202" spans="1:7" x14ac:dyDescent="0.25">
      <c r="A202" s="13" t="s">
        <v>1885</v>
      </c>
      <c r="B202" s="13">
        <v>2145</v>
      </c>
      <c r="C202" s="14" t="str">
        <f>+VLOOKUP(B202,[1]LISTE!$A$1:$D$431,4,FALSE)</f>
        <v>MRIBAH HAMZA</v>
      </c>
      <c r="D202" s="14" t="s">
        <v>44</v>
      </c>
      <c r="E202" s="15">
        <v>45843</v>
      </c>
      <c r="F202" s="14" t="s">
        <v>19</v>
      </c>
      <c r="G202" s="16">
        <v>28.901</v>
      </c>
    </row>
    <row r="203" spans="1:7" x14ac:dyDescent="0.25">
      <c r="A203" s="13" t="s">
        <v>1886</v>
      </c>
      <c r="B203" s="13">
        <v>2145</v>
      </c>
      <c r="C203" s="14" t="str">
        <f>+VLOOKUP(B203,[1]LISTE!$A$1:$D$431,4,FALSE)</f>
        <v>MRIBAH HAMZA</v>
      </c>
      <c r="D203" s="15" t="s">
        <v>44</v>
      </c>
      <c r="E203" s="15">
        <v>45839</v>
      </c>
      <c r="F203" s="14" t="s">
        <v>18</v>
      </c>
      <c r="G203" s="16">
        <v>70</v>
      </c>
    </row>
    <row r="204" spans="1:7" x14ac:dyDescent="0.25">
      <c r="A204" s="13" t="s">
        <v>1886</v>
      </c>
      <c r="B204" s="13">
        <v>2145</v>
      </c>
      <c r="C204" s="14" t="str">
        <f>+VLOOKUP(B204,[1]LISTE!$A$1:$D$431,4,FALSE)</f>
        <v>MRIBAH HAMZA</v>
      </c>
      <c r="D204" s="15" t="s">
        <v>44</v>
      </c>
      <c r="E204" s="15">
        <v>45839</v>
      </c>
      <c r="F204" s="14" t="s">
        <v>20</v>
      </c>
      <c r="G204" s="16">
        <v>93.3</v>
      </c>
    </row>
    <row r="205" spans="1:7" x14ac:dyDescent="0.25">
      <c r="A205" s="13" t="s">
        <v>1886</v>
      </c>
      <c r="B205" s="13">
        <v>2145</v>
      </c>
      <c r="C205" s="14" t="str">
        <f>+VLOOKUP(B205,[1]LISTE!$A$1:$D$431,4,FALSE)</f>
        <v>MRIBAH HAMZA</v>
      </c>
      <c r="D205" s="14" t="s">
        <v>44</v>
      </c>
      <c r="E205" s="15">
        <v>45843</v>
      </c>
      <c r="F205" s="14" t="s">
        <v>21</v>
      </c>
      <c r="G205" s="16">
        <v>190</v>
      </c>
    </row>
    <row r="206" spans="1:7" x14ac:dyDescent="0.25">
      <c r="A206" s="13" t="s">
        <v>1827</v>
      </c>
      <c r="B206" s="13">
        <v>2148</v>
      </c>
      <c r="C206" s="14" t="str">
        <f>+VLOOKUP(B206,[1]LISTE!$A$1:$D$431,4,FALSE)</f>
        <v>CHIHI HOUSSEM</v>
      </c>
      <c r="D206" s="14" t="s">
        <v>327</v>
      </c>
      <c r="E206" s="15">
        <v>45824</v>
      </c>
      <c r="F206" s="14" t="s">
        <v>18</v>
      </c>
      <c r="G206" s="16">
        <v>70</v>
      </c>
    </row>
    <row r="207" spans="1:7" x14ac:dyDescent="0.25">
      <c r="A207" s="13" t="s">
        <v>1827</v>
      </c>
      <c r="B207" s="13">
        <v>2148</v>
      </c>
      <c r="C207" s="14" t="str">
        <f>+VLOOKUP(B207,[1]LISTE!$A$1:$D$431,4,FALSE)</f>
        <v>CHIHI HOUSSEM</v>
      </c>
      <c r="D207" s="15" t="s">
        <v>327</v>
      </c>
      <c r="E207" s="15">
        <v>45824</v>
      </c>
      <c r="F207" s="14" t="s">
        <v>20</v>
      </c>
      <c r="G207" s="16">
        <v>22.879000000000001</v>
      </c>
    </row>
    <row r="208" spans="1:7" x14ac:dyDescent="0.25">
      <c r="A208" s="13" t="s">
        <v>1876</v>
      </c>
      <c r="B208" s="13">
        <v>2180</v>
      </c>
      <c r="C208" s="14" t="s">
        <v>92</v>
      </c>
      <c r="D208" s="14" t="s">
        <v>513</v>
      </c>
      <c r="E208" s="15">
        <v>45798</v>
      </c>
      <c r="F208" s="14" t="s">
        <v>18</v>
      </c>
      <c r="G208" s="16">
        <v>60</v>
      </c>
    </row>
    <row r="209" spans="1:7" x14ac:dyDescent="0.25">
      <c r="A209" s="13" t="s">
        <v>1876</v>
      </c>
      <c r="B209" s="13">
        <v>2180</v>
      </c>
      <c r="C209" s="14" t="s">
        <v>92</v>
      </c>
      <c r="D209" s="15" t="s">
        <v>513</v>
      </c>
      <c r="E209" s="15">
        <v>45798</v>
      </c>
      <c r="F209" s="14" t="s">
        <v>20</v>
      </c>
      <c r="G209" s="16">
        <v>2.855</v>
      </c>
    </row>
    <row r="210" spans="1:7" x14ac:dyDescent="0.25">
      <c r="A210" s="13" t="s">
        <v>1857</v>
      </c>
      <c r="B210" s="13">
        <v>2203</v>
      </c>
      <c r="C210" s="14" t="s">
        <v>1858</v>
      </c>
      <c r="D210" s="15" t="s">
        <v>931</v>
      </c>
      <c r="E210" s="15">
        <v>45839</v>
      </c>
      <c r="F210" s="14" t="s">
        <v>23</v>
      </c>
      <c r="G210" s="16">
        <v>45</v>
      </c>
    </row>
    <row r="211" spans="1:7" x14ac:dyDescent="0.25">
      <c r="A211" s="13" t="s">
        <v>1857</v>
      </c>
      <c r="B211" s="13">
        <v>2203</v>
      </c>
      <c r="C211" s="14" t="s">
        <v>1858</v>
      </c>
      <c r="D211" s="15" t="s">
        <v>931</v>
      </c>
      <c r="E211" s="15">
        <v>45839</v>
      </c>
      <c r="F211" s="14" t="s">
        <v>20</v>
      </c>
      <c r="G211" s="16">
        <v>19.483000000000001</v>
      </c>
    </row>
    <row r="212" spans="1:7" x14ac:dyDescent="0.25">
      <c r="A212" s="13" t="s">
        <v>1817</v>
      </c>
      <c r="B212" s="13">
        <v>2210</v>
      </c>
      <c r="C212" s="14" t="s">
        <v>1818</v>
      </c>
      <c r="D212" s="15" t="s">
        <v>22</v>
      </c>
      <c r="E212" s="15">
        <v>45833</v>
      </c>
      <c r="F212" s="14" t="s">
        <v>18</v>
      </c>
      <c r="G212" s="16">
        <v>70</v>
      </c>
    </row>
    <row r="213" spans="1:7" x14ac:dyDescent="0.25">
      <c r="A213" s="13" t="s">
        <v>1817</v>
      </c>
      <c r="B213" s="13">
        <v>2210</v>
      </c>
      <c r="C213" s="14" t="s">
        <v>1818</v>
      </c>
      <c r="D213" s="15" t="s">
        <v>22</v>
      </c>
      <c r="E213" s="15">
        <v>45833</v>
      </c>
      <c r="F213" s="14" t="s">
        <v>20</v>
      </c>
      <c r="G213" s="16">
        <v>15.055</v>
      </c>
    </row>
    <row r="214" spans="1:7" x14ac:dyDescent="0.25">
      <c r="A214" s="13" t="s">
        <v>1822</v>
      </c>
      <c r="B214" s="13">
        <v>2236</v>
      </c>
      <c r="C214" s="14" t="s">
        <v>633</v>
      </c>
      <c r="D214" s="15" t="s">
        <v>22</v>
      </c>
      <c r="E214" s="15">
        <v>45818</v>
      </c>
      <c r="F214" s="14" t="s">
        <v>23</v>
      </c>
      <c r="G214" s="16">
        <v>50</v>
      </c>
    </row>
    <row r="215" spans="1:7" x14ac:dyDescent="0.25">
      <c r="A215" s="13" t="s">
        <v>1822</v>
      </c>
      <c r="B215" s="13">
        <v>2236</v>
      </c>
      <c r="C215" s="14" t="s">
        <v>633</v>
      </c>
      <c r="D215" s="15" t="s">
        <v>22</v>
      </c>
      <c r="E215" s="15">
        <v>45818</v>
      </c>
      <c r="F215" s="14" t="s">
        <v>20</v>
      </c>
      <c r="G215" s="16">
        <v>16.234999999999999</v>
      </c>
    </row>
    <row r="216" spans="1:7" x14ac:dyDescent="0.25">
      <c r="A216" s="13" t="s">
        <v>1864</v>
      </c>
      <c r="B216" s="13">
        <v>2307</v>
      </c>
      <c r="C216" s="14" t="s">
        <v>1865</v>
      </c>
      <c r="D216" s="14" t="s">
        <v>22</v>
      </c>
      <c r="E216" s="15">
        <v>45845</v>
      </c>
      <c r="F216" s="14" t="s">
        <v>23</v>
      </c>
      <c r="G216" s="16">
        <v>40</v>
      </c>
    </row>
    <row r="217" spans="1:7" x14ac:dyDescent="0.25">
      <c r="A217" s="13" t="s">
        <v>1864</v>
      </c>
      <c r="B217" s="13">
        <v>2307</v>
      </c>
      <c r="C217" s="14" t="s">
        <v>1865</v>
      </c>
      <c r="D217" s="15" t="s">
        <v>22</v>
      </c>
      <c r="E217" s="15">
        <v>45845</v>
      </c>
      <c r="F217" s="14" t="s">
        <v>20</v>
      </c>
      <c r="G217" s="16">
        <v>70.281999999999996</v>
      </c>
    </row>
    <row r="218" spans="1:7" x14ac:dyDescent="0.25">
      <c r="A218" s="13" t="s">
        <v>1856</v>
      </c>
      <c r="B218" s="13">
        <v>2337</v>
      </c>
      <c r="C218" s="14" t="s">
        <v>210</v>
      </c>
      <c r="D218" s="14" t="s">
        <v>22</v>
      </c>
      <c r="E218" s="15">
        <v>45836</v>
      </c>
      <c r="F218" s="14" t="s">
        <v>18</v>
      </c>
      <c r="G218" s="16">
        <v>70</v>
      </c>
    </row>
    <row r="219" spans="1:7" x14ac:dyDescent="0.25">
      <c r="A219" s="13" t="s">
        <v>1856</v>
      </c>
      <c r="B219" s="13">
        <v>2337</v>
      </c>
      <c r="C219" s="14" t="s">
        <v>210</v>
      </c>
      <c r="D219" s="14" t="s">
        <v>22</v>
      </c>
      <c r="E219" s="15">
        <v>45836</v>
      </c>
      <c r="F219" s="14" t="s">
        <v>69</v>
      </c>
      <c r="G219" s="16">
        <v>450</v>
      </c>
    </row>
    <row r="220" spans="1:7" x14ac:dyDescent="0.25">
      <c r="A220" s="13" t="s">
        <v>1816</v>
      </c>
      <c r="B220" s="13">
        <v>2363</v>
      </c>
      <c r="C220" s="14" t="s">
        <v>1599</v>
      </c>
      <c r="D220" s="14" t="s">
        <v>353</v>
      </c>
      <c r="E220" s="15">
        <v>45828</v>
      </c>
      <c r="F220" s="14" t="s">
        <v>23</v>
      </c>
      <c r="G220" s="16">
        <v>7</v>
      </c>
    </row>
    <row r="221" spans="1:7" x14ac:dyDescent="0.25">
      <c r="A221" s="13" t="s">
        <v>1816</v>
      </c>
      <c r="B221" s="13">
        <v>2363</v>
      </c>
      <c r="C221" s="14" t="s">
        <v>1599</v>
      </c>
      <c r="D221" s="15" t="s">
        <v>353</v>
      </c>
      <c r="E221" s="15">
        <v>45828</v>
      </c>
      <c r="F221" s="14" t="s">
        <v>20</v>
      </c>
      <c r="G221" s="16">
        <v>36.409999999999997</v>
      </c>
    </row>
    <row r="222" spans="1:7" x14ac:dyDescent="0.25">
      <c r="A222" s="13" t="s">
        <v>1807</v>
      </c>
      <c r="B222" s="13">
        <v>2402</v>
      </c>
      <c r="C222" s="14" t="s">
        <v>1808</v>
      </c>
      <c r="D222" s="14" t="s">
        <v>1809</v>
      </c>
      <c r="E222" s="15">
        <v>45831</v>
      </c>
      <c r="F222" s="14" t="s">
        <v>23</v>
      </c>
      <c r="G222" s="16">
        <v>7</v>
      </c>
    </row>
    <row r="223" spans="1:7" x14ac:dyDescent="0.25">
      <c r="A223" s="13" t="s">
        <v>1807</v>
      </c>
      <c r="B223" s="13">
        <v>2402</v>
      </c>
      <c r="C223" s="14" t="s">
        <v>1808</v>
      </c>
      <c r="D223" s="14" t="s">
        <v>1809</v>
      </c>
      <c r="E223" s="15">
        <v>45831</v>
      </c>
      <c r="F223" s="14" t="s">
        <v>19</v>
      </c>
      <c r="G223" s="16">
        <v>32.799999999999997</v>
      </c>
    </row>
    <row r="224" spans="1:7" x14ac:dyDescent="0.25">
      <c r="A224" s="13" t="s">
        <v>1807</v>
      </c>
      <c r="B224" s="13">
        <v>2402</v>
      </c>
      <c r="C224" s="14" t="s">
        <v>1808</v>
      </c>
      <c r="D224" s="14" t="s">
        <v>1809</v>
      </c>
      <c r="E224" s="15">
        <v>45831</v>
      </c>
      <c r="F224" s="14" t="s">
        <v>21</v>
      </c>
      <c r="G224" s="16">
        <v>22.5</v>
      </c>
    </row>
    <row r="225" spans="1:7" x14ac:dyDescent="0.25">
      <c r="A225" s="13" t="s">
        <v>1807</v>
      </c>
      <c r="B225" s="13">
        <v>2402</v>
      </c>
      <c r="C225" s="14" t="s">
        <v>1808</v>
      </c>
      <c r="D225" s="14" t="s">
        <v>1809</v>
      </c>
      <c r="E225" s="15">
        <v>45836</v>
      </c>
      <c r="F225" s="14" t="s">
        <v>587</v>
      </c>
      <c r="G225" s="16">
        <v>168.8</v>
      </c>
    </row>
    <row r="226" spans="1:7" x14ac:dyDescent="0.25">
      <c r="A226" s="13" t="s">
        <v>1838</v>
      </c>
      <c r="B226" s="13">
        <v>2517</v>
      </c>
      <c r="C226" s="14" t="s">
        <v>97</v>
      </c>
      <c r="D226" s="15" t="s">
        <v>200</v>
      </c>
      <c r="E226" s="15">
        <v>45810</v>
      </c>
      <c r="F226" s="14" t="s">
        <v>23</v>
      </c>
      <c r="G226" s="16">
        <v>20</v>
      </c>
    </row>
    <row r="227" spans="1:7" x14ac:dyDescent="0.25">
      <c r="A227" s="13" t="s">
        <v>1813</v>
      </c>
      <c r="B227" s="13">
        <v>2535</v>
      </c>
      <c r="C227" s="14" t="s">
        <v>30</v>
      </c>
      <c r="D227" s="15" t="s">
        <v>22</v>
      </c>
      <c r="E227" s="15">
        <v>45832</v>
      </c>
      <c r="F227" s="14" t="s">
        <v>18</v>
      </c>
      <c r="G227" s="16">
        <v>70</v>
      </c>
    </row>
    <row r="228" spans="1:7" x14ac:dyDescent="0.25">
      <c r="A228" s="13" t="s">
        <v>1813</v>
      </c>
      <c r="B228" s="13">
        <v>2535</v>
      </c>
      <c r="C228" s="14" t="s">
        <v>30</v>
      </c>
      <c r="D228" s="15" t="s">
        <v>22</v>
      </c>
      <c r="E228" s="15">
        <v>45832</v>
      </c>
      <c r="F228" s="14" t="s">
        <v>20</v>
      </c>
      <c r="G228" s="16">
        <v>101.241</v>
      </c>
    </row>
    <row r="229" spans="1:7" x14ac:dyDescent="0.25">
      <c r="A229" s="13" t="s">
        <v>1800</v>
      </c>
      <c r="B229" s="13">
        <v>2569</v>
      </c>
      <c r="C229" s="14" t="s">
        <v>101</v>
      </c>
      <c r="D229" s="15" t="s">
        <v>22</v>
      </c>
      <c r="E229" s="15">
        <v>45836</v>
      </c>
      <c r="F229" s="14" t="s">
        <v>20</v>
      </c>
      <c r="G229" s="16">
        <v>16.8</v>
      </c>
    </row>
    <row r="230" spans="1:7" x14ac:dyDescent="0.25">
      <c r="A230" s="13" t="s">
        <v>1800</v>
      </c>
      <c r="B230" s="13">
        <v>2569</v>
      </c>
      <c r="C230" s="14" t="s">
        <v>101</v>
      </c>
      <c r="D230" s="14" t="s">
        <v>22</v>
      </c>
      <c r="E230" s="15">
        <v>45836</v>
      </c>
      <c r="F230" s="14" t="s">
        <v>24</v>
      </c>
      <c r="G230" s="16">
        <v>80</v>
      </c>
    </row>
    <row r="231" spans="1:7" x14ac:dyDescent="0.25">
      <c r="A231" s="13" t="s">
        <v>1868</v>
      </c>
      <c r="B231" s="13">
        <v>2572</v>
      </c>
      <c r="C231" s="14" t="s">
        <v>462</v>
      </c>
      <c r="D231" s="14" t="s">
        <v>540</v>
      </c>
      <c r="E231" s="15">
        <v>45838</v>
      </c>
      <c r="F231" s="14" t="s">
        <v>18</v>
      </c>
      <c r="G231" s="16">
        <v>60</v>
      </c>
    </row>
    <row r="232" spans="1:7" x14ac:dyDescent="0.25">
      <c r="A232" s="13" t="s">
        <v>1868</v>
      </c>
      <c r="B232" s="13">
        <v>2572</v>
      </c>
      <c r="C232" s="14" t="s">
        <v>462</v>
      </c>
      <c r="D232" s="15" t="s">
        <v>540</v>
      </c>
      <c r="E232" s="15">
        <v>45839</v>
      </c>
      <c r="F232" s="14" t="s">
        <v>19</v>
      </c>
      <c r="G232" s="16">
        <v>95.978999999999999</v>
      </c>
    </row>
    <row r="233" spans="1:7" x14ac:dyDescent="0.25">
      <c r="A233" s="13" t="s">
        <v>1843</v>
      </c>
      <c r="B233" s="13">
        <v>2592</v>
      </c>
      <c r="C233" s="14" t="s">
        <v>317</v>
      </c>
      <c r="D233" s="14" t="s">
        <v>318</v>
      </c>
      <c r="E233" s="15">
        <v>45838</v>
      </c>
      <c r="F233" s="14" t="s">
        <v>18</v>
      </c>
      <c r="G233" s="16">
        <v>60</v>
      </c>
    </row>
    <row r="234" spans="1:7" x14ac:dyDescent="0.25">
      <c r="A234" s="13" t="s">
        <v>1843</v>
      </c>
      <c r="B234" s="13">
        <v>2592</v>
      </c>
      <c r="C234" s="14" t="s">
        <v>317</v>
      </c>
      <c r="D234" s="14" t="s">
        <v>318</v>
      </c>
      <c r="E234" s="15">
        <v>45838</v>
      </c>
      <c r="F234" s="14" t="s">
        <v>20</v>
      </c>
      <c r="G234" s="16">
        <v>12.87</v>
      </c>
    </row>
    <row r="235" spans="1:7" x14ac:dyDescent="0.25">
      <c r="A235" s="13" t="s">
        <v>1871</v>
      </c>
      <c r="B235" s="13">
        <v>2631</v>
      </c>
      <c r="C235" s="14" t="s">
        <v>533</v>
      </c>
      <c r="D235" s="15" t="s">
        <v>22</v>
      </c>
      <c r="E235" s="15">
        <v>45832</v>
      </c>
      <c r="F235" s="14" t="s">
        <v>20</v>
      </c>
      <c r="G235" s="16">
        <v>21.08</v>
      </c>
    </row>
    <row r="236" spans="1:7" x14ac:dyDescent="0.25">
      <c r="A236" s="13" t="s">
        <v>1871</v>
      </c>
      <c r="B236" s="13">
        <v>2631</v>
      </c>
      <c r="C236" s="14" t="s">
        <v>533</v>
      </c>
      <c r="D236" s="15" t="s">
        <v>22</v>
      </c>
      <c r="E236" s="15">
        <v>45832</v>
      </c>
      <c r="F236" s="14" t="s">
        <v>21</v>
      </c>
      <c r="G236" s="16">
        <v>50</v>
      </c>
    </row>
    <row r="237" spans="1:7" x14ac:dyDescent="0.25">
      <c r="A237" s="13" t="s">
        <v>1871</v>
      </c>
      <c r="B237" s="13">
        <v>2631</v>
      </c>
      <c r="C237" s="14" t="s">
        <v>533</v>
      </c>
      <c r="D237" s="14" t="s">
        <v>22</v>
      </c>
      <c r="E237" s="15">
        <v>45839</v>
      </c>
      <c r="F237" s="14" t="s">
        <v>24</v>
      </c>
      <c r="G237" s="16">
        <v>180</v>
      </c>
    </row>
    <row r="238" spans="1:7" x14ac:dyDescent="0.25">
      <c r="A238" s="13" t="s">
        <v>1791</v>
      </c>
      <c r="B238" s="13">
        <v>2637</v>
      </c>
      <c r="C238" s="14" t="s">
        <v>1792</v>
      </c>
      <c r="D238" s="14" t="s">
        <v>1318</v>
      </c>
      <c r="E238" s="15">
        <v>45810</v>
      </c>
      <c r="F238" s="14" t="s">
        <v>18</v>
      </c>
      <c r="G238" s="16">
        <v>60</v>
      </c>
    </row>
    <row r="239" spans="1:7" x14ac:dyDescent="0.25">
      <c r="A239" s="13" t="s">
        <v>1791</v>
      </c>
      <c r="B239" s="13">
        <v>2637</v>
      </c>
      <c r="C239" s="14" t="s">
        <v>1792</v>
      </c>
      <c r="D239" s="15" t="s">
        <v>1318</v>
      </c>
      <c r="E239" s="15">
        <v>45815</v>
      </c>
      <c r="F239" s="14" t="s">
        <v>20</v>
      </c>
      <c r="G239" s="16">
        <v>21.155000000000001</v>
      </c>
    </row>
    <row r="240" spans="1:7" x14ac:dyDescent="0.25">
      <c r="A240" s="13" t="s">
        <v>1852</v>
      </c>
      <c r="B240" s="13">
        <v>2637</v>
      </c>
      <c r="C240" s="14" t="s">
        <v>1792</v>
      </c>
      <c r="D240" s="14" t="s">
        <v>1318</v>
      </c>
      <c r="E240" s="15">
        <v>45840</v>
      </c>
      <c r="F240" s="14" t="s">
        <v>18</v>
      </c>
      <c r="G240" s="16">
        <v>60</v>
      </c>
    </row>
    <row r="241" spans="1:7" x14ac:dyDescent="0.25">
      <c r="A241" s="13" t="s">
        <v>1852</v>
      </c>
      <c r="B241" s="13">
        <v>2637</v>
      </c>
      <c r="C241" s="14" t="s">
        <v>1792</v>
      </c>
      <c r="D241" s="14" t="s">
        <v>1318</v>
      </c>
      <c r="E241" s="15">
        <v>45840</v>
      </c>
      <c r="F241" s="14" t="s">
        <v>20</v>
      </c>
      <c r="G241" s="16">
        <v>34.244999999999997</v>
      </c>
    </row>
    <row r="242" spans="1:7" ht="18.75" x14ac:dyDescent="0.3">
      <c r="A242" s="14"/>
      <c r="B242" s="28"/>
      <c r="C242" s="29"/>
      <c r="D242" s="14"/>
      <c r="E242" s="28"/>
      <c r="F242" s="17" t="s">
        <v>11</v>
      </c>
      <c r="G242" s="17">
        <f>SUM(G10:G241)</f>
        <v>19607.714999999993</v>
      </c>
    </row>
    <row r="243" spans="1:7" ht="18.75" x14ac:dyDescent="0.3">
      <c r="A243" s="38"/>
      <c r="B243" s="39"/>
      <c r="C243" s="40"/>
      <c r="D243" s="41"/>
      <c r="E243" s="19"/>
      <c r="F243" s="18"/>
      <c r="G243" s="34"/>
    </row>
    <row r="244" spans="1:7" ht="18.75" x14ac:dyDescent="0.3">
      <c r="A244" s="35"/>
      <c r="B244" s="36"/>
      <c r="C244" s="37"/>
      <c r="D244" s="42"/>
      <c r="E244" s="43"/>
      <c r="F244" s="44"/>
      <c r="G244" s="44"/>
    </row>
    <row r="245" spans="1:7" ht="15.75" x14ac:dyDescent="0.25">
      <c r="A245" s="35"/>
      <c r="B245" s="36" t="s">
        <v>12</v>
      </c>
      <c r="C245" s="37"/>
      <c r="E245" s="36" t="s">
        <v>13</v>
      </c>
      <c r="F245" s="18"/>
      <c r="G245" s="18"/>
    </row>
    <row r="246" spans="1:7" ht="15.75" x14ac:dyDescent="0.25">
      <c r="A246" s="45"/>
      <c r="B246" s="46" t="s">
        <v>14</v>
      </c>
      <c r="C246" s="47"/>
      <c r="E246" s="36" t="s">
        <v>15</v>
      </c>
      <c r="F246" s="18"/>
      <c r="G246" s="18"/>
    </row>
    <row r="247" spans="1:7" ht="15.75" x14ac:dyDescent="0.25">
      <c r="A247" s="23"/>
      <c r="B247" s="24"/>
      <c r="C247" s="25"/>
      <c r="E247" s="27"/>
      <c r="F247" s="18"/>
      <c r="G247" s="18"/>
    </row>
    <row r="248" spans="1:7" ht="18.75" x14ac:dyDescent="0.3">
      <c r="B248" s="19"/>
      <c r="C248" s="20"/>
      <c r="D248" s="21"/>
      <c r="E248" s="22"/>
      <c r="F248" s="19"/>
      <c r="G248" s="22"/>
    </row>
    <row r="249" spans="1:7" ht="15.75" x14ac:dyDescent="0.25">
      <c r="A249" s="23"/>
      <c r="B249" s="24"/>
      <c r="C249" s="25"/>
      <c r="D249" s="26"/>
      <c r="E249" s="22"/>
      <c r="F249" s="27"/>
      <c r="G249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3"/>
  <sheetViews>
    <sheetView workbookViewId="0">
      <pane ySplit="9" topLeftCell="A10" activePane="bottomLeft" state="frozen"/>
      <selection pane="bottomLeft" sqref="A1:A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1906</v>
      </c>
      <c r="C5" s="7"/>
      <c r="D5" s="4"/>
    </row>
    <row r="6" spans="1:7" ht="22.5" customHeight="1" x14ac:dyDescent="0.25">
      <c r="A6" s="6"/>
      <c r="B6" s="8" t="s">
        <v>2025</v>
      </c>
      <c r="C6" s="9"/>
      <c r="D6" s="4"/>
    </row>
    <row r="7" spans="1:7" ht="22.5" customHeight="1" x14ac:dyDescent="0.35">
      <c r="A7" s="4"/>
      <c r="B7" s="10"/>
      <c r="C7" s="11" t="s">
        <v>2024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2005</v>
      </c>
      <c r="B10" s="13">
        <v>656</v>
      </c>
      <c r="C10" s="14" t="str">
        <f>+VLOOKUP(B10,[1]LISTE!$A$1:$D$431,4,FALSE)</f>
        <v>CHEBIL MOHAMED MONCEF</v>
      </c>
      <c r="D10" s="15" t="s">
        <v>1902</v>
      </c>
      <c r="E10" s="15">
        <v>45853</v>
      </c>
      <c r="F10" s="14" t="s">
        <v>18</v>
      </c>
      <c r="G10" s="16">
        <v>70</v>
      </c>
    </row>
    <row r="11" spans="1:7" x14ac:dyDescent="0.25">
      <c r="A11" s="13" t="s">
        <v>2005</v>
      </c>
      <c r="B11" s="13">
        <v>656</v>
      </c>
      <c r="C11" s="14" t="str">
        <f>+VLOOKUP(B11,[1]LISTE!$A$1:$D$431,4,FALSE)</f>
        <v>CHEBIL MOHAMED MONCEF</v>
      </c>
      <c r="D11" s="15" t="s">
        <v>1902</v>
      </c>
      <c r="E11" s="15">
        <v>45854</v>
      </c>
      <c r="F11" s="14" t="s">
        <v>19</v>
      </c>
      <c r="G11" s="16">
        <v>69.015000000000001</v>
      </c>
    </row>
    <row r="12" spans="1:7" x14ac:dyDescent="0.25">
      <c r="A12" s="13" t="s">
        <v>2005</v>
      </c>
      <c r="B12" s="13">
        <v>656</v>
      </c>
      <c r="C12" s="14" t="str">
        <f>+VLOOKUP(B12,[1]LISTE!$A$1:$D$431,4,FALSE)</f>
        <v>CHEBIL MOHAMED MONCEF</v>
      </c>
      <c r="D12" s="14" t="s">
        <v>1902</v>
      </c>
      <c r="E12" s="15">
        <v>45853</v>
      </c>
      <c r="F12" s="14" t="s">
        <v>20</v>
      </c>
      <c r="G12" s="16">
        <v>4.2450000000000001</v>
      </c>
    </row>
    <row r="13" spans="1:7" x14ac:dyDescent="0.25">
      <c r="A13" s="13" t="s">
        <v>2023</v>
      </c>
      <c r="B13" s="13">
        <v>656</v>
      </c>
      <c r="C13" s="14" t="str">
        <f>+VLOOKUP(B13,[1]LISTE!$A$1:$D$431,4,FALSE)</f>
        <v>CHEBIL MOHAMED MONCEF</v>
      </c>
      <c r="D13" s="14" t="s">
        <v>1902</v>
      </c>
      <c r="E13" s="15">
        <v>45847</v>
      </c>
      <c r="F13" s="14" t="s">
        <v>18</v>
      </c>
      <c r="G13" s="16">
        <v>70</v>
      </c>
    </row>
    <row r="14" spans="1:7" x14ac:dyDescent="0.25">
      <c r="A14" s="13" t="s">
        <v>2023</v>
      </c>
      <c r="B14" s="13">
        <v>656</v>
      </c>
      <c r="C14" s="14" t="str">
        <f>+VLOOKUP(B14,[1]LISTE!$A$1:$D$431,4,FALSE)</f>
        <v>CHEBIL MOHAMED MONCEF</v>
      </c>
      <c r="D14" s="14" t="s">
        <v>1902</v>
      </c>
      <c r="E14" s="15">
        <v>45847</v>
      </c>
      <c r="F14" s="14" t="s">
        <v>19</v>
      </c>
      <c r="G14" s="16">
        <v>40</v>
      </c>
    </row>
    <row r="15" spans="1:7" x14ac:dyDescent="0.25">
      <c r="A15" s="13" t="s">
        <v>2023</v>
      </c>
      <c r="B15" s="13">
        <v>656</v>
      </c>
      <c r="C15" s="14" t="str">
        <f>+VLOOKUP(B15,[1]LISTE!$A$1:$D$431,4,FALSE)</f>
        <v>CHEBIL MOHAMED MONCEF</v>
      </c>
      <c r="D15" s="15" t="s">
        <v>1902</v>
      </c>
      <c r="E15" s="15">
        <v>45847</v>
      </c>
      <c r="F15" s="14" t="s">
        <v>20</v>
      </c>
      <c r="G15" s="16">
        <v>19.620999999999999</v>
      </c>
    </row>
    <row r="16" spans="1:7" x14ac:dyDescent="0.25">
      <c r="A16" s="13" t="s">
        <v>1917</v>
      </c>
      <c r="B16" s="13">
        <v>695</v>
      </c>
      <c r="C16" s="14" t="str">
        <f>+VLOOKUP(B16,[1]LISTE!$A$1:$D$431,4,FALSE)</f>
        <v>LAAJILI ABDELHAMID</v>
      </c>
      <c r="D16" s="14" t="s">
        <v>22</v>
      </c>
      <c r="E16" s="15">
        <v>45845</v>
      </c>
      <c r="F16" s="14" t="s">
        <v>23</v>
      </c>
      <c r="G16" s="16">
        <v>45</v>
      </c>
    </row>
    <row r="17" spans="1:7" x14ac:dyDescent="0.25">
      <c r="A17" s="13" t="s">
        <v>1917</v>
      </c>
      <c r="B17" s="13">
        <v>695</v>
      </c>
      <c r="C17" s="14" t="str">
        <f>+VLOOKUP(B17,[1]LISTE!$A$1:$D$431,4,FALSE)</f>
        <v>LAAJILI ABDELHAMID</v>
      </c>
      <c r="D17" s="14" t="s">
        <v>22</v>
      </c>
      <c r="E17" s="15">
        <v>45845</v>
      </c>
      <c r="F17" s="14" t="s">
        <v>20</v>
      </c>
      <c r="G17" s="16">
        <v>30.79</v>
      </c>
    </row>
    <row r="18" spans="1:7" x14ac:dyDescent="0.25">
      <c r="A18" s="13" t="s">
        <v>1920</v>
      </c>
      <c r="B18" s="13">
        <v>815</v>
      </c>
      <c r="C18" s="14" t="str">
        <f>+VLOOKUP(B18,[1]LISTE!$A$1:$D$431,4,FALSE)</f>
        <v>DAHMANI HAFSI</v>
      </c>
      <c r="D18" s="14" t="s">
        <v>1921</v>
      </c>
      <c r="E18" s="15">
        <v>45848</v>
      </c>
      <c r="F18" s="14" t="s">
        <v>23</v>
      </c>
      <c r="G18" s="16">
        <v>45</v>
      </c>
    </row>
    <row r="19" spans="1:7" x14ac:dyDescent="0.25">
      <c r="A19" s="13" t="s">
        <v>1920</v>
      </c>
      <c r="B19" s="13">
        <v>815</v>
      </c>
      <c r="C19" s="14" t="str">
        <f>+VLOOKUP(B19,[1]LISTE!$A$1:$D$431,4,FALSE)</f>
        <v>DAHMANI HAFSI</v>
      </c>
      <c r="D19" s="14" t="s">
        <v>1921</v>
      </c>
      <c r="E19" s="15">
        <v>45848</v>
      </c>
      <c r="F19" s="14" t="s">
        <v>20</v>
      </c>
      <c r="G19" s="16">
        <v>26.617000000000001</v>
      </c>
    </row>
    <row r="20" spans="1:7" x14ac:dyDescent="0.25">
      <c r="A20" s="13" t="s">
        <v>1983</v>
      </c>
      <c r="B20" s="13">
        <v>859</v>
      </c>
      <c r="C20" s="14" t="str">
        <f>+VLOOKUP(B20,[1]LISTE!$A$1:$D$431,4,FALSE)</f>
        <v>ZRELLI MOHAMED</v>
      </c>
      <c r="D20" s="14" t="s">
        <v>1421</v>
      </c>
      <c r="E20" s="15">
        <v>45854</v>
      </c>
      <c r="F20" s="14" t="s">
        <v>23</v>
      </c>
      <c r="G20" s="16">
        <v>45</v>
      </c>
    </row>
    <row r="21" spans="1:7" x14ac:dyDescent="0.25">
      <c r="A21" s="13" t="s">
        <v>1983</v>
      </c>
      <c r="B21" s="13">
        <v>859</v>
      </c>
      <c r="C21" s="14" t="str">
        <f>+VLOOKUP(B21,[1]LISTE!$A$1:$D$431,4,FALSE)</f>
        <v>ZRELLI MOHAMED</v>
      </c>
      <c r="D21" s="14" t="s">
        <v>1421</v>
      </c>
      <c r="E21" s="15">
        <v>45854</v>
      </c>
      <c r="F21" s="14" t="s">
        <v>20</v>
      </c>
      <c r="G21" s="16">
        <v>16.042000000000002</v>
      </c>
    </row>
    <row r="22" spans="1:7" x14ac:dyDescent="0.25">
      <c r="A22" s="13" t="s">
        <v>2000</v>
      </c>
      <c r="B22" s="13">
        <v>1504</v>
      </c>
      <c r="C22" s="14" t="str">
        <f>+VLOOKUP(B22,[1]LISTE!$A$1:$D$431,4,FALSE)</f>
        <v>ABBADI HABIB</v>
      </c>
      <c r="D22" s="15" t="s">
        <v>40</v>
      </c>
      <c r="E22" s="15">
        <v>45859</v>
      </c>
      <c r="F22" s="14" t="s">
        <v>18</v>
      </c>
      <c r="G22" s="16">
        <v>60</v>
      </c>
    </row>
    <row r="23" spans="1:7" x14ac:dyDescent="0.25">
      <c r="A23" s="13" t="s">
        <v>2000</v>
      </c>
      <c r="B23" s="13">
        <v>1504</v>
      </c>
      <c r="C23" s="14" t="str">
        <f>+VLOOKUP(B23,[1]LISTE!$A$1:$D$431,4,FALSE)</f>
        <v>ABBADI HABIB</v>
      </c>
      <c r="D23" s="14" t="s">
        <v>40</v>
      </c>
      <c r="E23" s="15">
        <v>45859</v>
      </c>
      <c r="F23" s="14" t="s">
        <v>20</v>
      </c>
      <c r="G23" s="16">
        <v>135.01</v>
      </c>
    </row>
    <row r="24" spans="1:7" x14ac:dyDescent="0.25">
      <c r="A24" s="13" t="s">
        <v>1952</v>
      </c>
      <c r="B24" s="13">
        <v>1510</v>
      </c>
      <c r="C24" s="14" t="str">
        <f>+VLOOKUP(B24,[1]LISTE!$A$1:$D$431,4,FALSE)</f>
        <v>GAALOUL FETHI</v>
      </c>
      <c r="D24" s="15" t="s">
        <v>22</v>
      </c>
      <c r="E24" s="15">
        <v>45855</v>
      </c>
      <c r="F24" s="14" t="s">
        <v>18</v>
      </c>
      <c r="G24" s="16">
        <v>70</v>
      </c>
    </row>
    <row r="25" spans="1:7" x14ac:dyDescent="0.25">
      <c r="A25" s="13" t="s">
        <v>1952</v>
      </c>
      <c r="B25" s="13">
        <v>1510</v>
      </c>
      <c r="C25" s="14" t="str">
        <f>+VLOOKUP(B25,[1]LISTE!$A$1:$D$431,4,FALSE)</f>
        <v>GAALOUL FETHI</v>
      </c>
      <c r="D25" s="15" t="s">
        <v>22</v>
      </c>
      <c r="E25" s="15">
        <v>45855</v>
      </c>
      <c r="F25" s="14" t="s">
        <v>20</v>
      </c>
      <c r="G25" s="16">
        <v>12.141999999999999</v>
      </c>
    </row>
    <row r="26" spans="1:7" x14ac:dyDescent="0.25">
      <c r="A26" s="13" t="s">
        <v>1953</v>
      </c>
      <c r="B26" s="13">
        <v>1510</v>
      </c>
      <c r="C26" s="14" t="str">
        <f>+VLOOKUP(B26,[1]LISTE!$A$1:$D$431,4,FALSE)</f>
        <v>GAALOUL FETHI</v>
      </c>
      <c r="D26" s="15" t="s">
        <v>22</v>
      </c>
      <c r="E26" s="15">
        <v>45855</v>
      </c>
      <c r="F26" s="14" t="s">
        <v>18</v>
      </c>
      <c r="G26" s="16">
        <v>40</v>
      </c>
    </row>
    <row r="27" spans="1:7" x14ac:dyDescent="0.25">
      <c r="A27" s="13" t="s">
        <v>1953</v>
      </c>
      <c r="B27" s="13">
        <v>1510</v>
      </c>
      <c r="C27" s="14" t="str">
        <f>+VLOOKUP(B27,[1]LISTE!$A$1:$D$431,4,FALSE)</f>
        <v>GAALOUL FETHI</v>
      </c>
      <c r="D27" s="14" t="s">
        <v>22</v>
      </c>
      <c r="E27" s="15">
        <v>45855</v>
      </c>
      <c r="F27" s="14" t="s">
        <v>20</v>
      </c>
      <c r="G27" s="16">
        <v>355.02</v>
      </c>
    </row>
    <row r="28" spans="1:7" x14ac:dyDescent="0.25">
      <c r="A28" s="13" t="s">
        <v>2006</v>
      </c>
      <c r="B28" s="13">
        <v>1510</v>
      </c>
      <c r="C28" s="14" t="str">
        <f>+VLOOKUP(B28,[1]LISTE!$A$1:$D$431,4,FALSE)</f>
        <v>GAALOUL FETHI</v>
      </c>
      <c r="D28" s="14" t="s">
        <v>22</v>
      </c>
      <c r="E28" s="15">
        <v>45826</v>
      </c>
      <c r="F28" s="14" t="s">
        <v>18</v>
      </c>
      <c r="G28" s="16">
        <v>70</v>
      </c>
    </row>
    <row r="29" spans="1:7" x14ac:dyDescent="0.25">
      <c r="A29" s="13" t="s">
        <v>2006</v>
      </c>
      <c r="B29" s="13">
        <v>1510</v>
      </c>
      <c r="C29" s="14" t="str">
        <f>+VLOOKUP(B29,[1]LISTE!$A$1:$D$431,4,FALSE)</f>
        <v>GAALOUL FETHI</v>
      </c>
      <c r="D29" s="14" t="s">
        <v>22</v>
      </c>
      <c r="E29" s="15">
        <v>45826</v>
      </c>
      <c r="F29" s="14" t="s">
        <v>20</v>
      </c>
      <c r="G29" s="16">
        <v>19.285</v>
      </c>
    </row>
    <row r="30" spans="1:7" x14ac:dyDescent="0.25">
      <c r="A30" s="13" t="s">
        <v>2006</v>
      </c>
      <c r="B30" s="13">
        <v>1510</v>
      </c>
      <c r="C30" s="14" t="str">
        <f>+VLOOKUP(B30,[1]LISTE!$A$1:$D$431,4,FALSE)</f>
        <v>GAALOUL FETHI</v>
      </c>
      <c r="D30" s="14" t="s">
        <v>22</v>
      </c>
      <c r="E30" s="15">
        <v>45826</v>
      </c>
      <c r="F30" s="14" t="s">
        <v>65</v>
      </c>
      <c r="G30" s="16">
        <v>120</v>
      </c>
    </row>
    <row r="31" spans="1:7" x14ac:dyDescent="0.25">
      <c r="A31" s="13" t="s">
        <v>1969</v>
      </c>
      <c r="B31" s="13">
        <v>1535</v>
      </c>
      <c r="C31" s="14" t="str">
        <f>+VLOOKUP(B31,[1]LISTE!$A$1:$D$431,4,FALSE)</f>
        <v>ROUIS LOTFI</v>
      </c>
      <c r="D31" s="14" t="s">
        <v>147</v>
      </c>
      <c r="E31" s="15">
        <v>45856</v>
      </c>
      <c r="F31" s="14" t="s">
        <v>20</v>
      </c>
      <c r="G31" s="16">
        <v>71.454999999999998</v>
      </c>
    </row>
    <row r="32" spans="1:7" x14ac:dyDescent="0.25">
      <c r="A32" s="13" t="s">
        <v>1989</v>
      </c>
      <c r="B32" s="13">
        <v>1569</v>
      </c>
      <c r="C32" s="14" t="str">
        <f>+VLOOKUP(B32,[1]LISTE!$A$1:$D$431,4,FALSE)</f>
        <v>BETTAIEB MOULDI</v>
      </c>
      <c r="D32" s="14" t="s">
        <v>529</v>
      </c>
      <c r="E32" s="15">
        <v>45843</v>
      </c>
      <c r="F32" s="14" t="s">
        <v>23</v>
      </c>
      <c r="G32" s="16">
        <v>50</v>
      </c>
    </row>
    <row r="33" spans="1:7" x14ac:dyDescent="0.25">
      <c r="A33" s="13" t="s">
        <v>1989</v>
      </c>
      <c r="B33" s="13">
        <v>1569</v>
      </c>
      <c r="C33" s="14" t="str">
        <f>+VLOOKUP(B33,[1]LISTE!$A$1:$D$431,4,FALSE)</f>
        <v>BETTAIEB MOULDI</v>
      </c>
      <c r="D33" s="14" t="s">
        <v>529</v>
      </c>
      <c r="E33" s="15">
        <v>45845</v>
      </c>
      <c r="F33" s="14" t="s">
        <v>19</v>
      </c>
      <c r="G33" s="16">
        <v>119.09099999999999</v>
      </c>
    </row>
    <row r="34" spans="1:7" x14ac:dyDescent="0.25">
      <c r="A34" s="13" t="s">
        <v>1989</v>
      </c>
      <c r="B34" s="13">
        <v>1569</v>
      </c>
      <c r="C34" s="14" t="str">
        <f>+VLOOKUP(B34,[1]LISTE!$A$1:$D$431,4,FALSE)</f>
        <v>BETTAIEB MOULDI</v>
      </c>
      <c r="D34" s="14" t="s">
        <v>529</v>
      </c>
      <c r="E34" s="15">
        <v>45847</v>
      </c>
      <c r="F34" s="14" t="s">
        <v>20</v>
      </c>
      <c r="G34" s="16">
        <v>54.161000000000001</v>
      </c>
    </row>
    <row r="35" spans="1:7" x14ac:dyDescent="0.25">
      <c r="A35" s="13" t="s">
        <v>1957</v>
      </c>
      <c r="B35" s="13">
        <v>1575</v>
      </c>
      <c r="C35" s="14" t="str">
        <f>+VLOOKUP(B35,[1]LISTE!$A$1:$D$431,4,FALSE)</f>
        <v>BEN ABDELJELIL ZOUHAIER</v>
      </c>
      <c r="D35" s="15" t="s">
        <v>22</v>
      </c>
      <c r="E35" s="15">
        <v>45857</v>
      </c>
      <c r="F35" s="14" t="s">
        <v>18</v>
      </c>
      <c r="G35" s="16">
        <v>70</v>
      </c>
    </row>
    <row r="36" spans="1:7" x14ac:dyDescent="0.25">
      <c r="A36" s="13" t="s">
        <v>1957</v>
      </c>
      <c r="B36" s="13">
        <v>1575</v>
      </c>
      <c r="C36" s="14" t="str">
        <f>+VLOOKUP(B36,[1]LISTE!$A$1:$D$431,4,FALSE)</f>
        <v>BEN ABDELJELIL ZOUHAIER</v>
      </c>
      <c r="D36" s="14" t="s">
        <v>22</v>
      </c>
      <c r="E36" s="15">
        <v>45859</v>
      </c>
      <c r="F36" s="14" t="s">
        <v>20</v>
      </c>
      <c r="G36" s="16">
        <v>790</v>
      </c>
    </row>
    <row r="37" spans="1:7" x14ac:dyDescent="0.25">
      <c r="A37" s="13" t="s">
        <v>1924</v>
      </c>
      <c r="B37" s="13">
        <v>1576</v>
      </c>
      <c r="C37" s="14" t="s">
        <v>1667</v>
      </c>
      <c r="D37" s="15" t="s">
        <v>22</v>
      </c>
      <c r="E37" s="15">
        <v>45842</v>
      </c>
      <c r="F37" s="14" t="s">
        <v>18</v>
      </c>
      <c r="G37" s="16">
        <v>70</v>
      </c>
    </row>
    <row r="38" spans="1:7" x14ac:dyDescent="0.25">
      <c r="A38" s="13" t="s">
        <v>1924</v>
      </c>
      <c r="B38" s="13">
        <v>1576</v>
      </c>
      <c r="C38" s="14" t="s">
        <v>1667</v>
      </c>
      <c r="D38" s="15" t="s">
        <v>22</v>
      </c>
      <c r="E38" s="15">
        <v>45842</v>
      </c>
      <c r="F38" s="14" t="s">
        <v>20</v>
      </c>
      <c r="G38" s="16">
        <v>4.92</v>
      </c>
    </row>
    <row r="39" spans="1:7" x14ac:dyDescent="0.25">
      <c r="A39" s="13" t="s">
        <v>2017</v>
      </c>
      <c r="B39" s="13">
        <v>1576</v>
      </c>
      <c r="C39" s="14" t="s">
        <v>1667</v>
      </c>
      <c r="D39" s="15" t="s">
        <v>22</v>
      </c>
      <c r="E39" s="15">
        <v>45859</v>
      </c>
      <c r="F39" s="14" t="s">
        <v>23</v>
      </c>
      <c r="G39" s="16">
        <v>10</v>
      </c>
    </row>
    <row r="40" spans="1:7" x14ac:dyDescent="0.25">
      <c r="A40" s="13" t="s">
        <v>2017</v>
      </c>
      <c r="B40" s="13">
        <v>1576</v>
      </c>
      <c r="C40" s="14" t="s">
        <v>1667</v>
      </c>
      <c r="D40" s="14" t="s">
        <v>22</v>
      </c>
      <c r="E40" s="15">
        <v>45861</v>
      </c>
      <c r="F40" s="14" t="s">
        <v>20</v>
      </c>
      <c r="G40" s="16">
        <v>70.721999999999994</v>
      </c>
    </row>
    <row r="41" spans="1:7" x14ac:dyDescent="0.25">
      <c r="A41" s="13" t="s">
        <v>1944</v>
      </c>
      <c r="B41" s="13">
        <v>1602</v>
      </c>
      <c r="C41" s="14" t="str">
        <f>+VLOOKUP(B41,[1]LISTE!$A$1:$D$431,4,FALSE)</f>
        <v>MAMIA RAMZI</v>
      </c>
      <c r="D41" s="14" t="s">
        <v>22</v>
      </c>
      <c r="E41" s="15">
        <v>45831</v>
      </c>
      <c r="F41" s="14" t="s">
        <v>18</v>
      </c>
      <c r="G41" s="16">
        <v>70</v>
      </c>
    </row>
    <row r="42" spans="1:7" x14ac:dyDescent="0.25">
      <c r="A42" s="13" t="s">
        <v>1944</v>
      </c>
      <c r="B42" s="13">
        <v>1602</v>
      </c>
      <c r="C42" s="14" t="str">
        <f>+VLOOKUP(B42,[1]LISTE!$A$1:$D$431,4,FALSE)</f>
        <v>MAMIA RAMZI</v>
      </c>
      <c r="D42" s="14" t="s">
        <v>22</v>
      </c>
      <c r="E42" s="15">
        <v>45831</v>
      </c>
      <c r="F42" s="14" t="s">
        <v>20</v>
      </c>
      <c r="G42" s="16">
        <v>7.0220000000000002</v>
      </c>
    </row>
    <row r="43" spans="1:7" x14ac:dyDescent="0.25">
      <c r="A43" s="13" t="s">
        <v>1968</v>
      </c>
      <c r="B43" s="13">
        <v>1611</v>
      </c>
      <c r="C43" s="14" t="str">
        <f>+VLOOKUP(B43,[1]LISTE!$A$1:$D$431,4,FALSE)</f>
        <v>ATTIA KAMEL</v>
      </c>
      <c r="D43" s="14" t="s">
        <v>374</v>
      </c>
      <c r="E43" s="15">
        <v>45848</v>
      </c>
      <c r="F43" s="14" t="s">
        <v>18</v>
      </c>
      <c r="G43" s="16">
        <v>70</v>
      </c>
    </row>
    <row r="44" spans="1:7" x14ac:dyDescent="0.25">
      <c r="A44" s="13" t="s">
        <v>1968</v>
      </c>
      <c r="B44" s="13">
        <v>1611</v>
      </c>
      <c r="C44" s="14" t="str">
        <f>+VLOOKUP(B44,[1]LISTE!$A$1:$D$431,4,FALSE)</f>
        <v>ATTIA KAMEL</v>
      </c>
      <c r="D44" s="15" t="s">
        <v>374</v>
      </c>
      <c r="E44" s="15">
        <v>45848</v>
      </c>
      <c r="F44" s="14" t="s">
        <v>20</v>
      </c>
      <c r="G44" s="16">
        <v>63.155999999999999</v>
      </c>
    </row>
    <row r="45" spans="1:7" x14ac:dyDescent="0.25">
      <c r="A45" s="13" t="s">
        <v>1987</v>
      </c>
      <c r="B45" s="13">
        <v>1611</v>
      </c>
      <c r="C45" s="14" t="str">
        <f>+VLOOKUP(B45,[1]LISTE!$A$1:$D$431,4,FALSE)</f>
        <v>ATTIA KAMEL</v>
      </c>
      <c r="D45" s="15" t="s">
        <v>374</v>
      </c>
      <c r="E45" s="15">
        <v>45854</v>
      </c>
      <c r="F45" s="14" t="s">
        <v>69</v>
      </c>
      <c r="G45" s="16">
        <v>1500</v>
      </c>
    </row>
    <row r="46" spans="1:7" x14ac:dyDescent="0.25">
      <c r="A46" s="13" t="s">
        <v>1959</v>
      </c>
      <c r="B46" s="13">
        <v>1612</v>
      </c>
      <c r="C46" s="14" t="str">
        <f>+VLOOKUP(B46,[1]LISTE!$A$1:$D$431,4,FALSE)</f>
        <v>LADHERI NAJEH</v>
      </c>
      <c r="D46" s="15" t="s">
        <v>604</v>
      </c>
      <c r="E46" s="15">
        <v>45856</v>
      </c>
      <c r="F46" s="14" t="s">
        <v>23</v>
      </c>
      <c r="G46" s="16">
        <v>45</v>
      </c>
    </row>
    <row r="47" spans="1:7" x14ac:dyDescent="0.25">
      <c r="A47" s="13" t="s">
        <v>1959</v>
      </c>
      <c r="B47" s="13">
        <v>1612</v>
      </c>
      <c r="C47" s="14" t="str">
        <f>+VLOOKUP(B47,[1]LISTE!$A$1:$D$431,4,FALSE)</f>
        <v>LADHERI NAJEH</v>
      </c>
      <c r="D47" s="14" t="s">
        <v>604</v>
      </c>
      <c r="E47" s="15">
        <v>45856</v>
      </c>
      <c r="F47" s="14" t="s">
        <v>20</v>
      </c>
      <c r="G47" s="16">
        <v>34.575000000000003</v>
      </c>
    </row>
    <row r="48" spans="1:7" x14ac:dyDescent="0.25">
      <c r="A48" s="13" t="s">
        <v>2007</v>
      </c>
      <c r="B48" s="13">
        <v>1612</v>
      </c>
      <c r="C48" s="14" t="str">
        <f>+VLOOKUP(B48,[1]LISTE!$A$1:$D$431,4,FALSE)</f>
        <v>LADHERI NAJEH</v>
      </c>
      <c r="D48" s="14" t="s">
        <v>200</v>
      </c>
      <c r="E48" s="15">
        <v>45860</v>
      </c>
      <c r="F48" s="14" t="s">
        <v>23</v>
      </c>
      <c r="G48" s="16">
        <v>45</v>
      </c>
    </row>
    <row r="49" spans="1:7" x14ac:dyDescent="0.25">
      <c r="A49" s="13" t="s">
        <v>2007</v>
      </c>
      <c r="B49" s="13">
        <v>1612</v>
      </c>
      <c r="C49" s="14" t="str">
        <f>+VLOOKUP(B49,[1]LISTE!$A$1:$D$431,4,FALSE)</f>
        <v>LADHERI NAJEH</v>
      </c>
      <c r="D49" s="15" t="s">
        <v>200</v>
      </c>
      <c r="E49" s="15">
        <v>45860</v>
      </c>
      <c r="F49" s="14" t="s">
        <v>20</v>
      </c>
      <c r="G49" s="16">
        <v>20.545000000000002</v>
      </c>
    </row>
    <row r="50" spans="1:7" x14ac:dyDescent="0.25">
      <c r="A50" s="13" t="s">
        <v>1974</v>
      </c>
      <c r="B50" s="13">
        <v>1618</v>
      </c>
      <c r="C50" s="14" t="str">
        <f>+VLOOKUP(B50,[1]LISTE!$A$1:$D$431,4,FALSE)</f>
        <v>SLAMA MAHER</v>
      </c>
      <c r="D50" s="14" t="s">
        <v>22</v>
      </c>
      <c r="E50" s="15">
        <v>45843</v>
      </c>
      <c r="F50" s="14" t="s">
        <v>18</v>
      </c>
      <c r="G50" s="16">
        <v>70</v>
      </c>
    </row>
    <row r="51" spans="1:7" x14ac:dyDescent="0.25">
      <c r="A51" s="13" t="s">
        <v>1974</v>
      </c>
      <c r="B51" s="13">
        <v>1618</v>
      </c>
      <c r="C51" s="14" t="str">
        <f>+VLOOKUP(B51,[1]LISTE!$A$1:$D$431,4,FALSE)</f>
        <v>SLAMA MAHER</v>
      </c>
      <c r="D51" s="14" t="s">
        <v>22</v>
      </c>
      <c r="E51" s="15">
        <v>45843</v>
      </c>
      <c r="F51" s="14" t="s">
        <v>20</v>
      </c>
      <c r="G51" s="16">
        <v>58.905000000000001</v>
      </c>
    </row>
    <row r="52" spans="1:7" x14ac:dyDescent="0.25">
      <c r="A52" s="13" t="s">
        <v>1907</v>
      </c>
      <c r="B52" s="13">
        <v>1619</v>
      </c>
      <c r="C52" s="14" t="str">
        <f>+VLOOKUP(B52,[1]LISTE!$A$1:$D$431,4,FALSE)</f>
        <v>CHTIOUI FETHI</v>
      </c>
      <c r="D52" s="15" t="s">
        <v>486</v>
      </c>
      <c r="E52" s="15">
        <v>45850</v>
      </c>
      <c r="F52" s="14" t="s">
        <v>23</v>
      </c>
      <c r="G52" s="16">
        <v>15</v>
      </c>
    </row>
    <row r="53" spans="1:7" x14ac:dyDescent="0.25">
      <c r="A53" s="13" t="s">
        <v>1907</v>
      </c>
      <c r="B53" s="13">
        <v>1619</v>
      </c>
      <c r="C53" s="14" t="str">
        <f>+VLOOKUP(B53,[1]LISTE!$A$1:$D$431,4,FALSE)</f>
        <v>CHTIOUI FETHI</v>
      </c>
      <c r="D53" s="14" t="s">
        <v>486</v>
      </c>
      <c r="E53" s="15">
        <v>45850</v>
      </c>
      <c r="F53" s="14" t="s">
        <v>20</v>
      </c>
      <c r="G53" s="16">
        <v>10.305</v>
      </c>
    </row>
    <row r="54" spans="1:7" x14ac:dyDescent="0.25">
      <c r="A54" s="13" t="s">
        <v>2004</v>
      </c>
      <c r="B54" s="13">
        <v>1652</v>
      </c>
      <c r="C54" s="14" t="str">
        <f>+VLOOKUP(B54,[1]LISTE!$A$1:$D$431,4,FALSE)</f>
        <v>BEN ABDALLAH KHELIL</v>
      </c>
      <c r="D54" s="14" t="s">
        <v>421</v>
      </c>
      <c r="E54" s="15">
        <v>45855</v>
      </c>
      <c r="F54" s="14" t="s">
        <v>23</v>
      </c>
      <c r="G54" s="16">
        <v>20</v>
      </c>
    </row>
    <row r="55" spans="1:7" x14ac:dyDescent="0.25">
      <c r="A55" s="13" t="s">
        <v>2004</v>
      </c>
      <c r="B55" s="13">
        <v>1652</v>
      </c>
      <c r="C55" s="14" t="str">
        <f>+VLOOKUP(B55,[1]LISTE!$A$1:$D$431,4,FALSE)</f>
        <v>BEN ABDALLAH KHELIL</v>
      </c>
      <c r="D55" s="14" t="s">
        <v>421</v>
      </c>
      <c r="E55" s="15">
        <v>45855</v>
      </c>
      <c r="F55" s="14" t="s">
        <v>20</v>
      </c>
      <c r="G55" s="16">
        <v>80.522999999999996</v>
      </c>
    </row>
    <row r="56" spans="1:7" x14ac:dyDescent="0.25">
      <c r="A56" s="13" t="s">
        <v>1998</v>
      </c>
      <c r="B56" s="13">
        <v>1657</v>
      </c>
      <c r="C56" s="14" t="str">
        <f>+VLOOKUP(B56,[1]LISTE!$A$1:$D$431,4,FALSE)</f>
        <v>BELLALOUNA NIDHAL</v>
      </c>
      <c r="D56" s="14" t="s">
        <v>22</v>
      </c>
      <c r="E56" s="15">
        <v>45855</v>
      </c>
      <c r="F56" s="14" t="s">
        <v>18</v>
      </c>
      <c r="G56" s="16">
        <v>70</v>
      </c>
    </row>
    <row r="57" spans="1:7" x14ac:dyDescent="0.25">
      <c r="A57" s="13" t="s">
        <v>1998</v>
      </c>
      <c r="B57" s="13">
        <v>1657</v>
      </c>
      <c r="C57" s="14" t="str">
        <f>+VLOOKUP(B57,[1]LISTE!$A$1:$D$431,4,FALSE)</f>
        <v>BELLALOUNA NIDHAL</v>
      </c>
      <c r="D57" s="14" t="s">
        <v>22</v>
      </c>
      <c r="E57" s="15">
        <v>45856</v>
      </c>
      <c r="F57" s="14" t="s">
        <v>363</v>
      </c>
      <c r="G57" s="16">
        <v>30</v>
      </c>
    </row>
    <row r="58" spans="1:7" x14ac:dyDescent="0.25">
      <c r="A58" s="13" t="s">
        <v>1998</v>
      </c>
      <c r="B58" s="13">
        <v>1657</v>
      </c>
      <c r="C58" s="14" t="str">
        <f>+VLOOKUP(B58,[1]LISTE!$A$1:$D$431,4,FALSE)</f>
        <v>BELLALOUNA NIDHAL</v>
      </c>
      <c r="D58" s="14" t="s">
        <v>22</v>
      </c>
      <c r="E58" s="15">
        <v>45855</v>
      </c>
      <c r="F58" s="14" t="s">
        <v>20</v>
      </c>
      <c r="G58" s="16">
        <v>30.125</v>
      </c>
    </row>
    <row r="59" spans="1:7" x14ac:dyDescent="0.25">
      <c r="A59" s="13" t="s">
        <v>1998</v>
      </c>
      <c r="B59" s="13">
        <v>1657</v>
      </c>
      <c r="C59" s="14" t="str">
        <f>+VLOOKUP(B59,[1]LISTE!$A$1:$D$431,4,FALSE)</f>
        <v>BELLALOUNA NIDHAL</v>
      </c>
      <c r="D59" s="14" t="s">
        <v>22</v>
      </c>
      <c r="E59" s="15">
        <v>45856</v>
      </c>
      <c r="F59" s="14" t="s">
        <v>21</v>
      </c>
      <c r="G59" s="16">
        <v>12</v>
      </c>
    </row>
    <row r="60" spans="1:7" x14ac:dyDescent="0.25">
      <c r="A60" s="13" t="s">
        <v>1998</v>
      </c>
      <c r="B60" s="13">
        <v>1657</v>
      </c>
      <c r="C60" s="14" t="str">
        <f>+VLOOKUP(B60,[1]LISTE!$A$1:$D$431,4,FALSE)</f>
        <v>BELLALOUNA NIDHAL</v>
      </c>
      <c r="D60" s="14" t="s">
        <v>22</v>
      </c>
      <c r="E60" s="15">
        <v>45856</v>
      </c>
      <c r="F60" s="14" t="s">
        <v>21</v>
      </c>
      <c r="G60" s="16">
        <v>30.96</v>
      </c>
    </row>
    <row r="61" spans="1:7" x14ac:dyDescent="0.25">
      <c r="A61" s="13" t="s">
        <v>1999</v>
      </c>
      <c r="B61" s="13">
        <v>1657</v>
      </c>
      <c r="C61" s="14" t="str">
        <f>+VLOOKUP(B61,[1]LISTE!$A$1:$D$431,4,FALSE)</f>
        <v>BELLALOUNA NIDHAL</v>
      </c>
      <c r="D61" s="15" t="s">
        <v>22</v>
      </c>
      <c r="E61" s="15">
        <v>45845</v>
      </c>
      <c r="F61" s="14" t="s">
        <v>18</v>
      </c>
      <c r="G61" s="16">
        <v>70</v>
      </c>
    </row>
    <row r="62" spans="1:7" x14ac:dyDescent="0.25">
      <c r="A62" s="13" t="s">
        <v>1999</v>
      </c>
      <c r="B62" s="13">
        <v>1657</v>
      </c>
      <c r="C62" s="14" t="str">
        <f>+VLOOKUP(B62,[1]LISTE!$A$1:$D$431,4,FALSE)</f>
        <v>BELLALOUNA NIDHAL</v>
      </c>
      <c r="D62" s="14" t="s">
        <v>22</v>
      </c>
      <c r="E62" s="15">
        <v>45861</v>
      </c>
      <c r="F62" s="14" t="s">
        <v>20</v>
      </c>
      <c r="G62" s="16">
        <v>12.734999999999999</v>
      </c>
    </row>
    <row r="63" spans="1:7" x14ac:dyDescent="0.25">
      <c r="A63" s="13" t="s">
        <v>1954</v>
      </c>
      <c r="B63" s="13">
        <v>1663</v>
      </c>
      <c r="C63" s="14" t="str">
        <f>+VLOOKUP(B63,[1]LISTE!$A$1:$D$431,4,FALSE)</f>
        <v>ACHOUR NAOUFEL</v>
      </c>
      <c r="D63" s="14" t="s">
        <v>1955</v>
      </c>
      <c r="E63" s="15">
        <v>45828</v>
      </c>
      <c r="F63" s="14" t="s">
        <v>18</v>
      </c>
      <c r="G63" s="16">
        <v>70</v>
      </c>
    </row>
    <row r="64" spans="1:7" x14ac:dyDescent="0.25">
      <c r="A64" s="13" t="s">
        <v>1954</v>
      </c>
      <c r="B64" s="13">
        <v>1663</v>
      </c>
      <c r="C64" s="14" t="str">
        <f>+VLOOKUP(B64,[1]LISTE!$A$1:$D$431,4,FALSE)</f>
        <v>ACHOUR NAOUFEL</v>
      </c>
      <c r="D64" s="14" t="s">
        <v>1955</v>
      </c>
      <c r="E64" s="15">
        <v>45846</v>
      </c>
      <c r="F64" s="14" t="s">
        <v>18</v>
      </c>
      <c r="G64" s="16">
        <v>70</v>
      </c>
    </row>
    <row r="65" spans="1:7" x14ac:dyDescent="0.25">
      <c r="A65" s="13" t="s">
        <v>1954</v>
      </c>
      <c r="B65" s="13">
        <v>1663</v>
      </c>
      <c r="C65" s="14" t="str">
        <f>+VLOOKUP(B65,[1]LISTE!$A$1:$D$431,4,FALSE)</f>
        <v>ACHOUR NAOUFEL</v>
      </c>
      <c r="D65" s="14" t="s">
        <v>1955</v>
      </c>
      <c r="E65" s="15">
        <v>45833</v>
      </c>
      <c r="F65" s="14" t="s">
        <v>20</v>
      </c>
      <c r="G65" s="16">
        <v>350.21100000000001</v>
      </c>
    </row>
    <row r="66" spans="1:7" x14ac:dyDescent="0.25">
      <c r="A66" s="13" t="s">
        <v>1954</v>
      </c>
      <c r="B66" s="13">
        <v>1663</v>
      </c>
      <c r="C66" s="14" t="str">
        <f>+VLOOKUP(B66,[1]LISTE!$A$1:$D$431,4,FALSE)</f>
        <v>ACHOUR NAOUFEL</v>
      </c>
      <c r="D66" s="14" t="s">
        <v>1955</v>
      </c>
      <c r="E66" s="15">
        <v>45846</v>
      </c>
      <c r="F66" s="14" t="s">
        <v>20</v>
      </c>
      <c r="G66" s="16">
        <v>142.203</v>
      </c>
    </row>
    <row r="67" spans="1:7" x14ac:dyDescent="0.25">
      <c r="A67" s="13" t="s">
        <v>1912</v>
      </c>
      <c r="B67" s="13">
        <v>1677</v>
      </c>
      <c r="C67" s="14" t="str">
        <f>+VLOOKUP(B67,[1]LISTE!$A$1:$D$431,4,FALSE)</f>
        <v>HADJ AMMAR BRAHIM</v>
      </c>
      <c r="D67" s="14" t="s">
        <v>22</v>
      </c>
      <c r="E67" s="15">
        <v>45850</v>
      </c>
      <c r="F67" s="14" t="s">
        <v>65</v>
      </c>
      <c r="G67" s="16">
        <v>170</v>
      </c>
    </row>
    <row r="68" spans="1:7" x14ac:dyDescent="0.25">
      <c r="A68" s="13" t="s">
        <v>2014</v>
      </c>
      <c r="B68" s="13">
        <v>1685</v>
      </c>
      <c r="C68" s="14" t="str">
        <f>+VLOOKUP(B68,[1]LISTE!$A$1:$D$431,4,FALSE)</f>
        <v>MAHJOUB MOHAMED KARIM</v>
      </c>
      <c r="D68" s="14" t="s">
        <v>421</v>
      </c>
      <c r="E68" s="15">
        <v>45857</v>
      </c>
      <c r="F68" s="14" t="s">
        <v>24</v>
      </c>
      <c r="G68" s="16">
        <v>200</v>
      </c>
    </row>
    <row r="69" spans="1:7" x14ac:dyDescent="0.25">
      <c r="A69" s="13" t="s">
        <v>1985</v>
      </c>
      <c r="B69" s="13">
        <v>1691</v>
      </c>
      <c r="C69" s="14" t="str">
        <f>+VLOOKUP(B69,[1]LISTE!$A$1:$D$431,4,FALSE)</f>
        <v>GADHI MOHAMED</v>
      </c>
      <c r="D69" s="14" t="s">
        <v>1986</v>
      </c>
      <c r="E69" s="15">
        <v>45847</v>
      </c>
      <c r="F69" s="14" t="s">
        <v>23</v>
      </c>
      <c r="G69" s="16">
        <v>40</v>
      </c>
    </row>
    <row r="70" spans="1:7" x14ac:dyDescent="0.25">
      <c r="A70" s="13" t="s">
        <v>1985</v>
      </c>
      <c r="B70" s="13">
        <v>1691</v>
      </c>
      <c r="C70" s="14" t="str">
        <f>+VLOOKUP(B70,[1]LISTE!$A$1:$D$431,4,FALSE)</f>
        <v>GADHI MOHAMED</v>
      </c>
      <c r="D70" s="15" t="s">
        <v>1986</v>
      </c>
      <c r="E70" s="15">
        <v>45847</v>
      </c>
      <c r="F70" s="14" t="s">
        <v>20</v>
      </c>
      <c r="G70" s="16">
        <v>26.585000000000001</v>
      </c>
    </row>
    <row r="71" spans="1:7" x14ac:dyDescent="0.25">
      <c r="A71" s="13" t="s">
        <v>1997</v>
      </c>
      <c r="B71" s="13">
        <v>1693</v>
      </c>
      <c r="C71" s="14" t="str">
        <f>+VLOOKUP(B71,[1]LISTE!$A$1:$D$431,4,FALSE)</f>
        <v>REBAI MOHAMED</v>
      </c>
      <c r="D71" s="14" t="s">
        <v>475</v>
      </c>
      <c r="E71" s="15">
        <v>45841</v>
      </c>
      <c r="F71" s="14" t="s">
        <v>18</v>
      </c>
      <c r="G71" s="16">
        <v>70</v>
      </c>
    </row>
    <row r="72" spans="1:7" x14ac:dyDescent="0.25">
      <c r="A72" s="13" t="s">
        <v>1997</v>
      </c>
      <c r="B72" s="13">
        <v>1693</v>
      </c>
      <c r="C72" s="14" t="str">
        <f>+VLOOKUP(B72,[1]LISTE!$A$1:$D$431,4,FALSE)</f>
        <v>REBAI MOHAMED</v>
      </c>
      <c r="D72" s="14" t="s">
        <v>475</v>
      </c>
      <c r="E72" s="15">
        <v>45841</v>
      </c>
      <c r="F72" s="14" t="s">
        <v>363</v>
      </c>
      <c r="G72" s="16">
        <v>70</v>
      </c>
    </row>
    <row r="73" spans="1:7" x14ac:dyDescent="0.25">
      <c r="A73" s="13" t="s">
        <v>1997</v>
      </c>
      <c r="B73" s="13">
        <v>1693</v>
      </c>
      <c r="C73" s="14" t="str">
        <f>+VLOOKUP(B73,[1]LISTE!$A$1:$D$431,4,FALSE)</f>
        <v>REBAI MOHAMED</v>
      </c>
      <c r="D73" s="14" t="s">
        <v>475</v>
      </c>
      <c r="E73" s="15">
        <v>45841</v>
      </c>
      <c r="F73" s="14" t="s">
        <v>20</v>
      </c>
      <c r="G73" s="16">
        <v>68.188999999999993</v>
      </c>
    </row>
    <row r="74" spans="1:7" x14ac:dyDescent="0.25">
      <c r="A74" s="13" t="s">
        <v>1930</v>
      </c>
      <c r="B74" s="13">
        <v>1702</v>
      </c>
      <c r="C74" s="14" t="str">
        <f>+VLOOKUP(B74,[1]LISTE!$A$1:$D$431,4,FALSE)</f>
        <v>JAIET WALID</v>
      </c>
      <c r="D74" s="15" t="s">
        <v>47</v>
      </c>
      <c r="E74" s="15">
        <v>45847</v>
      </c>
      <c r="F74" s="14" t="s">
        <v>23</v>
      </c>
      <c r="G74" s="16">
        <v>45</v>
      </c>
    </row>
    <row r="75" spans="1:7" x14ac:dyDescent="0.25">
      <c r="A75" s="13" t="s">
        <v>1930</v>
      </c>
      <c r="B75" s="13">
        <v>1702</v>
      </c>
      <c r="C75" s="14" t="str">
        <f>+VLOOKUP(B75,[1]LISTE!$A$1:$D$431,4,FALSE)</f>
        <v>JAIET WALID</v>
      </c>
      <c r="D75" s="14" t="s">
        <v>47</v>
      </c>
      <c r="E75" s="15">
        <v>45847</v>
      </c>
      <c r="F75" s="14" t="s">
        <v>20</v>
      </c>
      <c r="G75" s="16">
        <v>96.807000000000002</v>
      </c>
    </row>
    <row r="76" spans="1:7" x14ac:dyDescent="0.25">
      <c r="A76" s="13" t="s">
        <v>1931</v>
      </c>
      <c r="B76" s="13">
        <v>1702</v>
      </c>
      <c r="C76" s="14" t="str">
        <f>+VLOOKUP(B76,[1]LISTE!$A$1:$D$431,4,FALSE)</f>
        <v>JAIET WALID</v>
      </c>
      <c r="D76" s="15" t="s">
        <v>22</v>
      </c>
      <c r="E76" s="15">
        <v>45847</v>
      </c>
      <c r="F76" s="14" t="s">
        <v>23</v>
      </c>
      <c r="G76" s="16">
        <v>45</v>
      </c>
    </row>
    <row r="77" spans="1:7" x14ac:dyDescent="0.25">
      <c r="A77" s="13" t="s">
        <v>1931</v>
      </c>
      <c r="B77" s="13">
        <v>1702</v>
      </c>
      <c r="C77" s="14" t="str">
        <f>+VLOOKUP(B77,[1]LISTE!$A$1:$D$431,4,FALSE)</f>
        <v>JAIET WALID</v>
      </c>
      <c r="D77" s="14" t="s">
        <v>22</v>
      </c>
      <c r="E77" s="15">
        <v>45847</v>
      </c>
      <c r="F77" s="14" t="s">
        <v>20</v>
      </c>
      <c r="G77" s="16">
        <v>64.543999999999997</v>
      </c>
    </row>
    <row r="78" spans="1:7" x14ac:dyDescent="0.25">
      <c r="A78" s="13" t="s">
        <v>1932</v>
      </c>
      <c r="B78" s="13">
        <v>1702</v>
      </c>
      <c r="C78" s="14" t="str">
        <f>+VLOOKUP(B78,[1]LISTE!$A$1:$D$431,4,FALSE)</f>
        <v>JAIET WALID</v>
      </c>
      <c r="D78" s="14" t="s">
        <v>298</v>
      </c>
      <c r="E78" s="15">
        <v>45852</v>
      </c>
      <c r="F78" s="14" t="s">
        <v>23</v>
      </c>
      <c r="G78" s="16">
        <v>45</v>
      </c>
    </row>
    <row r="79" spans="1:7" x14ac:dyDescent="0.25">
      <c r="A79" s="13" t="s">
        <v>1932</v>
      </c>
      <c r="B79" s="13">
        <v>1702</v>
      </c>
      <c r="C79" s="14" t="str">
        <f>+VLOOKUP(B79,[1]LISTE!$A$1:$D$431,4,FALSE)</f>
        <v>JAIET WALID</v>
      </c>
      <c r="D79" s="15" t="s">
        <v>298</v>
      </c>
      <c r="E79" s="15">
        <v>45852</v>
      </c>
      <c r="F79" s="14" t="s">
        <v>20</v>
      </c>
      <c r="G79" s="16">
        <v>75.840999999999994</v>
      </c>
    </row>
    <row r="80" spans="1:7" x14ac:dyDescent="0.25">
      <c r="A80" s="13" t="s">
        <v>1933</v>
      </c>
      <c r="B80" s="13">
        <v>1702</v>
      </c>
      <c r="C80" s="14" t="str">
        <f>+VLOOKUP(B80,[1]LISTE!$A$1:$D$431,4,FALSE)</f>
        <v>JAIET WALID</v>
      </c>
      <c r="D80" s="14" t="s">
        <v>151</v>
      </c>
      <c r="E80" s="15">
        <v>45848</v>
      </c>
      <c r="F80" s="14" t="s">
        <v>23</v>
      </c>
      <c r="G80" s="16">
        <v>45</v>
      </c>
    </row>
    <row r="81" spans="1:7" x14ac:dyDescent="0.25">
      <c r="A81" s="13" t="s">
        <v>1933</v>
      </c>
      <c r="B81" s="13">
        <v>1702</v>
      </c>
      <c r="C81" s="14" t="str">
        <f>+VLOOKUP(B81,[1]LISTE!$A$1:$D$431,4,FALSE)</f>
        <v>JAIET WALID</v>
      </c>
      <c r="D81" s="14" t="s">
        <v>151</v>
      </c>
      <c r="E81" s="15">
        <v>45848</v>
      </c>
      <c r="F81" s="14" t="s">
        <v>20</v>
      </c>
      <c r="G81" s="16">
        <v>72.626999999999995</v>
      </c>
    </row>
    <row r="82" spans="1:7" x14ac:dyDescent="0.25">
      <c r="A82" s="13" t="s">
        <v>1975</v>
      </c>
      <c r="B82" s="13">
        <v>1704</v>
      </c>
      <c r="C82" s="14" t="str">
        <f>+VLOOKUP(B82,[1]LISTE!$A$1:$D$431,4,FALSE)</f>
        <v>EL GAZZAH RIADH</v>
      </c>
      <c r="D82" s="14" t="s">
        <v>198</v>
      </c>
      <c r="E82" s="15">
        <v>45853</v>
      </c>
      <c r="F82" s="14" t="s">
        <v>18</v>
      </c>
      <c r="G82" s="16">
        <v>30</v>
      </c>
    </row>
    <row r="83" spans="1:7" x14ac:dyDescent="0.25">
      <c r="A83" s="13" t="s">
        <v>1975</v>
      </c>
      <c r="B83" s="13">
        <v>1704</v>
      </c>
      <c r="C83" s="14" t="str">
        <f>+VLOOKUP(B83,[1]LISTE!$A$1:$D$431,4,FALSE)</f>
        <v>EL GAZZAH RIADH</v>
      </c>
      <c r="D83" s="14" t="s">
        <v>198</v>
      </c>
      <c r="E83" s="15">
        <v>45855</v>
      </c>
      <c r="F83" s="14" t="s">
        <v>69</v>
      </c>
      <c r="G83" s="16">
        <v>120</v>
      </c>
    </row>
    <row r="84" spans="1:7" x14ac:dyDescent="0.25">
      <c r="A84" s="13" t="s">
        <v>1976</v>
      </c>
      <c r="B84" s="13">
        <v>1704</v>
      </c>
      <c r="C84" s="14" t="str">
        <f>+VLOOKUP(B84,[1]LISTE!$A$1:$D$431,4,FALSE)</f>
        <v>EL GAZZAH RIADH</v>
      </c>
      <c r="D84" s="14" t="s">
        <v>486</v>
      </c>
      <c r="E84" s="15">
        <v>45853</v>
      </c>
      <c r="F84" s="14" t="s">
        <v>18</v>
      </c>
      <c r="G84" s="16">
        <v>30</v>
      </c>
    </row>
    <row r="85" spans="1:7" x14ac:dyDescent="0.25">
      <c r="A85" s="13" t="s">
        <v>1976</v>
      </c>
      <c r="B85" s="13">
        <v>1704</v>
      </c>
      <c r="C85" s="14" t="str">
        <f>+VLOOKUP(B85,[1]LISTE!$A$1:$D$431,4,FALSE)</f>
        <v>EL GAZZAH RIADH</v>
      </c>
      <c r="D85" s="14" t="s">
        <v>486</v>
      </c>
      <c r="E85" s="15">
        <v>45855</v>
      </c>
      <c r="F85" s="14" t="s">
        <v>69</v>
      </c>
      <c r="G85" s="16">
        <v>120</v>
      </c>
    </row>
    <row r="86" spans="1:7" x14ac:dyDescent="0.25">
      <c r="A86" s="13" t="s">
        <v>2022</v>
      </c>
      <c r="B86" s="13">
        <v>1704</v>
      </c>
      <c r="C86" s="14" t="str">
        <f>+VLOOKUP(B86,[1]LISTE!$A$1:$D$431,4,FALSE)</f>
        <v>EL GAZZAH RIADH</v>
      </c>
      <c r="D86" s="14" t="s">
        <v>22</v>
      </c>
      <c r="E86" s="15">
        <v>45862</v>
      </c>
      <c r="F86" s="14" t="s">
        <v>18</v>
      </c>
      <c r="G86" s="16">
        <v>20</v>
      </c>
    </row>
    <row r="87" spans="1:7" x14ac:dyDescent="0.25">
      <c r="A87" s="13" t="s">
        <v>2022</v>
      </c>
      <c r="B87" s="13">
        <v>1704</v>
      </c>
      <c r="C87" s="14" t="str">
        <f>+VLOOKUP(B87,[1]LISTE!$A$1:$D$431,4,FALSE)</f>
        <v>EL GAZZAH RIADH</v>
      </c>
      <c r="D87" s="14" t="s">
        <v>22</v>
      </c>
      <c r="E87" s="15">
        <v>45862</v>
      </c>
      <c r="F87" s="14" t="s">
        <v>20</v>
      </c>
      <c r="G87" s="16">
        <v>156.72</v>
      </c>
    </row>
    <row r="88" spans="1:7" x14ac:dyDescent="0.25">
      <c r="A88" s="13" t="s">
        <v>2022</v>
      </c>
      <c r="B88" s="13">
        <v>1704</v>
      </c>
      <c r="C88" s="14" t="str">
        <f>+VLOOKUP(B88,[1]LISTE!$A$1:$D$431,4,FALSE)</f>
        <v>EL GAZZAH RIADH</v>
      </c>
      <c r="D88" s="15" t="s">
        <v>22</v>
      </c>
      <c r="E88" s="15">
        <v>45862</v>
      </c>
      <c r="F88" s="14" t="s">
        <v>20</v>
      </c>
      <c r="G88" s="16">
        <v>41.753999999999998</v>
      </c>
    </row>
    <row r="89" spans="1:7" x14ac:dyDescent="0.25">
      <c r="A89" s="13" t="s">
        <v>1961</v>
      </c>
      <c r="B89" s="13">
        <v>1706</v>
      </c>
      <c r="C89" s="14" t="str">
        <f>+VLOOKUP(B89,[1]LISTE!$A$1:$D$431,4,FALSE)</f>
        <v>GRIRA LOKHDHIRI FREDJ</v>
      </c>
      <c r="D89" s="15" t="s">
        <v>212</v>
      </c>
      <c r="E89" s="15">
        <v>45854</v>
      </c>
      <c r="F89" s="14" t="s">
        <v>23</v>
      </c>
      <c r="G89" s="16">
        <v>45</v>
      </c>
    </row>
    <row r="90" spans="1:7" x14ac:dyDescent="0.25">
      <c r="A90" s="13" t="s">
        <v>1961</v>
      </c>
      <c r="B90" s="13">
        <v>1706</v>
      </c>
      <c r="C90" s="14" t="str">
        <f>+VLOOKUP(B90,[1]LISTE!$A$1:$D$431,4,FALSE)</f>
        <v>GRIRA LOKHDHIRI FREDJ</v>
      </c>
      <c r="D90" s="15" t="s">
        <v>212</v>
      </c>
      <c r="E90" s="15">
        <v>45854</v>
      </c>
      <c r="F90" s="14" t="s">
        <v>20</v>
      </c>
      <c r="G90" s="16">
        <v>16.465</v>
      </c>
    </row>
    <row r="91" spans="1:7" x14ac:dyDescent="0.25">
      <c r="A91" s="13" t="s">
        <v>1946</v>
      </c>
      <c r="B91" s="13">
        <v>1713</v>
      </c>
      <c r="C91" s="14" t="s">
        <v>1947</v>
      </c>
      <c r="D91" s="14" t="s">
        <v>22</v>
      </c>
      <c r="E91" s="15">
        <v>45855</v>
      </c>
      <c r="F91" s="14" t="s">
        <v>18</v>
      </c>
      <c r="G91" s="16">
        <v>60</v>
      </c>
    </row>
    <row r="92" spans="1:7" x14ac:dyDescent="0.25">
      <c r="A92" s="13" t="s">
        <v>1946</v>
      </c>
      <c r="B92" s="13">
        <v>1713</v>
      </c>
      <c r="C92" s="14" t="s">
        <v>1947</v>
      </c>
      <c r="D92" s="14" t="s">
        <v>22</v>
      </c>
      <c r="E92" s="15">
        <v>45857</v>
      </c>
      <c r="F92" s="14" t="s">
        <v>20</v>
      </c>
      <c r="G92" s="16">
        <v>27.23</v>
      </c>
    </row>
    <row r="93" spans="1:7" x14ac:dyDescent="0.25">
      <c r="A93" s="13" t="s">
        <v>1919</v>
      </c>
      <c r="B93" s="13">
        <v>1714</v>
      </c>
      <c r="C93" s="14" t="str">
        <f>+VLOOKUP(B93,[1]LISTE!$A$1:$D$431,4,FALSE)</f>
        <v>MATHLOUTHI MONDHER</v>
      </c>
      <c r="D93" s="14" t="s">
        <v>22</v>
      </c>
      <c r="E93" s="15">
        <v>45845</v>
      </c>
      <c r="F93" s="14" t="s">
        <v>23</v>
      </c>
      <c r="G93" s="16">
        <v>45</v>
      </c>
    </row>
    <row r="94" spans="1:7" x14ac:dyDescent="0.25">
      <c r="A94" s="13" t="s">
        <v>1919</v>
      </c>
      <c r="B94" s="13">
        <v>1714</v>
      </c>
      <c r="C94" s="14" t="str">
        <f>+VLOOKUP(B94,[1]LISTE!$A$1:$D$431,4,FALSE)</f>
        <v>MATHLOUTHI MONDHER</v>
      </c>
      <c r="D94" s="14" t="s">
        <v>22</v>
      </c>
      <c r="E94" s="15">
        <v>45845</v>
      </c>
      <c r="F94" s="14" t="s">
        <v>20</v>
      </c>
      <c r="G94" s="16">
        <v>164.98</v>
      </c>
    </row>
    <row r="95" spans="1:7" x14ac:dyDescent="0.25">
      <c r="A95" s="13" t="s">
        <v>1934</v>
      </c>
      <c r="B95" s="13">
        <v>1714</v>
      </c>
      <c r="C95" s="14" t="str">
        <f>+VLOOKUP(B95,[1]LISTE!$A$1:$D$431,4,FALSE)</f>
        <v>MATHLOUTHI MONDHER</v>
      </c>
      <c r="D95" s="14" t="s">
        <v>22</v>
      </c>
      <c r="E95" s="15">
        <v>45847</v>
      </c>
      <c r="F95" s="14" t="s">
        <v>18</v>
      </c>
      <c r="G95" s="16">
        <v>70</v>
      </c>
    </row>
    <row r="96" spans="1:7" x14ac:dyDescent="0.25">
      <c r="A96" s="13" t="s">
        <v>1934</v>
      </c>
      <c r="B96" s="13">
        <v>1714</v>
      </c>
      <c r="C96" s="14" t="str">
        <f>+VLOOKUP(B96,[1]LISTE!$A$1:$D$431,4,FALSE)</f>
        <v>MATHLOUTHI MONDHER</v>
      </c>
      <c r="D96" s="15" t="s">
        <v>22</v>
      </c>
      <c r="E96" s="15">
        <v>45848</v>
      </c>
      <c r="F96" s="14" t="s">
        <v>20</v>
      </c>
      <c r="G96" s="16">
        <v>36.820999999999998</v>
      </c>
    </row>
    <row r="97" spans="1:7" x14ac:dyDescent="0.25">
      <c r="A97" s="13" t="s">
        <v>1934</v>
      </c>
      <c r="B97" s="13">
        <v>1714</v>
      </c>
      <c r="C97" s="14" t="str">
        <f>+VLOOKUP(B97,[1]LISTE!$A$1:$D$431,4,FALSE)</f>
        <v>MATHLOUTHI MONDHER</v>
      </c>
      <c r="D97" s="15" t="s">
        <v>22</v>
      </c>
      <c r="E97" s="15">
        <v>45852</v>
      </c>
      <c r="F97" s="14" t="s">
        <v>69</v>
      </c>
      <c r="G97" s="16">
        <v>520</v>
      </c>
    </row>
    <row r="98" spans="1:7" x14ac:dyDescent="0.25">
      <c r="A98" s="13" t="s">
        <v>2010</v>
      </c>
      <c r="B98" s="13">
        <v>1714</v>
      </c>
      <c r="C98" s="14" t="str">
        <f>+VLOOKUP(B98,[1]LISTE!$A$1:$D$431,4,FALSE)</f>
        <v>MATHLOUTHI MONDHER</v>
      </c>
      <c r="D98" s="15" t="s">
        <v>2011</v>
      </c>
      <c r="E98" s="15">
        <v>45862</v>
      </c>
      <c r="F98" s="14" t="s">
        <v>23</v>
      </c>
      <c r="G98" s="16">
        <v>45</v>
      </c>
    </row>
    <row r="99" spans="1:7" x14ac:dyDescent="0.25">
      <c r="A99" s="13" t="s">
        <v>2010</v>
      </c>
      <c r="B99" s="13">
        <v>1714</v>
      </c>
      <c r="C99" s="14" t="str">
        <f>+VLOOKUP(B99,[1]LISTE!$A$1:$D$431,4,FALSE)</f>
        <v>MATHLOUTHI MONDHER</v>
      </c>
      <c r="D99" s="15" t="s">
        <v>2011</v>
      </c>
      <c r="E99" s="15">
        <v>45862</v>
      </c>
      <c r="F99" s="14" t="s">
        <v>20</v>
      </c>
      <c r="G99" s="16">
        <v>47.494999999999997</v>
      </c>
    </row>
    <row r="100" spans="1:7" x14ac:dyDescent="0.25">
      <c r="A100" s="13" t="s">
        <v>2010</v>
      </c>
      <c r="B100" s="13">
        <v>1714</v>
      </c>
      <c r="C100" s="14" t="str">
        <f>+VLOOKUP(B100,[1]LISTE!$A$1:$D$431,4,FALSE)</f>
        <v>MATHLOUTHI MONDHER</v>
      </c>
      <c r="D100" s="15" t="s">
        <v>2011</v>
      </c>
      <c r="E100" s="15">
        <v>45862</v>
      </c>
      <c r="F100" s="14" t="s">
        <v>65</v>
      </c>
      <c r="G100" s="16">
        <v>6</v>
      </c>
    </row>
    <row r="101" spans="1:7" x14ac:dyDescent="0.25">
      <c r="A101" s="13" t="s">
        <v>1939</v>
      </c>
      <c r="B101" s="13">
        <v>1728</v>
      </c>
      <c r="C101" s="14" t="str">
        <f>+VLOOKUP(B101,[1]LISTE!$A$1:$D$431,4,FALSE)</f>
        <v>SLAMA DHAFER</v>
      </c>
      <c r="D101" s="14" t="s">
        <v>1365</v>
      </c>
      <c r="E101" s="15">
        <v>45850</v>
      </c>
      <c r="F101" s="14" t="s">
        <v>18</v>
      </c>
      <c r="G101" s="16">
        <v>70</v>
      </c>
    </row>
    <row r="102" spans="1:7" x14ac:dyDescent="0.25">
      <c r="A102" s="13" t="s">
        <v>1939</v>
      </c>
      <c r="B102" s="13">
        <v>1728</v>
      </c>
      <c r="C102" s="14" t="str">
        <f>+VLOOKUP(B102,[1]LISTE!$A$1:$D$431,4,FALSE)</f>
        <v>SLAMA DHAFER</v>
      </c>
      <c r="D102" s="14" t="s">
        <v>1365</v>
      </c>
      <c r="E102" s="15">
        <v>45850</v>
      </c>
      <c r="F102" s="14" t="s">
        <v>20</v>
      </c>
      <c r="G102" s="16">
        <v>6.82</v>
      </c>
    </row>
    <row r="103" spans="1:7" x14ac:dyDescent="0.25">
      <c r="A103" s="13" t="s">
        <v>1948</v>
      </c>
      <c r="B103" s="13">
        <v>1728</v>
      </c>
      <c r="C103" s="14" t="str">
        <f>+VLOOKUP(B103,[1]LISTE!$A$1:$D$431,4,FALSE)</f>
        <v>SLAMA DHAFER</v>
      </c>
      <c r="D103" s="14" t="s">
        <v>1365</v>
      </c>
      <c r="E103" s="15">
        <v>45856</v>
      </c>
      <c r="F103" s="14" t="s">
        <v>363</v>
      </c>
      <c r="G103" s="16">
        <v>100</v>
      </c>
    </row>
    <row r="104" spans="1:7" x14ac:dyDescent="0.25">
      <c r="A104" s="13" t="s">
        <v>1948</v>
      </c>
      <c r="B104" s="13">
        <v>1728</v>
      </c>
      <c r="C104" s="14" t="str">
        <f>+VLOOKUP(B104,[1]LISTE!$A$1:$D$431,4,FALSE)</f>
        <v>SLAMA DHAFER</v>
      </c>
      <c r="D104" s="14" t="s">
        <v>1365</v>
      </c>
      <c r="E104" s="15">
        <v>45856</v>
      </c>
      <c r="F104" s="14" t="s">
        <v>363</v>
      </c>
      <c r="G104" s="16">
        <v>800</v>
      </c>
    </row>
    <row r="105" spans="1:7" x14ac:dyDescent="0.25">
      <c r="A105" s="13" t="s">
        <v>1948</v>
      </c>
      <c r="B105" s="13">
        <v>1728</v>
      </c>
      <c r="C105" s="14" t="str">
        <f>+VLOOKUP(B105,[1]LISTE!$A$1:$D$431,4,FALSE)</f>
        <v>SLAMA DHAFER</v>
      </c>
      <c r="D105" s="15" t="s">
        <v>1365</v>
      </c>
      <c r="E105" s="15">
        <v>45856</v>
      </c>
      <c r="F105" s="14" t="s">
        <v>20</v>
      </c>
      <c r="G105" s="16">
        <v>48.945</v>
      </c>
    </row>
    <row r="106" spans="1:7" x14ac:dyDescent="0.25">
      <c r="A106" s="13" t="s">
        <v>1948</v>
      </c>
      <c r="B106" s="13">
        <v>1728</v>
      </c>
      <c r="C106" s="14" t="str">
        <f>+VLOOKUP(B106,[1]LISTE!$A$1:$D$431,4,FALSE)</f>
        <v>SLAMA DHAFER</v>
      </c>
      <c r="D106" s="14" t="s">
        <v>1365</v>
      </c>
      <c r="E106" s="15">
        <v>45856</v>
      </c>
      <c r="F106" s="14" t="s">
        <v>364</v>
      </c>
      <c r="G106" s="16">
        <v>369.33</v>
      </c>
    </row>
    <row r="107" spans="1:7" x14ac:dyDescent="0.25">
      <c r="A107" s="13" t="s">
        <v>1949</v>
      </c>
      <c r="B107" s="13">
        <v>1728</v>
      </c>
      <c r="C107" s="14" t="str">
        <f>+VLOOKUP(B107,[1]LISTE!$A$1:$D$431,4,FALSE)</f>
        <v>SLAMA DHAFER</v>
      </c>
      <c r="D107" s="15" t="s">
        <v>1365</v>
      </c>
      <c r="E107" s="15">
        <v>45836</v>
      </c>
      <c r="F107" s="14" t="s">
        <v>18</v>
      </c>
      <c r="G107" s="16">
        <v>70</v>
      </c>
    </row>
    <row r="108" spans="1:7" x14ac:dyDescent="0.25">
      <c r="A108" s="13" t="s">
        <v>1949</v>
      </c>
      <c r="B108" s="13">
        <v>1728</v>
      </c>
      <c r="C108" s="14" t="str">
        <f>+VLOOKUP(B108,[1]LISTE!$A$1:$D$431,4,FALSE)</f>
        <v>SLAMA DHAFER</v>
      </c>
      <c r="D108" s="14" t="s">
        <v>1365</v>
      </c>
      <c r="E108" s="15">
        <v>45836</v>
      </c>
      <c r="F108" s="14" t="s">
        <v>20</v>
      </c>
      <c r="G108" s="16">
        <v>6.82</v>
      </c>
    </row>
    <row r="109" spans="1:7" x14ac:dyDescent="0.25">
      <c r="A109" s="13" t="s">
        <v>1929</v>
      </c>
      <c r="B109" s="13">
        <v>1740</v>
      </c>
      <c r="C109" s="14" t="str">
        <f>+VLOOKUP(B109,[1]LISTE!$A$1:$D$431,4,FALSE)</f>
        <v>YOUSSEF LOTFI</v>
      </c>
      <c r="D109" s="15" t="s">
        <v>22</v>
      </c>
      <c r="E109" s="15">
        <v>45850</v>
      </c>
      <c r="F109" s="14" t="s">
        <v>18</v>
      </c>
      <c r="G109" s="16">
        <v>70</v>
      </c>
    </row>
    <row r="110" spans="1:7" x14ac:dyDescent="0.25">
      <c r="A110" s="13" t="s">
        <v>1929</v>
      </c>
      <c r="B110" s="13">
        <v>1740</v>
      </c>
      <c r="C110" s="14" t="str">
        <f>+VLOOKUP(B110,[1]LISTE!$A$1:$D$431,4,FALSE)</f>
        <v>YOUSSEF LOTFI</v>
      </c>
      <c r="D110" s="15" t="s">
        <v>22</v>
      </c>
      <c r="E110" s="15">
        <v>45852</v>
      </c>
      <c r="F110" s="14" t="s">
        <v>20</v>
      </c>
      <c r="G110" s="16">
        <v>8.66</v>
      </c>
    </row>
    <row r="111" spans="1:7" x14ac:dyDescent="0.25">
      <c r="A111" s="13" t="s">
        <v>1964</v>
      </c>
      <c r="B111" s="13">
        <v>1740</v>
      </c>
      <c r="C111" s="14" t="str">
        <f>+VLOOKUP(B111,[1]LISTE!$A$1:$D$431,4,FALSE)</f>
        <v>YOUSSEF LOTFI</v>
      </c>
      <c r="D111" s="14" t="s">
        <v>22</v>
      </c>
      <c r="E111" s="15">
        <v>45755</v>
      </c>
      <c r="F111" s="14" t="s">
        <v>20</v>
      </c>
      <c r="G111" s="16">
        <v>3.11</v>
      </c>
    </row>
    <row r="112" spans="1:7" x14ac:dyDescent="0.25">
      <c r="A112" s="13" t="s">
        <v>1964</v>
      </c>
      <c r="B112" s="13">
        <v>1740</v>
      </c>
      <c r="C112" s="14" t="str">
        <f>+VLOOKUP(B112,[1]LISTE!$A$1:$D$431,4,FALSE)</f>
        <v>YOUSSEF LOTFI</v>
      </c>
      <c r="D112" s="14" t="s">
        <v>22</v>
      </c>
      <c r="E112" s="15">
        <v>45797</v>
      </c>
      <c r="F112" s="14" t="s">
        <v>65</v>
      </c>
      <c r="G112" s="16">
        <v>240</v>
      </c>
    </row>
    <row r="113" spans="1:7" x14ac:dyDescent="0.25">
      <c r="A113" s="13" t="s">
        <v>1926</v>
      </c>
      <c r="B113" s="13">
        <v>1760</v>
      </c>
      <c r="C113" s="14" t="str">
        <f>+VLOOKUP(B113,[1]LISTE!$A$1:$D$431,4,FALSE)</f>
        <v>SASSI SAMIR</v>
      </c>
      <c r="D113" s="14" t="s">
        <v>75</v>
      </c>
      <c r="E113" s="15">
        <v>45854</v>
      </c>
      <c r="F113" s="14" t="s">
        <v>23</v>
      </c>
      <c r="G113" s="16">
        <v>40</v>
      </c>
    </row>
    <row r="114" spans="1:7" x14ac:dyDescent="0.25">
      <c r="A114" s="13" t="s">
        <v>1926</v>
      </c>
      <c r="B114" s="13">
        <v>1760</v>
      </c>
      <c r="C114" s="14" t="str">
        <f>+VLOOKUP(B114,[1]LISTE!$A$1:$D$431,4,FALSE)</f>
        <v>SASSI SAMIR</v>
      </c>
      <c r="D114" s="14" t="s">
        <v>75</v>
      </c>
      <c r="E114" s="15">
        <v>45854</v>
      </c>
      <c r="F114" s="14" t="s">
        <v>20</v>
      </c>
      <c r="G114" s="16">
        <v>17.87</v>
      </c>
    </row>
    <row r="115" spans="1:7" x14ac:dyDescent="0.25">
      <c r="A115" s="13" t="s">
        <v>1910</v>
      </c>
      <c r="B115" s="13">
        <v>1768</v>
      </c>
      <c r="C115" s="14" t="str">
        <f>+VLOOKUP(B115,[1]LISTE!$A$1:$D$431,4,FALSE)</f>
        <v>LADJIMI MAHER</v>
      </c>
      <c r="D115" s="14" t="s">
        <v>206</v>
      </c>
      <c r="E115" s="15">
        <v>45848</v>
      </c>
      <c r="F115" s="14" t="s">
        <v>18</v>
      </c>
      <c r="G115" s="16">
        <v>30</v>
      </c>
    </row>
    <row r="116" spans="1:7" x14ac:dyDescent="0.25">
      <c r="A116" s="13" t="s">
        <v>1910</v>
      </c>
      <c r="B116" s="13">
        <v>1768</v>
      </c>
      <c r="C116" s="14" t="str">
        <f>+VLOOKUP(B116,[1]LISTE!$A$1:$D$431,4,FALSE)</f>
        <v>LADJIMI MAHER</v>
      </c>
      <c r="D116" s="14" t="s">
        <v>206</v>
      </c>
      <c r="E116" s="15">
        <v>45849</v>
      </c>
      <c r="F116" s="14" t="s">
        <v>20</v>
      </c>
      <c r="G116" s="16">
        <v>52.45</v>
      </c>
    </row>
    <row r="117" spans="1:7" x14ac:dyDescent="0.25">
      <c r="A117" s="13" t="s">
        <v>1937</v>
      </c>
      <c r="B117" s="13">
        <v>1768</v>
      </c>
      <c r="C117" s="14" t="str">
        <f>+VLOOKUP(B117,[1]LISTE!$A$1:$D$431,4,FALSE)</f>
        <v>LADJIMI MAHER</v>
      </c>
      <c r="D117" s="14" t="s">
        <v>22</v>
      </c>
      <c r="E117" s="15">
        <v>45853</v>
      </c>
      <c r="F117" s="14" t="s">
        <v>18</v>
      </c>
      <c r="G117" s="16">
        <v>70</v>
      </c>
    </row>
    <row r="118" spans="1:7" x14ac:dyDescent="0.25">
      <c r="A118" s="13" t="s">
        <v>1937</v>
      </c>
      <c r="B118" s="13">
        <v>1768</v>
      </c>
      <c r="C118" s="14" t="str">
        <f>+VLOOKUP(B118,[1]LISTE!$A$1:$D$431,4,FALSE)</f>
        <v>LADJIMI MAHER</v>
      </c>
      <c r="D118" s="15" t="s">
        <v>22</v>
      </c>
      <c r="E118" s="15">
        <v>45794</v>
      </c>
      <c r="F118" s="14" t="s">
        <v>20</v>
      </c>
      <c r="G118" s="16">
        <v>18.835000000000001</v>
      </c>
    </row>
    <row r="119" spans="1:7" x14ac:dyDescent="0.25">
      <c r="A119" s="13" t="s">
        <v>1936</v>
      </c>
      <c r="B119" s="13">
        <v>1784</v>
      </c>
      <c r="C119" s="14" t="str">
        <f>+VLOOKUP(B119,[1]LISTE!$A$1:$D$431,4,FALSE)</f>
        <v>LAYOUNI KHALED</v>
      </c>
      <c r="D119" s="14" t="s">
        <v>22</v>
      </c>
      <c r="E119" s="15">
        <v>45849</v>
      </c>
      <c r="F119" s="14" t="s">
        <v>18</v>
      </c>
      <c r="G119" s="16">
        <v>60</v>
      </c>
    </row>
    <row r="120" spans="1:7" x14ac:dyDescent="0.25">
      <c r="A120" s="13" t="s">
        <v>1936</v>
      </c>
      <c r="B120" s="13">
        <v>1784</v>
      </c>
      <c r="C120" s="14" t="str">
        <f>+VLOOKUP(B120,[1]LISTE!$A$1:$D$431,4,FALSE)</f>
        <v>LAYOUNI KHALED</v>
      </c>
      <c r="D120" s="14" t="s">
        <v>22</v>
      </c>
      <c r="E120" s="15">
        <v>45849</v>
      </c>
      <c r="F120" s="14" t="s">
        <v>20</v>
      </c>
      <c r="G120" s="16">
        <v>60.183999999999997</v>
      </c>
    </row>
    <row r="121" spans="1:7" x14ac:dyDescent="0.25">
      <c r="A121" s="13" t="s">
        <v>1979</v>
      </c>
      <c r="B121" s="13">
        <v>1784</v>
      </c>
      <c r="C121" s="14" t="str">
        <f>+VLOOKUP(B121,[1]LISTE!$A$1:$D$431,4,FALSE)</f>
        <v>LAYOUNI KHALED</v>
      </c>
      <c r="D121" s="14" t="s">
        <v>907</v>
      </c>
      <c r="E121" s="15">
        <v>45852</v>
      </c>
      <c r="F121" s="14" t="s">
        <v>23</v>
      </c>
      <c r="G121" s="16">
        <v>50</v>
      </c>
    </row>
    <row r="122" spans="1:7" x14ac:dyDescent="0.25">
      <c r="A122" s="13" t="s">
        <v>1979</v>
      </c>
      <c r="B122" s="13">
        <v>1784</v>
      </c>
      <c r="C122" s="14" t="str">
        <f>+VLOOKUP(B122,[1]LISTE!$A$1:$D$431,4,FALSE)</f>
        <v>LAYOUNI KHALED</v>
      </c>
      <c r="D122" s="14" t="s">
        <v>907</v>
      </c>
      <c r="E122" s="15">
        <v>45852</v>
      </c>
      <c r="F122" s="14" t="s">
        <v>20</v>
      </c>
      <c r="G122" s="16">
        <v>18.57</v>
      </c>
    </row>
    <row r="123" spans="1:7" x14ac:dyDescent="0.25">
      <c r="A123" s="13" t="s">
        <v>1908</v>
      </c>
      <c r="B123" s="13">
        <v>1789</v>
      </c>
      <c r="C123" s="14" t="str">
        <f>+VLOOKUP(B123,[1]LISTE!$A$1:$D$431,4,FALSE)</f>
        <v>CHIHI MOHAMED SALAH</v>
      </c>
      <c r="D123" s="14" t="s">
        <v>37</v>
      </c>
      <c r="E123" s="15">
        <v>45850</v>
      </c>
      <c r="F123" s="14" t="s">
        <v>18</v>
      </c>
      <c r="G123" s="16">
        <v>30</v>
      </c>
    </row>
    <row r="124" spans="1:7" x14ac:dyDescent="0.25">
      <c r="A124" s="13" t="s">
        <v>1908</v>
      </c>
      <c r="B124" s="13">
        <v>1789</v>
      </c>
      <c r="C124" s="14" t="str">
        <f>+VLOOKUP(B124,[1]LISTE!$A$1:$D$431,4,FALSE)</f>
        <v>CHIHI MOHAMED SALAH</v>
      </c>
      <c r="D124" s="14" t="s">
        <v>37</v>
      </c>
      <c r="E124" s="15">
        <v>45850</v>
      </c>
      <c r="F124" s="14" t="s">
        <v>20</v>
      </c>
      <c r="G124" s="16">
        <v>11.365</v>
      </c>
    </row>
    <row r="125" spans="1:7" x14ac:dyDescent="0.25">
      <c r="A125" s="13" t="s">
        <v>1911</v>
      </c>
      <c r="B125" s="13">
        <v>1795</v>
      </c>
      <c r="C125" s="14" t="str">
        <f>+VLOOKUP(B125,[1]LISTE!$A$1:$D$431,4,FALSE)</f>
        <v>SOUA MOHAMED</v>
      </c>
      <c r="D125" s="14" t="s">
        <v>245</v>
      </c>
      <c r="E125" s="15">
        <v>45842</v>
      </c>
      <c r="F125" s="14" t="s">
        <v>363</v>
      </c>
      <c r="G125" s="16">
        <v>700</v>
      </c>
    </row>
    <row r="126" spans="1:7" x14ac:dyDescent="0.25">
      <c r="A126" s="13" t="s">
        <v>1911</v>
      </c>
      <c r="B126" s="13">
        <v>1795</v>
      </c>
      <c r="C126" s="14" t="str">
        <f>+VLOOKUP(B126,[1]LISTE!$A$1:$D$431,4,FALSE)</f>
        <v>SOUA MOHAMED</v>
      </c>
      <c r="D126" s="15" t="s">
        <v>245</v>
      </c>
      <c r="E126" s="15">
        <v>45842</v>
      </c>
      <c r="F126" s="14" t="s">
        <v>20</v>
      </c>
      <c r="G126" s="16">
        <v>50.505000000000003</v>
      </c>
    </row>
    <row r="127" spans="1:7" x14ac:dyDescent="0.25">
      <c r="A127" s="13" t="s">
        <v>1927</v>
      </c>
      <c r="B127" s="13">
        <v>1795</v>
      </c>
      <c r="C127" s="14" t="str">
        <f>+VLOOKUP(B127,[1]LISTE!$A$1:$D$431,4,FALSE)</f>
        <v>SOUA MOHAMED</v>
      </c>
      <c r="D127" s="15" t="s">
        <v>245</v>
      </c>
      <c r="E127" s="15">
        <v>45840</v>
      </c>
      <c r="F127" s="14" t="s">
        <v>21</v>
      </c>
      <c r="G127" s="16">
        <v>87</v>
      </c>
    </row>
    <row r="128" spans="1:7" x14ac:dyDescent="0.25">
      <c r="A128" s="13" t="s">
        <v>1950</v>
      </c>
      <c r="B128" s="13">
        <v>1795</v>
      </c>
      <c r="C128" s="14" t="str">
        <f>+VLOOKUP(B128,[1]LISTE!$A$1:$D$431,4,FALSE)</f>
        <v>SOUA MOHAMED</v>
      </c>
      <c r="D128" s="14" t="s">
        <v>1951</v>
      </c>
      <c r="E128" s="15">
        <v>45859</v>
      </c>
      <c r="F128" s="14" t="s">
        <v>23</v>
      </c>
      <c r="G128" s="16">
        <v>45</v>
      </c>
    </row>
    <row r="129" spans="1:7" x14ac:dyDescent="0.25">
      <c r="A129" s="13" t="s">
        <v>1950</v>
      </c>
      <c r="B129" s="13">
        <v>1795</v>
      </c>
      <c r="C129" s="14" t="str">
        <f>+VLOOKUP(B129,[1]LISTE!$A$1:$D$431,4,FALSE)</f>
        <v>SOUA MOHAMED</v>
      </c>
      <c r="D129" s="15" t="s">
        <v>1951</v>
      </c>
      <c r="E129" s="15">
        <v>45859</v>
      </c>
      <c r="F129" s="14" t="s">
        <v>20</v>
      </c>
      <c r="G129" s="16">
        <v>48.075000000000003</v>
      </c>
    </row>
    <row r="130" spans="1:7" x14ac:dyDescent="0.25">
      <c r="A130" s="13" t="s">
        <v>1916</v>
      </c>
      <c r="B130" s="13">
        <v>1796</v>
      </c>
      <c r="C130" s="14" t="str">
        <f>+VLOOKUP(B130,[1]LISTE!$A$1:$D$431,4,FALSE)</f>
        <v>BEL HADJ HASSINE IMED</v>
      </c>
      <c r="D130" s="15" t="s">
        <v>22</v>
      </c>
      <c r="E130" s="15">
        <v>45820</v>
      </c>
      <c r="F130" s="14" t="s">
        <v>18</v>
      </c>
      <c r="G130" s="16">
        <v>70</v>
      </c>
    </row>
    <row r="131" spans="1:7" x14ac:dyDescent="0.25">
      <c r="A131" s="13" t="s">
        <v>1916</v>
      </c>
      <c r="B131" s="13">
        <v>1796</v>
      </c>
      <c r="C131" s="14" t="str">
        <f>+VLOOKUP(B131,[1]LISTE!$A$1:$D$431,4,FALSE)</f>
        <v>BEL HADJ HASSINE IMED</v>
      </c>
      <c r="D131" s="15" t="s">
        <v>22</v>
      </c>
      <c r="E131" s="15">
        <v>45820</v>
      </c>
      <c r="F131" s="14" t="s">
        <v>20</v>
      </c>
      <c r="G131" s="16">
        <v>65.58</v>
      </c>
    </row>
    <row r="132" spans="1:7" x14ac:dyDescent="0.25">
      <c r="A132" s="13" t="s">
        <v>1972</v>
      </c>
      <c r="B132" s="13">
        <v>1801</v>
      </c>
      <c r="C132" s="14" t="str">
        <f>+VLOOKUP(B132,[1]LISTE!$A$1:$D$431,4,FALSE)</f>
        <v>MAHJOUB MOHAMED</v>
      </c>
      <c r="D132" s="15" t="s">
        <v>153</v>
      </c>
      <c r="E132" s="15">
        <v>45856</v>
      </c>
      <c r="F132" s="14" t="s">
        <v>23</v>
      </c>
      <c r="G132" s="16">
        <v>45</v>
      </c>
    </row>
    <row r="133" spans="1:7" x14ac:dyDescent="0.25">
      <c r="A133" s="13" t="s">
        <v>1972</v>
      </c>
      <c r="B133" s="13">
        <v>1801</v>
      </c>
      <c r="C133" s="14" t="str">
        <f>+VLOOKUP(B133,[1]LISTE!$A$1:$D$431,4,FALSE)</f>
        <v>MAHJOUB MOHAMED</v>
      </c>
      <c r="D133" s="14" t="s">
        <v>153</v>
      </c>
      <c r="E133" s="15">
        <v>45856</v>
      </c>
      <c r="F133" s="14" t="s">
        <v>20</v>
      </c>
      <c r="G133" s="16">
        <v>20.48</v>
      </c>
    </row>
    <row r="134" spans="1:7" x14ac:dyDescent="0.25">
      <c r="A134" s="13" t="s">
        <v>1981</v>
      </c>
      <c r="B134" s="13">
        <v>1819</v>
      </c>
      <c r="C134" s="14" t="str">
        <f>+VLOOKUP(B134,[1]LISTE!$A$1:$D$431,4,FALSE)</f>
        <v>SASSI MOHAMED WALID</v>
      </c>
      <c r="D134" s="15" t="s">
        <v>22</v>
      </c>
      <c r="E134" s="15">
        <v>45846</v>
      </c>
      <c r="F134" s="14" t="s">
        <v>23</v>
      </c>
      <c r="G134" s="16">
        <v>45</v>
      </c>
    </row>
    <row r="135" spans="1:7" x14ac:dyDescent="0.25">
      <c r="A135" s="13" t="s">
        <v>1981</v>
      </c>
      <c r="B135" s="13">
        <v>1819</v>
      </c>
      <c r="C135" s="14" t="str">
        <f>+VLOOKUP(B135,[1]LISTE!$A$1:$D$431,4,FALSE)</f>
        <v>SASSI MOHAMED WALID</v>
      </c>
      <c r="D135" s="14" t="s">
        <v>22</v>
      </c>
      <c r="E135" s="15">
        <v>45846</v>
      </c>
      <c r="F135" s="14" t="s">
        <v>20</v>
      </c>
      <c r="G135" s="16">
        <v>30.995000000000001</v>
      </c>
    </row>
    <row r="136" spans="1:7" x14ac:dyDescent="0.25">
      <c r="A136" s="13" t="s">
        <v>1981</v>
      </c>
      <c r="B136" s="13">
        <v>1819</v>
      </c>
      <c r="C136" s="14" t="str">
        <f>+VLOOKUP(B136,[1]LISTE!$A$1:$D$431,4,FALSE)</f>
        <v>SASSI MOHAMED WALID</v>
      </c>
      <c r="D136" s="15" t="s">
        <v>22</v>
      </c>
      <c r="E136" s="15">
        <v>45846</v>
      </c>
      <c r="F136" s="14" t="s">
        <v>21</v>
      </c>
      <c r="G136" s="16">
        <v>70</v>
      </c>
    </row>
    <row r="137" spans="1:7" x14ac:dyDescent="0.25">
      <c r="A137" s="13" t="s">
        <v>1993</v>
      </c>
      <c r="B137" s="13">
        <v>1823</v>
      </c>
      <c r="C137" s="14" t="str">
        <f>+VLOOKUP(B137,[1]LISTE!$A$1:$D$431,4,FALSE)</f>
        <v>ACHOUR RAOUF</v>
      </c>
      <c r="D137" s="14" t="s">
        <v>1994</v>
      </c>
      <c r="E137" s="15">
        <v>45831</v>
      </c>
      <c r="F137" s="14" t="s">
        <v>18</v>
      </c>
      <c r="G137" s="16">
        <v>70</v>
      </c>
    </row>
    <row r="138" spans="1:7" x14ac:dyDescent="0.25">
      <c r="A138" s="13" t="s">
        <v>1993</v>
      </c>
      <c r="B138" s="13">
        <v>1823</v>
      </c>
      <c r="C138" s="14" t="str">
        <f>+VLOOKUP(B138,[1]LISTE!$A$1:$D$431,4,FALSE)</f>
        <v>ACHOUR RAOUF</v>
      </c>
      <c r="D138" s="14" t="s">
        <v>1994</v>
      </c>
      <c r="E138" s="15">
        <v>45831</v>
      </c>
      <c r="F138" s="14" t="s">
        <v>20</v>
      </c>
      <c r="G138" s="16">
        <v>1.5149999999999999</v>
      </c>
    </row>
    <row r="139" spans="1:7" x14ac:dyDescent="0.25">
      <c r="A139" s="13" t="s">
        <v>1993</v>
      </c>
      <c r="B139" s="13">
        <v>1823</v>
      </c>
      <c r="C139" s="14" t="str">
        <f>+VLOOKUP(B139,[1]LISTE!$A$1:$D$431,4,FALSE)</f>
        <v>ACHOUR RAOUF</v>
      </c>
      <c r="D139" s="14" t="s">
        <v>1994</v>
      </c>
      <c r="E139" s="15">
        <v>45831</v>
      </c>
      <c r="F139" s="14" t="s">
        <v>21</v>
      </c>
      <c r="G139" s="16">
        <v>71</v>
      </c>
    </row>
    <row r="140" spans="1:7" x14ac:dyDescent="0.25">
      <c r="A140" s="13" t="s">
        <v>2020</v>
      </c>
      <c r="B140" s="13">
        <v>1833</v>
      </c>
      <c r="C140" s="14" t="str">
        <f>+VLOOKUP(B140,[1]LISTE!$A$1:$D$431,4,FALSE)</f>
        <v>BOUZAABIA MOHAMED</v>
      </c>
      <c r="D140" s="14" t="s">
        <v>79</v>
      </c>
      <c r="E140" s="15">
        <v>45848</v>
      </c>
      <c r="F140" s="14" t="s">
        <v>20</v>
      </c>
      <c r="G140" s="16">
        <v>2.9950000000000001</v>
      </c>
    </row>
    <row r="141" spans="1:7" x14ac:dyDescent="0.25">
      <c r="A141" s="13" t="s">
        <v>2020</v>
      </c>
      <c r="B141" s="13">
        <v>1833</v>
      </c>
      <c r="C141" s="14" t="str">
        <f>+VLOOKUP(B141,[1]LISTE!$A$1:$D$431,4,FALSE)</f>
        <v>BOUZAABIA MOHAMED</v>
      </c>
      <c r="D141" s="15" t="s">
        <v>79</v>
      </c>
      <c r="E141" s="15">
        <v>45848</v>
      </c>
      <c r="F141" s="14" t="s">
        <v>24</v>
      </c>
      <c r="G141" s="16">
        <v>90</v>
      </c>
    </row>
    <row r="142" spans="1:7" x14ac:dyDescent="0.25">
      <c r="A142" s="13" t="s">
        <v>1942</v>
      </c>
      <c r="B142" s="13">
        <v>1896</v>
      </c>
      <c r="C142" s="14" t="str">
        <f>+VLOOKUP(B142,[1]LISTE!$A$1:$D$431,4,FALSE)</f>
        <v>LAJIMI ABDELKADER</v>
      </c>
      <c r="D142" s="14" t="s">
        <v>47</v>
      </c>
      <c r="E142" s="15">
        <v>45845</v>
      </c>
      <c r="F142" s="14" t="s">
        <v>20</v>
      </c>
      <c r="G142" s="16">
        <v>113.244</v>
      </c>
    </row>
    <row r="143" spans="1:7" x14ac:dyDescent="0.25">
      <c r="A143" s="13" t="s">
        <v>1992</v>
      </c>
      <c r="B143" s="13">
        <v>1898</v>
      </c>
      <c r="C143" s="14" t="str">
        <f>+VLOOKUP(B143,[1]LISTE!$A$1:$D$431,4,FALSE)</f>
        <v>BOUHLEL BILEL</v>
      </c>
      <c r="D143" s="14" t="s">
        <v>1900</v>
      </c>
      <c r="E143" s="15">
        <v>45856</v>
      </c>
      <c r="F143" s="14" t="s">
        <v>23</v>
      </c>
      <c r="G143" s="16">
        <v>40</v>
      </c>
    </row>
    <row r="144" spans="1:7" x14ac:dyDescent="0.25">
      <c r="A144" s="13" t="s">
        <v>1992</v>
      </c>
      <c r="B144" s="13">
        <v>1898</v>
      </c>
      <c r="C144" s="14" t="str">
        <f>+VLOOKUP(B144,[1]LISTE!$A$1:$D$431,4,FALSE)</f>
        <v>BOUHLEL BILEL</v>
      </c>
      <c r="D144" s="14" t="s">
        <v>1900</v>
      </c>
      <c r="E144" s="15">
        <v>45856</v>
      </c>
      <c r="F144" s="14" t="s">
        <v>20</v>
      </c>
      <c r="G144" s="16">
        <v>52.85</v>
      </c>
    </row>
    <row r="145" spans="1:7" x14ac:dyDescent="0.25">
      <c r="A145" s="13" t="s">
        <v>1925</v>
      </c>
      <c r="B145" s="13">
        <v>1902</v>
      </c>
      <c r="C145" s="14" t="str">
        <f>+VLOOKUP(B145,[1]LISTE!$A$1:$D$431,4,FALSE)</f>
        <v>BEN ABDALLAH HATEM</v>
      </c>
      <c r="D145" s="15" t="s">
        <v>508</v>
      </c>
      <c r="E145" s="15">
        <v>45832</v>
      </c>
      <c r="F145" s="14" t="s">
        <v>23</v>
      </c>
      <c r="G145" s="16">
        <v>50</v>
      </c>
    </row>
    <row r="146" spans="1:7" x14ac:dyDescent="0.25">
      <c r="A146" s="13" t="s">
        <v>1925</v>
      </c>
      <c r="B146" s="13">
        <v>1902</v>
      </c>
      <c r="C146" s="14" t="str">
        <f>+VLOOKUP(B146,[1]LISTE!$A$1:$D$431,4,FALSE)</f>
        <v>BEN ABDALLAH HATEM</v>
      </c>
      <c r="D146" s="14" t="s">
        <v>508</v>
      </c>
      <c r="E146" s="15">
        <v>45832</v>
      </c>
      <c r="F146" s="14" t="s">
        <v>20</v>
      </c>
      <c r="G146" s="16">
        <v>21.359000000000002</v>
      </c>
    </row>
    <row r="147" spans="1:7" x14ac:dyDescent="0.25">
      <c r="A147" s="13" t="s">
        <v>1925</v>
      </c>
      <c r="B147" s="13">
        <v>1902</v>
      </c>
      <c r="C147" s="14" t="str">
        <f>+VLOOKUP(B147,[1]LISTE!$A$1:$D$431,4,FALSE)</f>
        <v>BEN ABDALLAH HATEM</v>
      </c>
      <c r="D147" s="15" t="s">
        <v>508</v>
      </c>
      <c r="E147" s="15">
        <v>45832</v>
      </c>
      <c r="F147" s="14" t="s">
        <v>21</v>
      </c>
      <c r="G147" s="16">
        <v>150</v>
      </c>
    </row>
    <row r="148" spans="1:7" x14ac:dyDescent="0.25">
      <c r="A148" s="13" t="s">
        <v>1925</v>
      </c>
      <c r="B148" s="13">
        <v>1902</v>
      </c>
      <c r="C148" s="14" t="str">
        <f>+VLOOKUP(B148,[1]LISTE!$A$1:$D$431,4,FALSE)</f>
        <v>BEN ABDALLAH HATEM</v>
      </c>
      <c r="D148" s="14" t="s">
        <v>508</v>
      </c>
      <c r="E148" s="15">
        <v>45832</v>
      </c>
      <c r="F148" s="14" t="s">
        <v>24</v>
      </c>
      <c r="G148" s="16">
        <v>140</v>
      </c>
    </row>
    <row r="149" spans="1:7" x14ac:dyDescent="0.25">
      <c r="A149" s="13" t="s">
        <v>1995</v>
      </c>
      <c r="B149" s="13">
        <v>1902</v>
      </c>
      <c r="C149" s="14" t="str">
        <f>+VLOOKUP(B149,[1]LISTE!$A$1:$D$431,4,FALSE)</f>
        <v>BEN ABDALLAH HATEM</v>
      </c>
      <c r="D149" s="15" t="s">
        <v>1996</v>
      </c>
      <c r="E149" s="15">
        <v>45852</v>
      </c>
      <c r="F149" s="14" t="s">
        <v>23</v>
      </c>
      <c r="G149" s="16">
        <v>50</v>
      </c>
    </row>
    <row r="150" spans="1:7" x14ac:dyDescent="0.25">
      <c r="A150" s="13" t="s">
        <v>1995</v>
      </c>
      <c r="B150" s="13">
        <v>1902</v>
      </c>
      <c r="C150" s="14" t="str">
        <f>+VLOOKUP(B150,[1]LISTE!$A$1:$D$431,4,FALSE)</f>
        <v>BEN ABDALLAH HATEM</v>
      </c>
      <c r="D150" s="15" t="s">
        <v>1996</v>
      </c>
      <c r="E150" s="15">
        <v>45852</v>
      </c>
      <c r="F150" s="14" t="s">
        <v>20</v>
      </c>
      <c r="G150" s="16">
        <v>51.75</v>
      </c>
    </row>
    <row r="151" spans="1:7" x14ac:dyDescent="0.25">
      <c r="A151" s="13" t="s">
        <v>1965</v>
      </c>
      <c r="B151" s="13">
        <v>1917</v>
      </c>
      <c r="C151" s="14" t="str">
        <f>+VLOOKUP(B151,[1]LISTE!$A$1:$D$431,4,FALSE)</f>
        <v>HAMILA JAMEL</v>
      </c>
      <c r="D151" s="14" t="s">
        <v>119</v>
      </c>
      <c r="E151" s="15">
        <v>45857</v>
      </c>
      <c r="F151" s="14" t="s">
        <v>18</v>
      </c>
      <c r="G151" s="16">
        <v>70</v>
      </c>
    </row>
    <row r="152" spans="1:7" x14ac:dyDescent="0.25">
      <c r="A152" s="13" t="s">
        <v>1965</v>
      </c>
      <c r="B152" s="13">
        <v>1917</v>
      </c>
      <c r="C152" s="14" t="str">
        <f>+VLOOKUP(B152,[1]LISTE!$A$1:$D$431,4,FALSE)</f>
        <v>HAMILA JAMEL</v>
      </c>
      <c r="D152" s="14" t="s">
        <v>119</v>
      </c>
      <c r="E152" s="15">
        <v>45857</v>
      </c>
      <c r="F152" s="14" t="s">
        <v>20</v>
      </c>
      <c r="G152" s="16">
        <v>58.424999999999997</v>
      </c>
    </row>
    <row r="153" spans="1:7" x14ac:dyDescent="0.25">
      <c r="A153" s="13" t="s">
        <v>1956</v>
      </c>
      <c r="B153" s="13">
        <v>1936</v>
      </c>
      <c r="C153" s="14" t="str">
        <f>+VLOOKUP(B153,[1]LISTE!$A$1:$D$431,4,FALSE)</f>
        <v>JLASSI KHALED</v>
      </c>
      <c r="D153" s="14" t="s">
        <v>349</v>
      </c>
      <c r="E153" s="15">
        <v>45852</v>
      </c>
      <c r="F153" s="14" t="s">
        <v>18</v>
      </c>
      <c r="G153" s="16">
        <v>60</v>
      </c>
    </row>
    <row r="154" spans="1:7" x14ac:dyDescent="0.25">
      <c r="A154" s="13" t="s">
        <v>1956</v>
      </c>
      <c r="B154" s="13">
        <v>1936</v>
      </c>
      <c r="C154" s="14" t="str">
        <f>+VLOOKUP(B154,[1]LISTE!$A$1:$D$431,4,FALSE)</f>
        <v>JLASSI KHALED</v>
      </c>
      <c r="D154" s="15" t="s">
        <v>349</v>
      </c>
      <c r="E154" s="15">
        <v>45852</v>
      </c>
      <c r="F154" s="14" t="s">
        <v>20</v>
      </c>
      <c r="G154" s="16">
        <v>72.866</v>
      </c>
    </row>
    <row r="155" spans="1:7" x14ac:dyDescent="0.25">
      <c r="A155" s="13" t="s">
        <v>1943</v>
      </c>
      <c r="B155" s="13">
        <v>2005</v>
      </c>
      <c r="C155" s="14" t="str">
        <f>+VLOOKUP(B155,[1]LISTE!$A$1:$D$431,4,FALSE)</f>
        <v>ESSAFI FEHMI</v>
      </c>
      <c r="D155" s="15" t="s">
        <v>22</v>
      </c>
      <c r="E155" s="15">
        <v>45821</v>
      </c>
      <c r="F155" s="14" t="s">
        <v>18</v>
      </c>
      <c r="G155" s="16">
        <v>70</v>
      </c>
    </row>
    <row r="156" spans="1:7" x14ac:dyDescent="0.25">
      <c r="A156" s="13" t="s">
        <v>1943</v>
      </c>
      <c r="B156" s="13">
        <v>2005</v>
      </c>
      <c r="C156" s="14" t="str">
        <f>+VLOOKUP(B156,[1]LISTE!$A$1:$D$431,4,FALSE)</f>
        <v>ESSAFI FEHMI</v>
      </c>
      <c r="D156" s="14" t="s">
        <v>22</v>
      </c>
      <c r="E156" s="15">
        <v>45822</v>
      </c>
      <c r="F156" s="14" t="s">
        <v>20</v>
      </c>
      <c r="G156" s="16">
        <v>101.43600000000001</v>
      </c>
    </row>
    <row r="157" spans="1:7" x14ac:dyDescent="0.25">
      <c r="A157" s="13" t="s">
        <v>1982</v>
      </c>
      <c r="B157" s="13">
        <v>2013</v>
      </c>
      <c r="C157" s="14" t="str">
        <f>+VLOOKUP(B157,[1]LISTE!$A$1:$D$431,4,FALSE)</f>
        <v>BEL HADJ ALI MOHAMED ALI</v>
      </c>
      <c r="D157" s="15" t="s">
        <v>186</v>
      </c>
      <c r="E157" s="15">
        <v>45859</v>
      </c>
      <c r="F157" s="14" t="s">
        <v>1889</v>
      </c>
      <c r="G157" s="16">
        <v>150</v>
      </c>
    </row>
    <row r="158" spans="1:7" x14ac:dyDescent="0.25">
      <c r="A158" s="13" t="s">
        <v>1982</v>
      </c>
      <c r="B158" s="13">
        <v>2013</v>
      </c>
      <c r="C158" s="14" t="str">
        <f>+VLOOKUP(B158,[1]LISTE!$A$1:$D$431,4,FALSE)</f>
        <v>BEL HADJ ALI MOHAMED ALI</v>
      </c>
      <c r="D158" s="15" t="s">
        <v>186</v>
      </c>
      <c r="E158" s="15">
        <v>45859</v>
      </c>
      <c r="F158" s="14" t="s">
        <v>20</v>
      </c>
      <c r="G158" s="16">
        <v>43.353999999999999</v>
      </c>
    </row>
    <row r="159" spans="1:7" x14ac:dyDescent="0.25">
      <c r="A159" s="13" t="s">
        <v>2019</v>
      </c>
      <c r="B159" s="13">
        <v>2013</v>
      </c>
      <c r="C159" s="14" t="str">
        <f>+VLOOKUP(B159,[1]LISTE!$A$1:$D$431,4,FALSE)</f>
        <v>BEL HADJ ALI MOHAMED ALI</v>
      </c>
      <c r="D159" s="14" t="s">
        <v>160</v>
      </c>
      <c r="E159" s="15">
        <v>45846</v>
      </c>
      <c r="F159" s="14" t="s">
        <v>65</v>
      </c>
      <c r="G159" s="16">
        <v>310</v>
      </c>
    </row>
    <row r="160" spans="1:7" x14ac:dyDescent="0.25">
      <c r="A160" s="13" t="s">
        <v>1915</v>
      </c>
      <c r="B160" s="13">
        <v>2024</v>
      </c>
      <c r="C160" s="14" t="str">
        <f>+VLOOKUP(B160,[1]LISTE!$A$1:$D$431,4,FALSE)</f>
        <v>GUEZGUEZ MOHAMED</v>
      </c>
      <c r="D160" s="14" t="s">
        <v>22</v>
      </c>
      <c r="E160" s="15">
        <v>45840</v>
      </c>
      <c r="F160" s="14" t="s">
        <v>18</v>
      </c>
      <c r="G160" s="16">
        <v>60</v>
      </c>
    </row>
    <row r="161" spans="1:7" x14ac:dyDescent="0.25">
      <c r="A161" s="13" t="s">
        <v>1915</v>
      </c>
      <c r="B161" s="13">
        <v>2024</v>
      </c>
      <c r="C161" s="14" t="str">
        <f>+VLOOKUP(B161,[1]LISTE!$A$1:$D$431,4,FALSE)</f>
        <v>GUEZGUEZ MOHAMED</v>
      </c>
      <c r="D161" s="14" t="s">
        <v>22</v>
      </c>
      <c r="E161" s="15">
        <v>45841</v>
      </c>
      <c r="F161" s="14" t="s">
        <v>20</v>
      </c>
      <c r="G161" s="16">
        <v>70</v>
      </c>
    </row>
    <row r="162" spans="1:7" x14ac:dyDescent="0.25">
      <c r="A162" s="13" t="s">
        <v>2015</v>
      </c>
      <c r="B162" s="13">
        <v>2051</v>
      </c>
      <c r="C162" s="14" t="str">
        <f>+VLOOKUP(B162,[1]LISTE!$A$1:$D$431,4,FALSE)</f>
        <v>SLIMENE ANIS</v>
      </c>
      <c r="D162" s="14" t="s">
        <v>2016</v>
      </c>
      <c r="E162" s="15">
        <v>45862</v>
      </c>
      <c r="F162" s="14" t="s">
        <v>23</v>
      </c>
      <c r="G162" s="16">
        <v>50</v>
      </c>
    </row>
    <row r="163" spans="1:7" x14ac:dyDescent="0.25">
      <c r="A163" s="13" t="s">
        <v>2015</v>
      </c>
      <c r="B163" s="13">
        <v>2051</v>
      </c>
      <c r="C163" s="14" t="str">
        <f>+VLOOKUP(B163,[1]LISTE!$A$1:$D$431,4,FALSE)</f>
        <v>SLIMENE ANIS</v>
      </c>
      <c r="D163" s="14" t="s">
        <v>2016</v>
      </c>
      <c r="E163" s="15">
        <v>45862</v>
      </c>
      <c r="F163" s="14" t="s">
        <v>20</v>
      </c>
      <c r="G163" s="16">
        <v>26.544</v>
      </c>
    </row>
    <row r="164" spans="1:7" x14ac:dyDescent="0.25">
      <c r="A164" s="13" t="s">
        <v>1938</v>
      </c>
      <c r="B164" s="13">
        <v>2065</v>
      </c>
      <c r="C164" s="14" t="str">
        <f>+VLOOKUP(B164,[1]LISTE!$A$1:$D$431,4,FALSE)</f>
        <v>CHIHAOUI ALAAEDDINE</v>
      </c>
      <c r="D164" s="15" t="s">
        <v>22</v>
      </c>
      <c r="E164" s="15">
        <v>45852</v>
      </c>
      <c r="F164" s="14" t="s">
        <v>23</v>
      </c>
      <c r="G164" s="16">
        <v>40</v>
      </c>
    </row>
    <row r="165" spans="1:7" x14ac:dyDescent="0.25">
      <c r="A165" s="13" t="s">
        <v>1938</v>
      </c>
      <c r="B165" s="13">
        <v>2065</v>
      </c>
      <c r="C165" s="14" t="str">
        <f>+VLOOKUP(B165,[1]LISTE!$A$1:$D$431,4,FALSE)</f>
        <v>CHIHAOUI ALAAEDDINE</v>
      </c>
      <c r="D165" s="14" t="s">
        <v>22</v>
      </c>
      <c r="E165" s="15">
        <v>45852</v>
      </c>
      <c r="F165" s="14" t="s">
        <v>20</v>
      </c>
      <c r="G165" s="16">
        <v>56.093000000000004</v>
      </c>
    </row>
    <row r="166" spans="1:7" x14ac:dyDescent="0.25">
      <c r="A166" s="13" t="s">
        <v>1967</v>
      </c>
      <c r="B166" s="13">
        <v>2084</v>
      </c>
      <c r="C166" s="14" t="str">
        <f>+VLOOKUP(B166,[1]LISTE!$A$1:$D$431,4,FALSE)</f>
        <v>HELALI Emna</v>
      </c>
      <c r="D166" s="14" t="s">
        <v>22</v>
      </c>
      <c r="E166" s="15">
        <v>45857</v>
      </c>
      <c r="F166" s="14" t="s">
        <v>18</v>
      </c>
      <c r="G166" s="16">
        <v>70</v>
      </c>
    </row>
    <row r="167" spans="1:7" x14ac:dyDescent="0.25">
      <c r="A167" s="13" t="s">
        <v>1967</v>
      </c>
      <c r="B167" s="13">
        <v>2084</v>
      </c>
      <c r="C167" s="14" t="str">
        <f>+VLOOKUP(B167,[1]LISTE!$A$1:$D$431,4,FALSE)</f>
        <v>HELALI Emna</v>
      </c>
      <c r="D167" s="15" t="s">
        <v>22</v>
      </c>
      <c r="E167" s="15">
        <v>45857</v>
      </c>
      <c r="F167" s="14" t="s">
        <v>20</v>
      </c>
      <c r="G167" s="16">
        <v>18.783000000000001</v>
      </c>
    </row>
    <row r="168" spans="1:7" x14ac:dyDescent="0.25">
      <c r="A168" s="13" t="s">
        <v>2003</v>
      </c>
      <c r="B168" s="13">
        <v>2084</v>
      </c>
      <c r="C168" s="14" t="str">
        <f>+VLOOKUP(B168,[1]LISTE!$A$1:$D$431,4,FALSE)</f>
        <v>HELALI Emna</v>
      </c>
      <c r="D168" s="14" t="s">
        <v>22</v>
      </c>
      <c r="E168" s="15">
        <v>45864</v>
      </c>
      <c r="F168" s="14" t="s">
        <v>20</v>
      </c>
      <c r="G168" s="16">
        <v>27.594999999999999</v>
      </c>
    </row>
    <row r="169" spans="1:7" x14ac:dyDescent="0.25">
      <c r="A169" s="13" t="s">
        <v>1980</v>
      </c>
      <c r="B169" s="13">
        <v>2100</v>
      </c>
      <c r="C169" s="14" t="str">
        <f>+VLOOKUP(B169,[1]LISTE!$A$1:$D$431,4,FALSE)</f>
        <v>MLAYEH NEZIHA</v>
      </c>
      <c r="D169" s="14" t="s">
        <v>112</v>
      </c>
      <c r="E169" s="15">
        <v>45848</v>
      </c>
      <c r="F169" s="14" t="s">
        <v>18</v>
      </c>
      <c r="G169" s="16">
        <v>70</v>
      </c>
    </row>
    <row r="170" spans="1:7" x14ac:dyDescent="0.25">
      <c r="A170" s="13" t="s">
        <v>1980</v>
      </c>
      <c r="B170" s="13">
        <v>2100</v>
      </c>
      <c r="C170" s="14" t="str">
        <f>+VLOOKUP(B170,[1]LISTE!$A$1:$D$431,4,FALSE)</f>
        <v>MLAYEH NEZIHA</v>
      </c>
      <c r="D170" s="14" t="s">
        <v>112</v>
      </c>
      <c r="E170" s="15">
        <v>45848</v>
      </c>
      <c r="F170" s="14" t="s">
        <v>20</v>
      </c>
      <c r="G170" s="16">
        <v>89.72</v>
      </c>
    </row>
    <row r="171" spans="1:7" x14ac:dyDescent="0.25">
      <c r="A171" s="13" t="s">
        <v>1980</v>
      </c>
      <c r="B171" s="13">
        <v>2100</v>
      </c>
      <c r="C171" s="14" t="str">
        <f>+VLOOKUP(B171,[1]LISTE!$A$1:$D$431,4,FALSE)</f>
        <v>MLAYEH NEZIHA</v>
      </c>
      <c r="D171" s="15" t="s">
        <v>112</v>
      </c>
      <c r="E171" s="15">
        <v>45859</v>
      </c>
      <c r="F171" s="14" t="s">
        <v>20</v>
      </c>
      <c r="G171" s="16">
        <v>103.9</v>
      </c>
    </row>
    <row r="172" spans="1:7" x14ac:dyDescent="0.25">
      <c r="A172" s="13" t="s">
        <v>1958</v>
      </c>
      <c r="B172" s="13">
        <v>2125</v>
      </c>
      <c r="C172" s="14" t="str">
        <f>+VLOOKUP(B172,[1]LISTE!$A$1:$D$431,4,FALSE)</f>
        <v>ACHRAF HASSEN</v>
      </c>
      <c r="D172" s="15" t="s">
        <v>1485</v>
      </c>
      <c r="E172" s="15">
        <v>45859</v>
      </c>
      <c r="F172" s="14" t="s">
        <v>18</v>
      </c>
      <c r="G172" s="16">
        <v>60</v>
      </c>
    </row>
    <row r="173" spans="1:7" x14ac:dyDescent="0.25">
      <c r="A173" s="13" t="s">
        <v>1958</v>
      </c>
      <c r="B173" s="13">
        <v>2125</v>
      </c>
      <c r="C173" s="14" t="str">
        <f>+VLOOKUP(B173,[1]LISTE!$A$1:$D$431,4,FALSE)</f>
        <v>ACHRAF HASSEN</v>
      </c>
      <c r="D173" s="15" t="s">
        <v>1485</v>
      </c>
      <c r="E173" s="15">
        <v>45859</v>
      </c>
      <c r="F173" s="14" t="s">
        <v>20</v>
      </c>
      <c r="G173" s="16">
        <v>28.48</v>
      </c>
    </row>
    <row r="174" spans="1:7" x14ac:dyDescent="0.25">
      <c r="A174" s="13" t="s">
        <v>1960</v>
      </c>
      <c r="B174" s="13">
        <v>2128</v>
      </c>
      <c r="C174" s="14" t="str">
        <f>+VLOOKUP(B174,[1]LISTE!$A$1:$D$431,4,FALSE)</f>
        <v>ILYES DHIFALLAH</v>
      </c>
      <c r="D174" s="15" t="s">
        <v>22</v>
      </c>
      <c r="E174" s="15">
        <v>45838</v>
      </c>
      <c r="F174" s="14" t="s">
        <v>18</v>
      </c>
      <c r="G174" s="16">
        <v>70</v>
      </c>
    </row>
    <row r="175" spans="1:7" x14ac:dyDescent="0.25">
      <c r="A175" s="13" t="s">
        <v>1960</v>
      </c>
      <c r="B175" s="13">
        <v>2128</v>
      </c>
      <c r="C175" s="14" t="str">
        <f>+VLOOKUP(B175,[1]LISTE!$A$1:$D$431,4,FALSE)</f>
        <v>ILYES DHIFALLAH</v>
      </c>
      <c r="D175" s="15" t="s">
        <v>22</v>
      </c>
      <c r="E175" s="15">
        <v>45857</v>
      </c>
      <c r="F175" s="14" t="s">
        <v>363</v>
      </c>
      <c r="G175" s="16">
        <v>60</v>
      </c>
    </row>
    <row r="176" spans="1:7" x14ac:dyDescent="0.25">
      <c r="A176" s="13" t="s">
        <v>1988</v>
      </c>
      <c r="B176" s="13">
        <v>2149</v>
      </c>
      <c r="C176" s="14" t="str">
        <f>+VLOOKUP(B176,[1]LISTE!$A$1:$D$431,4,FALSE)</f>
        <v>BERRIRI HOUSSEM</v>
      </c>
      <c r="D176" s="15" t="s">
        <v>22</v>
      </c>
      <c r="E176" s="15">
        <v>45843</v>
      </c>
      <c r="F176" s="14" t="s">
        <v>18</v>
      </c>
      <c r="G176" s="16">
        <v>70</v>
      </c>
    </row>
    <row r="177" spans="1:7" x14ac:dyDescent="0.25">
      <c r="A177" s="13" t="s">
        <v>1988</v>
      </c>
      <c r="B177" s="13">
        <v>2149</v>
      </c>
      <c r="C177" s="14" t="str">
        <f>+VLOOKUP(B177,[1]LISTE!$A$1:$D$431,4,FALSE)</f>
        <v>BERRIRI HOUSSEM</v>
      </c>
      <c r="D177" s="14" t="s">
        <v>22</v>
      </c>
      <c r="E177" s="15">
        <v>45852</v>
      </c>
      <c r="F177" s="14" t="s">
        <v>19</v>
      </c>
      <c r="G177" s="16">
        <v>105.07</v>
      </c>
    </row>
    <row r="178" spans="1:7" x14ac:dyDescent="0.25">
      <c r="A178" s="13" t="s">
        <v>1988</v>
      </c>
      <c r="B178" s="13">
        <v>2149</v>
      </c>
      <c r="C178" s="14" t="str">
        <f>+VLOOKUP(B178,[1]LISTE!$A$1:$D$431,4,FALSE)</f>
        <v>BERRIRI HOUSSEM</v>
      </c>
      <c r="D178" s="14" t="s">
        <v>22</v>
      </c>
      <c r="E178" s="15">
        <v>45855</v>
      </c>
      <c r="F178" s="14" t="s">
        <v>20</v>
      </c>
      <c r="G178" s="16">
        <v>59.9</v>
      </c>
    </row>
    <row r="179" spans="1:7" x14ac:dyDescent="0.25">
      <c r="A179" s="13" t="s">
        <v>1909</v>
      </c>
      <c r="B179" s="13">
        <v>2170</v>
      </c>
      <c r="C179" s="14" t="str">
        <f>+VLOOKUP(B179,[1]LISTE!$A$1:$D$431,4,FALSE)</f>
        <v>BEN AHMED ANOUAR</v>
      </c>
      <c r="D179" s="14" t="s">
        <v>327</v>
      </c>
      <c r="E179" s="15">
        <v>45850</v>
      </c>
      <c r="F179" s="14" t="s">
        <v>18</v>
      </c>
      <c r="G179" s="16">
        <v>70</v>
      </c>
    </row>
    <row r="180" spans="1:7" x14ac:dyDescent="0.25">
      <c r="A180" s="13" t="s">
        <v>1909</v>
      </c>
      <c r="B180" s="13">
        <v>2170</v>
      </c>
      <c r="C180" s="14" t="str">
        <f>+VLOOKUP(B180,[1]LISTE!$A$1:$D$431,4,FALSE)</f>
        <v>BEN AHMED ANOUAR</v>
      </c>
      <c r="D180" s="14" t="s">
        <v>327</v>
      </c>
      <c r="E180" s="15">
        <v>45850</v>
      </c>
      <c r="F180" s="14" t="s">
        <v>20</v>
      </c>
      <c r="G180" s="16">
        <v>18.666</v>
      </c>
    </row>
    <row r="181" spans="1:7" x14ac:dyDescent="0.25">
      <c r="A181" s="13" t="s">
        <v>1966</v>
      </c>
      <c r="B181" s="13">
        <v>2172</v>
      </c>
      <c r="C181" s="14" t="str">
        <f>+VLOOKUP(B181,[1]LISTE!$A$1:$D$431,4,FALSE)</f>
        <v>ACHECHE HABIB</v>
      </c>
      <c r="D181" s="15" t="s">
        <v>22</v>
      </c>
      <c r="E181" s="15">
        <v>45855</v>
      </c>
      <c r="F181" s="14" t="s">
        <v>20</v>
      </c>
      <c r="G181" s="16">
        <v>777.62400000000002</v>
      </c>
    </row>
    <row r="182" spans="1:7" x14ac:dyDescent="0.25">
      <c r="A182" s="13" t="s">
        <v>1935</v>
      </c>
      <c r="B182" s="13">
        <v>2236</v>
      </c>
      <c r="C182" s="14" t="s">
        <v>633</v>
      </c>
      <c r="D182" s="14" t="s">
        <v>22</v>
      </c>
      <c r="E182" s="15">
        <v>45853</v>
      </c>
      <c r="F182" s="14" t="s">
        <v>23</v>
      </c>
      <c r="G182" s="16">
        <v>20</v>
      </c>
    </row>
    <row r="183" spans="1:7" x14ac:dyDescent="0.25">
      <c r="A183" s="13" t="s">
        <v>1913</v>
      </c>
      <c r="B183" s="13">
        <v>2246</v>
      </c>
      <c r="C183" s="14" t="s">
        <v>664</v>
      </c>
      <c r="D183" s="14" t="s">
        <v>665</v>
      </c>
      <c r="E183" s="15">
        <v>45849</v>
      </c>
      <c r="F183" s="14" t="s">
        <v>18</v>
      </c>
      <c r="G183" s="16">
        <v>70</v>
      </c>
    </row>
    <row r="184" spans="1:7" x14ac:dyDescent="0.25">
      <c r="A184" s="13" t="s">
        <v>1913</v>
      </c>
      <c r="B184" s="13">
        <v>2246</v>
      </c>
      <c r="C184" s="14" t="s">
        <v>664</v>
      </c>
      <c r="D184" s="14" t="s">
        <v>665</v>
      </c>
      <c r="E184" s="15">
        <v>45849</v>
      </c>
      <c r="F184" s="14" t="s">
        <v>20</v>
      </c>
      <c r="G184" s="16">
        <v>45.308</v>
      </c>
    </row>
    <row r="185" spans="1:7" x14ac:dyDescent="0.25">
      <c r="A185" s="13" t="s">
        <v>1970</v>
      </c>
      <c r="B185" s="13">
        <v>2252</v>
      </c>
      <c r="C185" s="14" t="s">
        <v>1971</v>
      </c>
      <c r="D185" s="14" t="s">
        <v>22</v>
      </c>
      <c r="E185" s="15">
        <v>45855</v>
      </c>
      <c r="F185" s="14" t="s">
        <v>20</v>
      </c>
      <c r="G185" s="16">
        <v>32.590000000000003</v>
      </c>
    </row>
    <row r="186" spans="1:7" x14ac:dyDescent="0.25">
      <c r="A186" s="13" t="s">
        <v>1970</v>
      </c>
      <c r="B186" s="13">
        <v>2252</v>
      </c>
      <c r="C186" s="14" t="s">
        <v>1971</v>
      </c>
      <c r="D186" s="14" t="s">
        <v>22</v>
      </c>
      <c r="E186" s="15">
        <v>45855</v>
      </c>
      <c r="F186" s="14" t="s">
        <v>24</v>
      </c>
      <c r="G186" s="16">
        <v>80</v>
      </c>
    </row>
    <row r="187" spans="1:7" x14ac:dyDescent="0.25">
      <c r="A187" s="13" t="s">
        <v>1984</v>
      </c>
      <c r="B187" s="13">
        <v>2254</v>
      </c>
      <c r="C187" s="14" t="s">
        <v>106</v>
      </c>
      <c r="D187" s="14" t="s">
        <v>22</v>
      </c>
      <c r="E187" s="15">
        <v>45859</v>
      </c>
      <c r="F187" s="14" t="s">
        <v>23</v>
      </c>
      <c r="G187" s="16">
        <v>45</v>
      </c>
    </row>
    <row r="188" spans="1:7" x14ac:dyDescent="0.25">
      <c r="A188" s="13" t="s">
        <v>1984</v>
      </c>
      <c r="B188" s="13">
        <v>2254</v>
      </c>
      <c r="C188" s="14" t="s">
        <v>106</v>
      </c>
      <c r="D188" s="15" t="s">
        <v>22</v>
      </c>
      <c r="E188" s="15">
        <v>45859</v>
      </c>
      <c r="F188" s="14" t="s">
        <v>20</v>
      </c>
      <c r="G188" s="16">
        <v>32.424999999999997</v>
      </c>
    </row>
    <row r="189" spans="1:7" x14ac:dyDescent="0.25">
      <c r="A189" s="13" t="s">
        <v>1928</v>
      </c>
      <c r="B189" s="13">
        <v>2258</v>
      </c>
      <c r="C189" s="14" t="s">
        <v>345</v>
      </c>
      <c r="D189" s="14" t="s">
        <v>22</v>
      </c>
      <c r="E189" s="15">
        <v>45847</v>
      </c>
      <c r="F189" s="14" t="s">
        <v>23</v>
      </c>
      <c r="G189" s="16">
        <v>40</v>
      </c>
    </row>
    <row r="190" spans="1:7" x14ac:dyDescent="0.25">
      <c r="A190" s="13" t="s">
        <v>1928</v>
      </c>
      <c r="B190" s="13">
        <v>2258</v>
      </c>
      <c r="C190" s="14" t="s">
        <v>345</v>
      </c>
      <c r="D190" s="14" t="s">
        <v>22</v>
      </c>
      <c r="E190" s="15">
        <v>45847</v>
      </c>
      <c r="F190" s="14" t="s">
        <v>20</v>
      </c>
      <c r="G190" s="16">
        <v>20.64</v>
      </c>
    </row>
    <row r="191" spans="1:7" x14ac:dyDescent="0.25">
      <c r="A191" s="13" t="s">
        <v>2021</v>
      </c>
      <c r="B191" s="13">
        <v>2271</v>
      </c>
      <c r="C191" s="14" t="s">
        <v>27</v>
      </c>
      <c r="D191" s="15" t="s">
        <v>483</v>
      </c>
      <c r="E191" s="15">
        <v>45854</v>
      </c>
      <c r="F191" s="14" t="s">
        <v>23</v>
      </c>
      <c r="G191" s="16">
        <v>40</v>
      </c>
    </row>
    <row r="192" spans="1:7" x14ac:dyDescent="0.25">
      <c r="A192" s="13" t="s">
        <v>2021</v>
      </c>
      <c r="B192" s="13">
        <v>2271</v>
      </c>
      <c r="C192" s="14" t="s">
        <v>27</v>
      </c>
      <c r="D192" s="15" t="s">
        <v>483</v>
      </c>
      <c r="E192" s="15">
        <v>45854</v>
      </c>
      <c r="F192" s="14" t="s">
        <v>20</v>
      </c>
      <c r="G192" s="16">
        <v>39.83</v>
      </c>
    </row>
    <row r="193" spans="1:7" x14ac:dyDescent="0.25">
      <c r="A193" s="13" t="s">
        <v>2021</v>
      </c>
      <c r="B193" s="13">
        <v>2271</v>
      </c>
      <c r="C193" s="14" t="s">
        <v>27</v>
      </c>
      <c r="D193" s="15" t="s">
        <v>483</v>
      </c>
      <c r="E193" s="15">
        <v>45860</v>
      </c>
      <c r="F193" s="14" t="s">
        <v>24</v>
      </c>
      <c r="G193" s="16">
        <v>40</v>
      </c>
    </row>
    <row r="194" spans="1:7" x14ac:dyDescent="0.25">
      <c r="A194" s="13" t="s">
        <v>1922</v>
      </c>
      <c r="B194" s="13">
        <v>2337</v>
      </c>
      <c r="C194" s="14" t="s">
        <v>210</v>
      </c>
      <c r="D194" s="14" t="s">
        <v>75</v>
      </c>
      <c r="E194" s="15">
        <v>45820</v>
      </c>
      <c r="F194" s="14" t="s">
        <v>20</v>
      </c>
      <c r="G194" s="16">
        <v>3.0150000000000001</v>
      </c>
    </row>
    <row r="195" spans="1:7" x14ac:dyDescent="0.25">
      <c r="A195" s="13" t="s">
        <v>1922</v>
      </c>
      <c r="B195" s="13">
        <v>2337</v>
      </c>
      <c r="C195" s="14" t="s">
        <v>210</v>
      </c>
      <c r="D195" s="14" t="s">
        <v>75</v>
      </c>
      <c r="E195" s="15">
        <v>45820</v>
      </c>
      <c r="F195" s="14" t="s">
        <v>21</v>
      </c>
      <c r="G195" s="16">
        <v>120</v>
      </c>
    </row>
    <row r="196" spans="1:7" x14ac:dyDescent="0.25">
      <c r="A196" s="13" t="s">
        <v>1923</v>
      </c>
      <c r="B196" s="13">
        <v>2363</v>
      </c>
      <c r="C196" s="14" t="s">
        <v>1599</v>
      </c>
      <c r="D196" s="14" t="s">
        <v>22</v>
      </c>
      <c r="E196" s="15">
        <v>45845</v>
      </c>
      <c r="F196" s="14" t="s">
        <v>23</v>
      </c>
      <c r="G196" s="16">
        <v>45</v>
      </c>
    </row>
    <row r="197" spans="1:7" x14ac:dyDescent="0.25">
      <c r="A197" s="13" t="s">
        <v>1923</v>
      </c>
      <c r="B197" s="13">
        <v>2363</v>
      </c>
      <c r="C197" s="14" t="s">
        <v>1599</v>
      </c>
      <c r="D197" s="14" t="s">
        <v>22</v>
      </c>
      <c r="E197" s="15">
        <v>45846</v>
      </c>
      <c r="F197" s="14" t="s">
        <v>20</v>
      </c>
      <c r="G197" s="16">
        <v>67.92</v>
      </c>
    </row>
    <row r="198" spans="1:7" x14ac:dyDescent="0.25">
      <c r="A198" s="13" t="s">
        <v>1940</v>
      </c>
      <c r="B198" s="13">
        <v>2390</v>
      </c>
      <c r="C198" s="14" t="s">
        <v>1941</v>
      </c>
      <c r="D198" s="14" t="s">
        <v>22</v>
      </c>
      <c r="E198" s="15">
        <v>45849</v>
      </c>
      <c r="F198" s="14" t="s">
        <v>23</v>
      </c>
      <c r="G198" s="16">
        <v>50</v>
      </c>
    </row>
    <row r="199" spans="1:7" x14ac:dyDescent="0.25">
      <c r="A199" s="13" t="s">
        <v>1940</v>
      </c>
      <c r="B199" s="13">
        <v>2390</v>
      </c>
      <c r="C199" s="14" t="s">
        <v>1941</v>
      </c>
      <c r="D199" s="15" t="s">
        <v>22</v>
      </c>
      <c r="E199" s="15">
        <v>45849</v>
      </c>
      <c r="F199" s="14" t="s">
        <v>20</v>
      </c>
      <c r="G199" s="16">
        <v>29.645</v>
      </c>
    </row>
    <row r="200" spans="1:7" x14ac:dyDescent="0.25">
      <c r="A200" s="13" t="s">
        <v>1914</v>
      </c>
      <c r="B200" s="13">
        <v>2402</v>
      </c>
      <c r="C200" s="14" t="s">
        <v>1808</v>
      </c>
      <c r="D200" s="14" t="s">
        <v>22</v>
      </c>
      <c r="E200" s="15">
        <v>45850</v>
      </c>
      <c r="F200" s="14" t="s">
        <v>23</v>
      </c>
      <c r="G200" s="16">
        <v>45</v>
      </c>
    </row>
    <row r="201" spans="1:7" x14ac:dyDescent="0.25">
      <c r="A201" s="13" t="s">
        <v>1914</v>
      </c>
      <c r="B201" s="13">
        <v>2402</v>
      </c>
      <c r="C201" s="14" t="s">
        <v>1808</v>
      </c>
      <c r="D201" s="14" t="s">
        <v>22</v>
      </c>
      <c r="E201" s="15">
        <v>45850</v>
      </c>
      <c r="F201" s="14" t="s">
        <v>20</v>
      </c>
      <c r="G201" s="16">
        <v>44.048000000000002</v>
      </c>
    </row>
    <row r="202" spans="1:7" x14ac:dyDescent="0.25">
      <c r="A202" s="13" t="s">
        <v>1918</v>
      </c>
      <c r="B202" s="13">
        <v>2456</v>
      </c>
      <c r="C202" s="14" t="s">
        <v>155</v>
      </c>
      <c r="D202" s="15" t="s">
        <v>22</v>
      </c>
      <c r="E202" s="15">
        <v>45840</v>
      </c>
      <c r="F202" s="14" t="s">
        <v>18</v>
      </c>
      <c r="G202" s="16">
        <v>70</v>
      </c>
    </row>
    <row r="203" spans="1:7" x14ac:dyDescent="0.25">
      <c r="A203" s="13" t="s">
        <v>1918</v>
      </c>
      <c r="B203" s="13">
        <v>2456</v>
      </c>
      <c r="C203" s="14" t="s">
        <v>155</v>
      </c>
      <c r="D203" s="14" t="s">
        <v>22</v>
      </c>
      <c r="E203" s="15">
        <v>45841</v>
      </c>
      <c r="F203" s="14" t="s">
        <v>21</v>
      </c>
      <c r="G203" s="16">
        <v>300</v>
      </c>
    </row>
    <row r="204" spans="1:7" x14ac:dyDescent="0.25">
      <c r="A204" s="13" t="s">
        <v>1973</v>
      </c>
      <c r="B204" s="13">
        <v>2497</v>
      </c>
      <c r="C204" s="14" t="s">
        <v>1263</v>
      </c>
      <c r="D204" s="14" t="s">
        <v>669</v>
      </c>
      <c r="E204" s="15">
        <v>45845</v>
      </c>
      <c r="F204" s="14" t="s">
        <v>18</v>
      </c>
      <c r="G204" s="16">
        <v>70</v>
      </c>
    </row>
    <row r="205" spans="1:7" x14ac:dyDescent="0.25">
      <c r="A205" s="13" t="s">
        <v>1973</v>
      </c>
      <c r="B205" s="13">
        <v>2497</v>
      </c>
      <c r="C205" s="14" t="s">
        <v>1263</v>
      </c>
      <c r="D205" s="15" t="s">
        <v>669</v>
      </c>
      <c r="E205" s="15">
        <v>45845</v>
      </c>
      <c r="F205" s="14" t="s">
        <v>20</v>
      </c>
      <c r="G205" s="16">
        <v>29.7</v>
      </c>
    </row>
    <row r="206" spans="1:7" x14ac:dyDescent="0.25">
      <c r="A206" s="13" t="s">
        <v>1962</v>
      </c>
      <c r="B206" s="13">
        <v>2509</v>
      </c>
      <c r="C206" s="14" t="s">
        <v>1963</v>
      </c>
      <c r="D206" s="14" t="s">
        <v>22</v>
      </c>
      <c r="E206" s="15">
        <v>45841</v>
      </c>
      <c r="F206" s="14" t="s">
        <v>23</v>
      </c>
      <c r="G206" s="16">
        <v>50</v>
      </c>
    </row>
    <row r="207" spans="1:7" x14ac:dyDescent="0.25">
      <c r="A207" s="13" t="s">
        <v>1962</v>
      </c>
      <c r="B207" s="13">
        <v>2509</v>
      </c>
      <c r="C207" s="14" t="s">
        <v>1963</v>
      </c>
      <c r="D207" s="15" t="s">
        <v>22</v>
      </c>
      <c r="E207" s="15">
        <v>45854</v>
      </c>
      <c r="F207" s="14" t="s">
        <v>20</v>
      </c>
      <c r="G207" s="16">
        <v>53.378</v>
      </c>
    </row>
    <row r="208" spans="1:7" x14ac:dyDescent="0.25">
      <c r="A208" s="13" t="s">
        <v>1962</v>
      </c>
      <c r="B208" s="13">
        <v>2509</v>
      </c>
      <c r="C208" s="14" t="s">
        <v>1963</v>
      </c>
      <c r="D208" s="15" t="s">
        <v>22</v>
      </c>
      <c r="E208" s="15">
        <v>45841</v>
      </c>
      <c r="F208" s="14" t="s">
        <v>19</v>
      </c>
      <c r="G208" s="16">
        <v>25.04</v>
      </c>
    </row>
    <row r="209" spans="1:7" x14ac:dyDescent="0.25">
      <c r="A209" s="13" t="s">
        <v>1962</v>
      </c>
      <c r="B209" s="13">
        <v>2509</v>
      </c>
      <c r="C209" s="14" t="s">
        <v>1963</v>
      </c>
      <c r="D209" s="14" t="s">
        <v>22</v>
      </c>
      <c r="E209" s="15">
        <v>45854</v>
      </c>
      <c r="F209" s="14" t="s">
        <v>20</v>
      </c>
      <c r="G209" s="16">
        <v>19.239000000000001</v>
      </c>
    </row>
    <row r="210" spans="1:7" x14ac:dyDescent="0.25">
      <c r="A210" s="13" t="s">
        <v>2012</v>
      </c>
      <c r="B210" s="13">
        <v>2535</v>
      </c>
      <c r="C210" s="14" t="s">
        <v>2013</v>
      </c>
      <c r="D210" s="15" t="s">
        <v>22</v>
      </c>
      <c r="E210" s="15">
        <v>45854</v>
      </c>
      <c r="F210" s="14" t="s">
        <v>18</v>
      </c>
      <c r="G210" s="16">
        <v>70</v>
      </c>
    </row>
    <row r="211" spans="1:7" x14ac:dyDescent="0.25">
      <c r="A211" s="13" t="s">
        <v>2012</v>
      </c>
      <c r="B211" s="13">
        <v>2535</v>
      </c>
      <c r="C211" s="14" t="s">
        <v>2013</v>
      </c>
      <c r="D211" s="14" t="s">
        <v>22</v>
      </c>
      <c r="E211" s="15">
        <v>45855</v>
      </c>
      <c r="F211" s="14" t="s">
        <v>19</v>
      </c>
      <c r="G211" s="16">
        <v>67.87</v>
      </c>
    </row>
    <row r="212" spans="1:7" x14ac:dyDescent="0.25">
      <c r="A212" s="13" t="s">
        <v>2012</v>
      </c>
      <c r="B212" s="13">
        <v>2535</v>
      </c>
      <c r="C212" s="14" t="s">
        <v>2013</v>
      </c>
      <c r="D212" s="15" t="s">
        <v>22</v>
      </c>
      <c r="E212" s="15">
        <v>45855</v>
      </c>
      <c r="F212" s="14" t="s">
        <v>20</v>
      </c>
      <c r="G212" s="16">
        <v>15.651</v>
      </c>
    </row>
    <row r="213" spans="1:7" x14ac:dyDescent="0.25">
      <c r="A213" s="13" t="s">
        <v>1945</v>
      </c>
      <c r="B213" s="13">
        <v>2539</v>
      </c>
      <c r="C213" s="14" t="s">
        <v>1273</v>
      </c>
      <c r="D213" s="14" t="s">
        <v>22</v>
      </c>
      <c r="E213" s="15">
        <v>45857</v>
      </c>
      <c r="F213" s="14" t="s">
        <v>20</v>
      </c>
      <c r="G213" s="16">
        <v>4.2450000000000001</v>
      </c>
    </row>
    <row r="214" spans="1:7" x14ac:dyDescent="0.25">
      <c r="A214" s="13" t="s">
        <v>1945</v>
      </c>
      <c r="B214" s="13">
        <v>2539</v>
      </c>
      <c r="C214" s="14" t="s">
        <v>1273</v>
      </c>
      <c r="D214" s="14" t="s">
        <v>22</v>
      </c>
      <c r="E214" s="15">
        <v>45857</v>
      </c>
      <c r="F214" s="14" t="s">
        <v>24</v>
      </c>
      <c r="G214" s="16">
        <v>160</v>
      </c>
    </row>
    <row r="215" spans="1:7" x14ac:dyDescent="0.25">
      <c r="A215" s="13" t="s">
        <v>2001</v>
      </c>
      <c r="B215" s="13">
        <v>2539</v>
      </c>
      <c r="C215" s="14" t="s">
        <v>1273</v>
      </c>
      <c r="D215" s="14" t="s">
        <v>22</v>
      </c>
      <c r="E215" s="15">
        <v>45862</v>
      </c>
      <c r="F215" s="14" t="s">
        <v>20</v>
      </c>
      <c r="G215" s="16">
        <v>8.49</v>
      </c>
    </row>
    <row r="216" spans="1:7" x14ac:dyDescent="0.25">
      <c r="A216" s="13" t="s">
        <v>2001</v>
      </c>
      <c r="B216" s="13">
        <v>2539</v>
      </c>
      <c r="C216" s="14" t="s">
        <v>1273</v>
      </c>
      <c r="D216" s="14" t="s">
        <v>22</v>
      </c>
      <c r="E216" s="15">
        <v>45861</v>
      </c>
      <c r="F216" s="14" t="s">
        <v>24</v>
      </c>
      <c r="G216" s="16">
        <v>120</v>
      </c>
    </row>
    <row r="217" spans="1:7" x14ac:dyDescent="0.25">
      <c r="A217" s="13" t="s">
        <v>2002</v>
      </c>
      <c r="B217" s="13">
        <v>2539</v>
      </c>
      <c r="C217" s="14" t="s">
        <v>1273</v>
      </c>
      <c r="D217" s="15" t="s">
        <v>22</v>
      </c>
      <c r="E217" s="15">
        <v>45862</v>
      </c>
      <c r="F217" s="14" t="s">
        <v>23</v>
      </c>
      <c r="G217" s="16">
        <v>40</v>
      </c>
    </row>
    <row r="218" spans="1:7" x14ac:dyDescent="0.25">
      <c r="A218" s="13" t="s">
        <v>2002</v>
      </c>
      <c r="B218" s="13">
        <v>2539</v>
      </c>
      <c r="C218" s="14" t="s">
        <v>1273</v>
      </c>
      <c r="D218" s="15" t="s">
        <v>22</v>
      </c>
      <c r="E218" s="15">
        <v>45862</v>
      </c>
      <c r="F218" s="14" t="s">
        <v>20</v>
      </c>
      <c r="G218" s="16">
        <v>14.756</v>
      </c>
    </row>
    <row r="219" spans="1:7" x14ac:dyDescent="0.25">
      <c r="A219" s="13" t="s">
        <v>1990</v>
      </c>
      <c r="B219" s="13">
        <v>2569</v>
      </c>
      <c r="C219" s="14" t="s">
        <v>101</v>
      </c>
      <c r="D219" s="14" t="s">
        <v>887</v>
      </c>
      <c r="E219" s="15">
        <v>45856</v>
      </c>
      <c r="F219" s="14" t="s">
        <v>18</v>
      </c>
      <c r="G219" s="16">
        <v>60</v>
      </c>
    </row>
    <row r="220" spans="1:7" x14ac:dyDescent="0.25">
      <c r="A220" s="13" t="s">
        <v>1990</v>
      </c>
      <c r="B220" s="13">
        <v>2569</v>
      </c>
      <c r="C220" s="14" t="s">
        <v>101</v>
      </c>
      <c r="D220" s="14" t="s">
        <v>887</v>
      </c>
      <c r="E220" s="15">
        <v>45856</v>
      </c>
      <c r="F220" s="14" t="s">
        <v>20</v>
      </c>
      <c r="G220" s="16">
        <v>3.29</v>
      </c>
    </row>
    <row r="221" spans="1:7" x14ac:dyDescent="0.25">
      <c r="A221" s="13" t="s">
        <v>1990</v>
      </c>
      <c r="B221" s="13">
        <v>2569</v>
      </c>
      <c r="C221" s="14" t="s">
        <v>101</v>
      </c>
      <c r="D221" s="14" t="s">
        <v>887</v>
      </c>
      <c r="E221" s="15">
        <v>45856</v>
      </c>
      <c r="F221" s="14" t="s">
        <v>19</v>
      </c>
      <c r="G221" s="16">
        <v>30.173999999999999</v>
      </c>
    </row>
    <row r="222" spans="1:7" x14ac:dyDescent="0.25">
      <c r="A222" s="13" t="s">
        <v>1991</v>
      </c>
      <c r="B222" s="13">
        <v>2569</v>
      </c>
      <c r="C222" s="14" t="s">
        <v>101</v>
      </c>
      <c r="D222" s="14" t="s">
        <v>887</v>
      </c>
      <c r="E222" s="15">
        <v>45859</v>
      </c>
      <c r="F222" s="14" t="s">
        <v>20</v>
      </c>
      <c r="G222" s="16">
        <v>19.649999999999999</v>
      </c>
    </row>
    <row r="223" spans="1:7" x14ac:dyDescent="0.25">
      <c r="A223" s="13" t="s">
        <v>1977</v>
      </c>
      <c r="B223" s="13">
        <v>2572</v>
      </c>
      <c r="C223" s="14" t="s">
        <v>462</v>
      </c>
      <c r="D223" s="15" t="s">
        <v>1978</v>
      </c>
      <c r="E223" s="15">
        <v>45850</v>
      </c>
      <c r="F223" s="14" t="s">
        <v>18</v>
      </c>
      <c r="G223" s="16">
        <v>60</v>
      </c>
    </row>
    <row r="224" spans="1:7" x14ac:dyDescent="0.25">
      <c r="A224" s="13" t="s">
        <v>1977</v>
      </c>
      <c r="B224" s="13">
        <v>2572</v>
      </c>
      <c r="C224" s="14" t="s">
        <v>462</v>
      </c>
      <c r="D224" s="14" t="s">
        <v>1978</v>
      </c>
      <c r="E224" s="15">
        <v>45852</v>
      </c>
      <c r="F224" s="14" t="s">
        <v>20</v>
      </c>
      <c r="G224" s="16">
        <v>112.67100000000001</v>
      </c>
    </row>
    <row r="225" spans="1:7" x14ac:dyDescent="0.25">
      <c r="A225" s="13" t="s">
        <v>2018</v>
      </c>
      <c r="B225" s="13">
        <v>2572</v>
      </c>
      <c r="C225" s="14" t="s">
        <v>462</v>
      </c>
      <c r="D225" s="14" t="s">
        <v>540</v>
      </c>
      <c r="E225" s="15">
        <v>45860</v>
      </c>
      <c r="F225" s="14" t="s">
        <v>19</v>
      </c>
      <c r="G225" s="16">
        <v>95.978999999999999</v>
      </c>
    </row>
    <row r="226" spans="1:7" x14ac:dyDescent="0.25">
      <c r="A226" s="13" t="s">
        <v>2009</v>
      </c>
      <c r="B226" s="13">
        <v>2630</v>
      </c>
      <c r="C226" s="14" t="s">
        <v>988</v>
      </c>
      <c r="D226" s="14" t="s">
        <v>22</v>
      </c>
      <c r="E226" s="15">
        <v>45840</v>
      </c>
      <c r="F226" s="14" t="s">
        <v>18</v>
      </c>
      <c r="G226" s="16">
        <v>70</v>
      </c>
    </row>
    <row r="227" spans="1:7" x14ac:dyDescent="0.25">
      <c r="A227" s="13" t="s">
        <v>2009</v>
      </c>
      <c r="B227" s="13">
        <v>2630</v>
      </c>
      <c r="C227" s="14" t="s">
        <v>988</v>
      </c>
      <c r="D227" s="14" t="s">
        <v>22</v>
      </c>
      <c r="E227" s="15">
        <v>45864</v>
      </c>
      <c r="F227" s="14" t="s">
        <v>20</v>
      </c>
      <c r="G227" s="16">
        <v>167.7</v>
      </c>
    </row>
    <row r="228" spans="1:7" x14ac:dyDescent="0.25">
      <c r="A228" s="13" t="s">
        <v>2009</v>
      </c>
      <c r="B228" s="13">
        <v>2630</v>
      </c>
      <c r="C228" s="14" t="s">
        <v>988</v>
      </c>
      <c r="D228" s="15" t="s">
        <v>22</v>
      </c>
      <c r="E228" s="15">
        <v>45840</v>
      </c>
      <c r="F228" s="14" t="s">
        <v>20</v>
      </c>
      <c r="G228" s="16">
        <v>60.28</v>
      </c>
    </row>
    <row r="229" spans="1:7" x14ac:dyDescent="0.25">
      <c r="A229" s="13" t="s">
        <v>2009</v>
      </c>
      <c r="B229" s="13">
        <v>2630</v>
      </c>
      <c r="C229" s="14" t="s">
        <v>988</v>
      </c>
      <c r="D229" s="14" t="s">
        <v>22</v>
      </c>
      <c r="E229" s="15">
        <v>45847</v>
      </c>
      <c r="F229" s="14" t="s">
        <v>19</v>
      </c>
      <c r="G229" s="16">
        <v>130</v>
      </c>
    </row>
    <row r="230" spans="1:7" x14ac:dyDescent="0.25">
      <c r="A230" s="13" t="s">
        <v>2009</v>
      </c>
      <c r="B230" s="13">
        <v>2630</v>
      </c>
      <c r="C230" s="14" t="s">
        <v>988</v>
      </c>
      <c r="D230" s="15" t="s">
        <v>22</v>
      </c>
      <c r="E230" s="15">
        <v>45840</v>
      </c>
      <c r="F230" s="14" t="s">
        <v>363</v>
      </c>
      <c r="G230" s="16">
        <v>180</v>
      </c>
    </row>
    <row r="231" spans="1:7" x14ac:dyDescent="0.25">
      <c r="A231" s="13" t="s">
        <v>2009</v>
      </c>
      <c r="B231" s="13">
        <v>2630</v>
      </c>
      <c r="C231" s="14" t="s">
        <v>988</v>
      </c>
      <c r="D231" s="15" t="s">
        <v>22</v>
      </c>
      <c r="E231" s="15">
        <v>45847</v>
      </c>
      <c r="F231" s="14" t="s">
        <v>363</v>
      </c>
      <c r="G231" s="16">
        <v>40</v>
      </c>
    </row>
    <row r="232" spans="1:7" x14ac:dyDescent="0.25">
      <c r="A232" s="13" t="s">
        <v>2009</v>
      </c>
      <c r="B232" s="13">
        <v>2630</v>
      </c>
      <c r="C232" s="14" t="s">
        <v>988</v>
      </c>
      <c r="D232" s="15" t="s">
        <v>22</v>
      </c>
      <c r="E232" s="15">
        <v>45847</v>
      </c>
      <c r="F232" s="14" t="s">
        <v>364</v>
      </c>
      <c r="G232" s="16">
        <v>132.34700000000001</v>
      </c>
    </row>
    <row r="233" spans="1:7" x14ac:dyDescent="0.25">
      <c r="A233" s="13" t="s">
        <v>2008</v>
      </c>
      <c r="B233" s="13">
        <v>2637</v>
      </c>
      <c r="C233" s="14" t="s">
        <v>1792</v>
      </c>
      <c r="D233" s="14" t="s">
        <v>37</v>
      </c>
      <c r="E233" s="15">
        <v>45810</v>
      </c>
      <c r="F233" s="14" t="s">
        <v>20</v>
      </c>
      <c r="G233" s="16">
        <v>35.299999999999997</v>
      </c>
    </row>
    <row r="234" spans="1:7" x14ac:dyDescent="0.25">
      <c r="A234" s="13" t="s">
        <v>2008</v>
      </c>
      <c r="B234" s="13">
        <v>2637</v>
      </c>
      <c r="C234" s="14" t="s">
        <v>1792</v>
      </c>
      <c r="D234" s="15" t="s">
        <v>37</v>
      </c>
      <c r="E234" s="15">
        <v>45810</v>
      </c>
      <c r="F234" s="14" t="s">
        <v>20</v>
      </c>
      <c r="G234" s="16">
        <v>6.68</v>
      </c>
    </row>
    <row r="235" spans="1:7" x14ac:dyDescent="0.25">
      <c r="A235" s="13" t="s">
        <v>2008</v>
      </c>
      <c r="B235" s="13">
        <v>2637</v>
      </c>
      <c r="C235" s="14" t="s">
        <v>1792</v>
      </c>
      <c r="D235" s="15" t="s">
        <v>37</v>
      </c>
      <c r="E235" s="15">
        <v>45861</v>
      </c>
      <c r="F235" s="14" t="s">
        <v>24</v>
      </c>
      <c r="G235" s="16">
        <v>180</v>
      </c>
    </row>
    <row r="236" spans="1:7" ht="18.75" x14ac:dyDescent="0.3">
      <c r="A236" s="14"/>
      <c r="B236" s="28"/>
      <c r="C236" s="29"/>
      <c r="D236" s="14"/>
      <c r="E236" s="28"/>
      <c r="F236" s="17" t="s">
        <v>11</v>
      </c>
      <c r="G236" s="17">
        <f>SUM(G10:G235)</f>
        <v>19195.082999999999</v>
      </c>
    </row>
    <row r="237" spans="1:7" ht="18.75" x14ac:dyDescent="0.3">
      <c r="A237" s="38"/>
      <c r="B237" s="39"/>
      <c r="C237" s="40"/>
      <c r="D237" s="41"/>
      <c r="E237" s="19"/>
      <c r="F237" s="18"/>
      <c r="G237" s="34"/>
    </row>
    <row r="238" spans="1:7" ht="18.75" x14ac:dyDescent="0.3">
      <c r="A238" s="35"/>
      <c r="B238" s="36"/>
      <c r="C238" s="37"/>
      <c r="D238" s="42"/>
      <c r="E238" s="43"/>
      <c r="F238" s="44"/>
      <c r="G238" s="44"/>
    </row>
    <row r="239" spans="1:7" ht="15.75" x14ac:dyDescent="0.25">
      <c r="A239" s="35"/>
      <c r="B239" s="36" t="s">
        <v>12</v>
      </c>
      <c r="C239" s="37"/>
      <c r="E239" s="36" t="s">
        <v>13</v>
      </c>
      <c r="F239" s="18"/>
      <c r="G239" s="18"/>
    </row>
    <row r="240" spans="1:7" ht="15.75" x14ac:dyDescent="0.25">
      <c r="A240" s="45"/>
      <c r="B240" s="46" t="s">
        <v>14</v>
      </c>
      <c r="C240" s="47"/>
      <c r="E240" s="36" t="s">
        <v>15</v>
      </c>
      <c r="F240" s="18"/>
      <c r="G240" s="18"/>
    </row>
    <row r="241" spans="1:7" ht="15.75" x14ac:dyDescent="0.25">
      <c r="A241" s="23"/>
      <c r="B241" s="24"/>
      <c r="C241" s="25"/>
      <c r="E241" s="27"/>
      <c r="F241" s="18"/>
      <c r="G241" s="18"/>
    </row>
    <row r="242" spans="1:7" ht="18.75" x14ac:dyDescent="0.3">
      <c r="B242" s="19"/>
      <c r="C242" s="20"/>
      <c r="D242" s="21"/>
      <c r="E242" s="22"/>
      <c r="F242" s="19"/>
      <c r="G242" s="22"/>
    </row>
    <row r="243" spans="1:7" ht="15.75" x14ac:dyDescent="0.25">
      <c r="A243" s="23"/>
      <c r="B243" s="24"/>
      <c r="C243" s="25"/>
      <c r="D243" s="26"/>
      <c r="E243" s="22"/>
      <c r="F243" s="27"/>
      <c r="G243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9"/>
  <sheetViews>
    <sheetView workbookViewId="0">
      <pane ySplit="9" topLeftCell="A10" activePane="bottomLeft" state="frozen"/>
      <selection pane="bottomLeft" activeCell="B4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2026</v>
      </c>
      <c r="C5" s="7"/>
      <c r="D5" s="4"/>
    </row>
    <row r="6" spans="1:7" ht="22.5" customHeight="1" x14ac:dyDescent="0.25">
      <c r="A6" s="6"/>
      <c r="B6" s="8" t="s">
        <v>2149</v>
      </c>
      <c r="C6" s="9"/>
      <c r="D6" s="4"/>
    </row>
    <row r="7" spans="1:7" ht="22.5" customHeight="1" x14ac:dyDescent="0.35">
      <c r="A7" s="4"/>
      <c r="B7" s="10"/>
      <c r="C7" s="11" t="s">
        <v>2148</v>
      </c>
      <c r="D7" s="4"/>
    </row>
    <row r="8" spans="1:7" ht="22.5" customHeight="1" x14ac:dyDescent="0.25">
      <c r="A8" s="12"/>
      <c r="B8" s="12"/>
    </row>
    <row r="9" spans="1:7" x14ac:dyDescent="0.25">
      <c r="A9" s="13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2048</v>
      </c>
      <c r="B10" s="13">
        <v>590</v>
      </c>
      <c r="C10" s="14" t="str">
        <f>+VLOOKUP(B10,[1]LISTE!$A$1:$D$431,4,FALSE)</f>
        <v>KHALFALLAH ABDELAZIZ</v>
      </c>
      <c r="D10" s="14" t="s">
        <v>279</v>
      </c>
      <c r="E10" s="15">
        <v>45828</v>
      </c>
      <c r="F10" s="14" t="s">
        <v>19</v>
      </c>
      <c r="G10" s="16">
        <v>63.24</v>
      </c>
    </row>
    <row r="11" spans="1:7" x14ac:dyDescent="0.25">
      <c r="A11" s="13" t="s">
        <v>2048</v>
      </c>
      <c r="B11" s="13">
        <v>590</v>
      </c>
      <c r="C11" s="14" t="str">
        <f>+VLOOKUP(B11,[1]LISTE!$A$1:$D$431,4,FALSE)</f>
        <v>KHALFALLAH ABDELAZIZ</v>
      </c>
      <c r="D11" s="15" t="s">
        <v>279</v>
      </c>
      <c r="E11" s="15">
        <v>45829</v>
      </c>
      <c r="F11" s="14" t="s">
        <v>20</v>
      </c>
      <c r="G11" s="16">
        <v>47.7</v>
      </c>
    </row>
    <row r="12" spans="1:7" x14ac:dyDescent="0.25">
      <c r="A12" s="13" t="s">
        <v>2087</v>
      </c>
      <c r="B12" s="13">
        <v>859</v>
      </c>
      <c r="C12" s="14" t="str">
        <f>+VLOOKUP(B12,[1]LISTE!$A$1:$D$431,4,FALSE)</f>
        <v>ZRELLI MOHAMED</v>
      </c>
      <c r="D12" s="15" t="s">
        <v>421</v>
      </c>
      <c r="E12" s="15">
        <v>45855</v>
      </c>
      <c r="F12" s="14" t="s">
        <v>23</v>
      </c>
      <c r="G12" s="16">
        <v>40</v>
      </c>
    </row>
    <row r="13" spans="1:7" x14ac:dyDescent="0.25">
      <c r="A13" s="13" t="s">
        <v>2087</v>
      </c>
      <c r="B13" s="13">
        <v>859</v>
      </c>
      <c r="C13" s="14" t="str">
        <f>+VLOOKUP(B13,[1]LISTE!$A$1:$D$431,4,FALSE)</f>
        <v>ZRELLI MOHAMED</v>
      </c>
      <c r="D13" s="15" t="s">
        <v>421</v>
      </c>
      <c r="E13" s="15">
        <v>45855</v>
      </c>
      <c r="F13" s="14" t="s">
        <v>20</v>
      </c>
      <c r="G13" s="16">
        <v>4.2450000000000001</v>
      </c>
    </row>
    <row r="14" spans="1:7" x14ac:dyDescent="0.25">
      <c r="A14" s="13" t="s">
        <v>2087</v>
      </c>
      <c r="B14" s="13">
        <v>859</v>
      </c>
      <c r="C14" s="14" t="str">
        <f>+VLOOKUP(B14,[1]LISTE!$A$1:$D$431,4,FALSE)</f>
        <v>ZRELLI MOHAMED</v>
      </c>
      <c r="D14" s="15" t="s">
        <v>421</v>
      </c>
      <c r="E14" s="15">
        <v>45862</v>
      </c>
      <c r="F14" s="14" t="s">
        <v>24</v>
      </c>
      <c r="G14" s="16">
        <v>220</v>
      </c>
    </row>
    <row r="15" spans="1:7" x14ac:dyDescent="0.25">
      <c r="A15" s="13" t="s">
        <v>2131</v>
      </c>
      <c r="B15" s="13">
        <v>923</v>
      </c>
      <c r="C15" s="14" t="str">
        <f>+VLOOKUP(B15,[1]LISTE!$A$1:$D$431,4,FALSE)</f>
        <v>BEN AZIZA SLAH</v>
      </c>
      <c r="D15" s="14" t="s">
        <v>1436</v>
      </c>
      <c r="E15" s="15">
        <v>45868</v>
      </c>
      <c r="F15" s="14" t="s">
        <v>23</v>
      </c>
      <c r="G15" s="16">
        <v>35</v>
      </c>
    </row>
    <row r="16" spans="1:7" x14ac:dyDescent="0.25">
      <c r="A16" s="13" t="s">
        <v>2131</v>
      </c>
      <c r="B16" s="13">
        <v>923</v>
      </c>
      <c r="C16" s="14" t="str">
        <f>+VLOOKUP(B16,[1]LISTE!$A$1:$D$431,4,FALSE)</f>
        <v>BEN AZIZA SLAH</v>
      </c>
      <c r="D16" s="14" t="s">
        <v>1436</v>
      </c>
      <c r="E16" s="15">
        <v>45868</v>
      </c>
      <c r="F16" s="14" t="s">
        <v>20</v>
      </c>
      <c r="G16" s="16">
        <v>92.474999999999994</v>
      </c>
    </row>
    <row r="17" spans="1:7" x14ac:dyDescent="0.25">
      <c r="A17" s="13" t="s">
        <v>2132</v>
      </c>
      <c r="B17" s="13">
        <v>923</v>
      </c>
      <c r="C17" s="14" t="str">
        <f>+VLOOKUP(B17,[1]LISTE!$A$1:$D$431,4,FALSE)</f>
        <v>BEN AZIZA SLAH</v>
      </c>
      <c r="D17" s="15" t="s">
        <v>1438</v>
      </c>
      <c r="E17" s="15">
        <v>45872</v>
      </c>
      <c r="F17" s="14" t="s">
        <v>23</v>
      </c>
      <c r="G17" s="16">
        <v>35</v>
      </c>
    </row>
    <row r="18" spans="1:7" x14ac:dyDescent="0.25">
      <c r="A18" s="13" t="s">
        <v>2132</v>
      </c>
      <c r="B18" s="13">
        <v>923</v>
      </c>
      <c r="C18" s="14" t="str">
        <f>+VLOOKUP(B18,[1]LISTE!$A$1:$D$431,4,FALSE)</f>
        <v>BEN AZIZA SLAH</v>
      </c>
      <c r="D18" s="15" t="s">
        <v>1438</v>
      </c>
      <c r="E18" s="15">
        <v>45876</v>
      </c>
      <c r="F18" s="14" t="s">
        <v>20</v>
      </c>
      <c r="G18" s="16">
        <v>88.525000000000006</v>
      </c>
    </row>
    <row r="19" spans="1:7" x14ac:dyDescent="0.25">
      <c r="A19" s="13" t="s">
        <v>2059</v>
      </c>
      <c r="B19" s="13">
        <v>957</v>
      </c>
      <c r="C19" s="14" t="str">
        <f>+VLOOKUP(B19,[1]LISTE!$A$1:$D$431,4,FALSE)</f>
        <v>GAZZAH NIZAR</v>
      </c>
      <c r="D19" s="14" t="s">
        <v>374</v>
      </c>
      <c r="E19" s="15">
        <v>45863</v>
      </c>
      <c r="F19" s="14" t="s">
        <v>20</v>
      </c>
      <c r="G19" s="16">
        <v>17.428000000000001</v>
      </c>
    </row>
    <row r="20" spans="1:7" x14ac:dyDescent="0.25">
      <c r="A20" s="13" t="s">
        <v>2059</v>
      </c>
      <c r="B20" s="13">
        <v>957</v>
      </c>
      <c r="C20" s="14" t="str">
        <f>+VLOOKUP(B20,[1]LISTE!$A$1:$D$431,4,FALSE)</f>
        <v>GAZZAH NIZAR</v>
      </c>
      <c r="D20" s="15" t="s">
        <v>374</v>
      </c>
      <c r="E20" s="15">
        <v>45863</v>
      </c>
      <c r="F20" s="14" t="s">
        <v>363</v>
      </c>
      <c r="G20" s="16">
        <v>500</v>
      </c>
    </row>
    <row r="21" spans="1:7" x14ac:dyDescent="0.25">
      <c r="A21" s="13" t="s">
        <v>2060</v>
      </c>
      <c r="B21" s="13">
        <v>957</v>
      </c>
      <c r="C21" s="14" t="str">
        <f>+VLOOKUP(B21,[1]LISTE!$A$1:$D$431,4,FALSE)</f>
        <v>GAZZAH NIZAR</v>
      </c>
      <c r="D21" s="14" t="s">
        <v>374</v>
      </c>
      <c r="E21" s="15">
        <v>45856</v>
      </c>
      <c r="F21" s="14" t="s">
        <v>18</v>
      </c>
      <c r="G21" s="16">
        <v>70</v>
      </c>
    </row>
    <row r="22" spans="1:7" x14ac:dyDescent="0.25">
      <c r="A22" s="13" t="s">
        <v>2060</v>
      </c>
      <c r="B22" s="13">
        <v>957</v>
      </c>
      <c r="C22" s="14" t="str">
        <f>+VLOOKUP(B22,[1]LISTE!$A$1:$D$431,4,FALSE)</f>
        <v>GAZZAH NIZAR</v>
      </c>
      <c r="D22" s="14" t="s">
        <v>374</v>
      </c>
      <c r="E22" s="15">
        <v>45856</v>
      </c>
      <c r="F22" s="14" t="s">
        <v>20</v>
      </c>
      <c r="G22" s="16">
        <v>2.3650000000000002</v>
      </c>
    </row>
    <row r="23" spans="1:7" x14ac:dyDescent="0.25">
      <c r="A23" s="13" t="s">
        <v>2101</v>
      </c>
      <c r="B23" s="13">
        <v>990</v>
      </c>
      <c r="C23" s="14" t="str">
        <f>+VLOOKUP(B23,[1]LISTE!$A$1:$D$431,4,FALSE)</f>
        <v>GARDALLOU SAMIR</v>
      </c>
      <c r="D23" s="15" t="s">
        <v>303</v>
      </c>
      <c r="E23" s="15">
        <v>45868</v>
      </c>
      <c r="F23" s="14" t="s">
        <v>65</v>
      </c>
      <c r="G23" s="16">
        <v>180</v>
      </c>
    </row>
    <row r="24" spans="1:7" x14ac:dyDescent="0.25">
      <c r="A24" s="13" t="s">
        <v>2101</v>
      </c>
      <c r="B24" s="13">
        <v>990</v>
      </c>
      <c r="C24" s="14" t="str">
        <f>+VLOOKUP(B24,[1]LISTE!$A$1:$D$431,4,FALSE)</f>
        <v>GARDALLOU SAMIR</v>
      </c>
      <c r="D24" s="15" t="s">
        <v>303</v>
      </c>
      <c r="E24" s="15">
        <v>45868</v>
      </c>
      <c r="F24" s="14" t="s">
        <v>65</v>
      </c>
      <c r="G24" s="16">
        <v>120</v>
      </c>
    </row>
    <row r="25" spans="1:7" x14ac:dyDescent="0.25">
      <c r="A25" s="13" t="s">
        <v>2031</v>
      </c>
      <c r="B25" s="13">
        <v>1504</v>
      </c>
      <c r="C25" s="14" t="str">
        <f>+VLOOKUP(B25,[1]LISTE!$A$1:$D$431,4,FALSE)</f>
        <v>ABBADI HABIB</v>
      </c>
      <c r="D25" s="15" t="s">
        <v>22</v>
      </c>
      <c r="E25" s="15">
        <v>45841</v>
      </c>
      <c r="F25" s="14" t="s">
        <v>18</v>
      </c>
      <c r="G25" s="16">
        <v>70</v>
      </c>
    </row>
    <row r="26" spans="1:7" x14ac:dyDescent="0.25">
      <c r="A26" s="13" t="s">
        <v>2031</v>
      </c>
      <c r="B26" s="13">
        <v>1504</v>
      </c>
      <c r="C26" s="14" t="str">
        <f>+VLOOKUP(B26,[1]LISTE!$A$1:$D$431,4,FALSE)</f>
        <v>ABBADI HABIB</v>
      </c>
      <c r="D26" s="14" t="s">
        <v>22</v>
      </c>
      <c r="E26" s="15">
        <v>45868</v>
      </c>
      <c r="F26" s="14" t="s">
        <v>20</v>
      </c>
      <c r="G26" s="16">
        <v>61.014000000000003</v>
      </c>
    </row>
    <row r="27" spans="1:7" x14ac:dyDescent="0.25">
      <c r="A27" s="13" t="s">
        <v>2076</v>
      </c>
      <c r="B27" s="13">
        <v>1541</v>
      </c>
      <c r="C27" s="14" t="str">
        <f>+VLOOKUP(B27,[1]LISTE!$A$1:$D$431,4,FALSE)</f>
        <v>MAHJOUB MOUNIR</v>
      </c>
      <c r="D27" s="14" t="s">
        <v>22</v>
      </c>
      <c r="E27" s="15">
        <v>45845</v>
      </c>
      <c r="F27" s="14" t="s">
        <v>18</v>
      </c>
      <c r="G27" s="16">
        <v>70</v>
      </c>
    </row>
    <row r="28" spans="1:7" x14ac:dyDescent="0.25">
      <c r="A28" s="13" t="s">
        <v>2076</v>
      </c>
      <c r="B28" s="13">
        <v>1541</v>
      </c>
      <c r="C28" s="14" t="str">
        <f>+VLOOKUP(B28,[1]LISTE!$A$1:$D$431,4,FALSE)</f>
        <v>MAHJOUB MOUNIR</v>
      </c>
      <c r="D28" s="15" t="s">
        <v>22</v>
      </c>
      <c r="E28" s="15">
        <v>45846</v>
      </c>
      <c r="F28" s="14" t="s">
        <v>19</v>
      </c>
      <c r="G28" s="16">
        <v>70.510000000000005</v>
      </c>
    </row>
    <row r="29" spans="1:7" x14ac:dyDescent="0.25">
      <c r="A29" s="13" t="s">
        <v>2076</v>
      </c>
      <c r="B29" s="13">
        <v>1541</v>
      </c>
      <c r="C29" s="14" t="str">
        <f>+VLOOKUP(B29,[1]LISTE!$A$1:$D$431,4,FALSE)</f>
        <v>MAHJOUB MOUNIR</v>
      </c>
      <c r="D29" s="15" t="s">
        <v>22</v>
      </c>
      <c r="E29" s="15">
        <v>45852</v>
      </c>
      <c r="F29" s="14" t="s">
        <v>20</v>
      </c>
      <c r="G29" s="16">
        <v>231.88</v>
      </c>
    </row>
    <row r="30" spans="1:7" x14ac:dyDescent="0.25">
      <c r="A30" s="13" t="s">
        <v>2071</v>
      </c>
      <c r="B30" s="13">
        <v>1556</v>
      </c>
      <c r="C30" s="14" t="str">
        <f>+VLOOKUP(B30,[1]LISTE!$A$1:$D$431,4,FALSE)</f>
        <v>LOGHMARI KHELIL</v>
      </c>
      <c r="D30" s="15" t="s">
        <v>1755</v>
      </c>
      <c r="E30" s="15">
        <v>45867</v>
      </c>
      <c r="F30" s="14" t="s">
        <v>18</v>
      </c>
      <c r="G30" s="16">
        <v>70</v>
      </c>
    </row>
    <row r="31" spans="1:7" x14ac:dyDescent="0.25">
      <c r="A31" s="13" t="s">
        <v>2071</v>
      </c>
      <c r="B31" s="13">
        <v>1556</v>
      </c>
      <c r="C31" s="14" t="str">
        <f>+VLOOKUP(B31,[1]LISTE!$A$1:$D$431,4,FALSE)</f>
        <v>LOGHMARI KHELIL</v>
      </c>
      <c r="D31" s="15" t="s">
        <v>1755</v>
      </c>
      <c r="E31" s="15">
        <v>45867</v>
      </c>
      <c r="F31" s="14" t="s">
        <v>20</v>
      </c>
      <c r="G31" s="16">
        <v>116.178</v>
      </c>
    </row>
    <row r="32" spans="1:7" x14ac:dyDescent="0.25">
      <c r="A32" s="13" t="s">
        <v>2090</v>
      </c>
      <c r="B32" s="13">
        <v>1556</v>
      </c>
      <c r="C32" s="14" t="str">
        <f>+VLOOKUP(B32,[1]LISTE!$A$1:$D$431,4,FALSE)</f>
        <v>LOGHMARI KHELIL</v>
      </c>
      <c r="D32" s="14" t="s">
        <v>871</v>
      </c>
      <c r="E32" s="15">
        <v>45842</v>
      </c>
      <c r="F32" s="14" t="s">
        <v>21</v>
      </c>
      <c r="G32" s="16">
        <v>60</v>
      </c>
    </row>
    <row r="33" spans="1:7" x14ac:dyDescent="0.25">
      <c r="A33" s="13" t="s">
        <v>2139</v>
      </c>
      <c r="B33" s="13">
        <v>1558</v>
      </c>
      <c r="C33" s="14" t="str">
        <f>+VLOOKUP(B33,[1]LISTE!$A$1:$D$431,4,FALSE)</f>
        <v>DRIDI KARIM</v>
      </c>
      <c r="D33" s="14" t="s">
        <v>296</v>
      </c>
      <c r="E33" s="15">
        <v>45867</v>
      </c>
      <c r="F33" s="14" t="s">
        <v>18</v>
      </c>
      <c r="G33" s="16">
        <v>70</v>
      </c>
    </row>
    <row r="34" spans="1:7" x14ac:dyDescent="0.25">
      <c r="A34" s="13" t="s">
        <v>2139</v>
      </c>
      <c r="B34" s="13">
        <v>1558</v>
      </c>
      <c r="C34" s="14" t="str">
        <f>+VLOOKUP(B34,[1]LISTE!$A$1:$D$431,4,FALSE)</f>
        <v>DRIDI KARIM</v>
      </c>
      <c r="D34" s="14" t="s">
        <v>296</v>
      </c>
      <c r="E34" s="15">
        <v>45867</v>
      </c>
      <c r="F34" s="14" t="s">
        <v>20</v>
      </c>
      <c r="G34" s="16">
        <v>26.9</v>
      </c>
    </row>
    <row r="35" spans="1:7" x14ac:dyDescent="0.25">
      <c r="A35" s="13" t="s">
        <v>2139</v>
      </c>
      <c r="B35" s="13">
        <v>1558</v>
      </c>
      <c r="C35" s="14" t="str">
        <f>+VLOOKUP(B35,[1]LISTE!$A$1:$D$431,4,FALSE)</f>
        <v>DRIDI KARIM</v>
      </c>
      <c r="D35" s="14" t="s">
        <v>296</v>
      </c>
      <c r="E35" s="15">
        <v>45867</v>
      </c>
      <c r="F35" s="14" t="s">
        <v>21</v>
      </c>
      <c r="G35" s="16">
        <v>30</v>
      </c>
    </row>
    <row r="36" spans="1:7" x14ac:dyDescent="0.25">
      <c r="A36" s="13" t="s">
        <v>2032</v>
      </c>
      <c r="B36" s="13">
        <v>1561</v>
      </c>
      <c r="C36" s="14" t="str">
        <f>+VLOOKUP(B36,[1]LISTE!$A$1:$D$431,4,FALSE)</f>
        <v>JMEGUER SAMI</v>
      </c>
      <c r="D36" s="14" t="s">
        <v>2033</v>
      </c>
      <c r="E36" s="15">
        <v>45855</v>
      </c>
      <c r="F36" s="14" t="s">
        <v>23</v>
      </c>
      <c r="G36" s="16">
        <v>40</v>
      </c>
    </row>
    <row r="37" spans="1:7" x14ac:dyDescent="0.25">
      <c r="A37" s="13" t="s">
        <v>2032</v>
      </c>
      <c r="B37" s="13">
        <v>1561</v>
      </c>
      <c r="C37" s="14" t="str">
        <f>+VLOOKUP(B37,[1]LISTE!$A$1:$D$431,4,FALSE)</f>
        <v>JMEGUER SAMI</v>
      </c>
      <c r="D37" s="14" t="s">
        <v>2033</v>
      </c>
      <c r="E37" s="15">
        <v>45855</v>
      </c>
      <c r="F37" s="14" t="s">
        <v>20</v>
      </c>
      <c r="G37" s="16">
        <v>35.844999999999999</v>
      </c>
    </row>
    <row r="38" spans="1:7" x14ac:dyDescent="0.25">
      <c r="A38" s="13" t="s">
        <v>2035</v>
      </c>
      <c r="B38" s="13">
        <v>1575</v>
      </c>
      <c r="C38" s="14" t="str">
        <f>+VLOOKUP(B38,[1]LISTE!$A$1:$D$431,4,FALSE)</f>
        <v>BEN ABDELJELIL ZOUHAIER</v>
      </c>
      <c r="D38" s="14" t="s">
        <v>595</v>
      </c>
      <c r="E38" s="15">
        <v>45842</v>
      </c>
      <c r="F38" s="14" t="s">
        <v>18</v>
      </c>
      <c r="G38" s="16">
        <v>70</v>
      </c>
    </row>
    <row r="39" spans="1:7" x14ac:dyDescent="0.25">
      <c r="A39" s="13" t="s">
        <v>2035</v>
      </c>
      <c r="B39" s="13">
        <v>1575</v>
      </c>
      <c r="C39" s="14" t="str">
        <f>+VLOOKUP(B39,[1]LISTE!$A$1:$D$431,4,FALSE)</f>
        <v>BEN ABDELJELIL ZOUHAIER</v>
      </c>
      <c r="D39" s="15" t="s">
        <v>595</v>
      </c>
      <c r="E39" s="15">
        <v>45867</v>
      </c>
      <c r="F39" s="14" t="s">
        <v>69</v>
      </c>
      <c r="G39" s="16">
        <v>390</v>
      </c>
    </row>
    <row r="40" spans="1:7" x14ac:dyDescent="0.25">
      <c r="A40" s="13" t="s">
        <v>2134</v>
      </c>
      <c r="B40" s="13">
        <v>1590</v>
      </c>
      <c r="C40" s="14" t="str">
        <f>+VLOOKUP(B40,[1]LISTE!$A$1:$D$431,4,FALSE)</f>
        <v>ABDELLAH HASSINE</v>
      </c>
      <c r="D40" s="14" t="s">
        <v>180</v>
      </c>
      <c r="E40" s="15">
        <v>45867</v>
      </c>
      <c r="F40" s="14" t="s">
        <v>23</v>
      </c>
      <c r="G40" s="16">
        <v>4.5</v>
      </c>
    </row>
    <row r="41" spans="1:7" x14ac:dyDescent="0.25">
      <c r="A41" s="13" t="s">
        <v>2134</v>
      </c>
      <c r="B41" s="13">
        <v>1590</v>
      </c>
      <c r="C41" s="14" t="str">
        <f>+VLOOKUP(B41,[1]LISTE!$A$1:$D$431,4,FALSE)</f>
        <v>ABDELLAH HASSINE</v>
      </c>
      <c r="D41" s="14" t="s">
        <v>180</v>
      </c>
      <c r="E41" s="15">
        <v>45867</v>
      </c>
      <c r="F41" s="14" t="s">
        <v>23</v>
      </c>
      <c r="G41" s="16">
        <v>1</v>
      </c>
    </row>
    <row r="42" spans="1:7" x14ac:dyDescent="0.25">
      <c r="A42" s="13" t="s">
        <v>2134</v>
      </c>
      <c r="B42" s="13">
        <v>1590</v>
      </c>
      <c r="C42" s="14" t="str">
        <f>+VLOOKUP(B42,[1]LISTE!$A$1:$D$431,4,FALSE)</f>
        <v>ABDELLAH HASSINE</v>
      </c>
      <c r="D42" s="14" t="s">
        <v>180</v>
      </c>
      <c r="E42" s="15">
        <v>45867</v>
      </c>
      <c r="F42" s="14" t="s">
        <v>23</v>
      </c>
      <c r="G42" s="16">
        <v>2.5</v>
      </c>
    </row>
    <row r="43" spans="1:7" x14ac:dyDescent="0.25">
      <c r="A43" s="13" t="s">
        <v>2134</v>
      </c>
      <c r="B43" s="13">
        <v>1590</v>
      </c>
      <c r="C43" s="14" t="str">
        <f>+VLOOKUP(B43,[1]LISTE!$A$1:$D$431,4,FALSE)</f>
        <v>ABDELLAH HASSINE</v>
      </c>
      <c r="D43" s="15" t="s">
        <v>180</v>
      </c>
      <c r="E43" s="15">
        <v>45867</v>
      </c>
      <c r="F43" s="14" t="s">
        <v>23</v>
      </c>
      <c r="G43" s="16">
        <v>7.5</v>
      </c>
    </row>
    <row r="44" spans="1:7" x14ac:dyDescent="0.25">
      <c r="A44" s="13" t="s">
        <v>2134</v>
      </c>
      <c r="B44" s="13">
        <v>1590</v>
      </c>
      <c r="C44" s="14" t="str">
        <f>+VLOOKUP(B44,[1]LISTE!$A$1:$D$431,4,FALSE)</f>
        <v>ABDELLAH HASSINE</v>
      </c>
      <c r="D44" s="14" t="s">
        <v>180</v>
      </c>
      <c r="E44" s="15">
        <v>45867</v>
      </c>
      <c r="F44" s="14" t="s">
        <v>587</v>
      </c>
      <c r="G44" s="16">
        <v>66.5</v>
      </c>
    </row>
    <row r="45" spans="1:7" x14ac:dyDescent="0.25">
      <c r="A45" s="13" t="s">
        <v>2134</v>
      </c>
      <c r="B45" s="13">
        <v>1590</v>
      </c>
      <c r="C45" s="14" t="str">
        <f>+VLOOKUP(B45,[1]LISTE!$A$1:$D$431,4,FALSE)</f>
        <v>ABDELLAH HASSINE</v>
      </c>
      <c r="D45" s="14" t="s">
        <v>180</v>
      </c>
      <c r="E45" s="15">
        <v>45869</v>
      </c>
      <c r="F45" s="14" t="s">
        <v>20</v>
      </c>
      <c r="G45" s="16">
        <v>49.253</v>
      </c>
    </row>
    <row r="46" spans="1:7" x14ac:dyDescent="0.25">
      <c r="A46" s="13" t="s">
        <v>2135</v>
      </c>
      <c r="B46" s="13">
        <v>1590</v>
      </c>
      <c r="C46" s="14" t="str">
        <f>+VLOOKUP(B46,[1]LISTE!$A$1:$D$431,4,FALSE)</f>
        <v>ABDELLAH HASSINE</v>
      </c>
      <c r="D46" s="14" t="s">
        <v>22</v>
      </c>
      <c r="E46" s="15">
        <v>45875</v>
      </c>
      <c r="F46" s="14" t="s">
        <v>20</v>
      </c>
      <c r="G46" s="16">
        <v>21.38</v>
      </c>
    </row>
    <row r="47" spans="1:7" x14ac:dyDescent="0.25">
      <c r="A47" s="13" t="s">
        <v>2135</v>
      </c>
      <c r="B47" s="13">
        <v>1590</v>
      </c>
      <c r="C47" s="14" t="str">
        <f>+VLOOKUP(B47,[1]LISTE!$A$1:$D$431,4,FALSE)</f>
        <v>ABDELLAH HASSINE</v>
      </c>
      <c r="D47" s="14" t="s">
        <v>22</v>
      </c>
      <c r="E47" s="15">
        <v>45873</v>
      </c>
      <c r="F47" s="14" t="s">
        <v>24</v>
      </c>
      <c r="G47" s="16">
        <v>180</v>
      </c>
    </row>
    <row r="48" spans="1:7" x14ac:dyDescent="0.25">
      <c r="A48" s="13" t="s">
        <v>2053</v>
      </c>
      <c r="B48" s="13">
        <v>1602</v>
      </c>
      <c r="C48" s="14" t="str">
        <f>+VLOOKUP(B48,[1]LISTE!$A$1:$D$431,4,FALSE)</f>
        <v>MAMIA RAMZI</v>
      </c>
      <c r="D48" s="14" t="s">
        <v>22</v>
      </c>
      <c r="E48" s="15">
        <v>45862</v>
      </c>
      <c r="F48" s="14" t="s">
        <v>18</v>
      </c>
      <c r="G48" s="16">
        <v>70</v>
      </c>
    </row>
    <row r="49" spans="1:7" x14ac:dyDescent="0.25">
      <c r="A49" s="13" t="s">
        <v>2053</v>
      </c>
      <c r="B49" s="13">
        <v>1602</v>
      </c>
      <c r="C49" s="14" t="str">
        <f>+VLOOKUP(B49,[1]LISTE!$A$1:$D$431,4,FALSE)</f>
        <v>MAMIA RAMZI</v>
      </c>
      <c r="D49" s="14" t="s">
        <v>22</v>
      </c>
      <c r="E49" s="15">
        <v>45862</v>
      </c>
      <c r="F49" s="14" t="s">
        <v>65</v>
      </c>
      <c r="G49" s="16">
        <v>30</v>
      </c>
    </row>
    <row r="50" spans="1:7" x14ac:dyDescent="0.25">
      <c r="A50" s="13" t="s">
        <v>2053</v>
      </c>
      <c r="B50" s="13">
        <v>1602</v>
      </c>
      <c r="C50" s="14" t="str">
        <f>+VLOOKUP(B50,[1]LISTE!$A$1:$D$431,4,FALSE)</f>
        <v>MAMIA RAMZI</v>
      </c>
      <c r="D50" s="14" t="s">
        <v>22</v>
      </c>
      <c r="E50" s="15">
        <v>45862</v>
      </c>
      <c r="F50" s="14" t="s">
        <v>20</v>
      </c>
      <c r="G50" s="16">
        <v>9.4049999999999994</v>
      </c>
    </row>
    <row r="51" spans="1:7" x14ac:dyDescent="0.25">
      <c r="A51" s="13" t="s">
        <v>2038</v>
      </c>
      <c r="B51" s="13">
        <v>1603</v>
      </c>
      <c r="C51" s="14" t="str">
        <f>+VLOOKUP(B51,[1]LISTE!$A$1:$D$431,4,FALSE)</f>
        <v>MANSOUR SALHA</v>
      </c>
      <c r="D51" s="14" t="s">
        <v>22</v>
      </c>
      <c r="E51" s="15">
        <v>45867</v>
      </c>
      <c r="F51" s="14" t="s">
        <v>20</v>
      </c>
      <c r="G51" s="16">
        <v>92.844999999999999</v>
      </c>
    </row>
    <row r="52" spans="1:7" x14ac:dyDescent="0.25">
      <c r="A52" s="13" t="s">
        <v>2045</v>
      </c>
      <c r="B52" s="13">
        <v>1616</v>
      </c>
      <c r="C52" s="14" t="str">
        <f>+VLOOKUP(B52,[1]LISTE!$A$1:$D$431,4,FALSE)</f>
        <v>MOUSSA FETHI</v>
      </c>
      <c r="D52" s="15" t="s">
        <v>2046</v>
      </c>
      <c r="E52" s="15">
        <v>45851</v>
      </c>
      <c r="F52" s="14" t="s">
        <v>23</v>
      </c>
      <c r="G52" s="16">
        <v>50</v>
      </c>
    </row>
    <row r="53" spans="1:7" x14ac:dyDescent="0.25">
      <c r="A53" s="13" t="s">
        <v>2045</v>
      </c>
      <c r="B53" s="13">
        <v>1616</v>
      </c>
      <c r="C53" s="14" t="str">
        <f>+VLOOKUP(B53,[1]LISTE!$A$1:$D$431,4,FALSE)</f>
        <v>MOUSSA FETHI</v>
      </c>
      <c r="D53" s="14" t="s">
        <v>2046</v>
      </c>
      <c r="E53" s="15">
        <v>45851</v>
      </c>
      <c r="F53" s="14" t="s">
        <v>20</v>
      </c>
      <c r="G53" s="16">
        <v>23.61</v>
      </c>
    </row>
    <row r="54" spans="1:7" x14ac:dyDescent="0.25">
      <c r="A54" s="13" t="s">
        <v>2039</v>
      </c>
      <c r="B54" s="13">
        <v>1671</v>
      </c>
      <c r="C54" s="14" t="str">
        <f>+VLOOKUP(B54,[1]LISTE!$A$1:$D$431,4,FALSE)</f>
        <v>EL BACH ADEL</v>
      </c>
      <c r="D54" s="14" t="s">
        <v>22</v>
      </c>
      <c r="E54" s="15">
        <v>45866</v>
      </c>
      <c r="F54" s="14" t="s">
        <v>18</v>
      </c>
      <c r="G54" s="16">
        <v>70</v>
      </c>
    </row>
    <row r="55" spans="1:7" x14ac:dyDescent="0.25">
      <c r="A55" s="13" t="s">
        <v>2039</v>
      </c>
      <c r="B55" s="13">
        <v>1671</v>
      </c>
      <c r="C55" s="14" t="str">
        <f>+VLOOKUP(B55,[1]LISTE!$A$1:$D$431,4,FALSE)</f>
        <v>EL BACH ADEL</v>
      </c>
      <c r="D55" s="14" t="s">
        <v>22</v>
      </c>
      <c r="E55" s="15">
        <v>45866</v>
      </c>
      <c r="F55" s="14" t="s">
        <v>20</v>
      </c>
      <c r="G55" s="16">
        <v>107.24</v>
      </c>
    </row>
    <row r="56" spans="1:7" x14ac:dyDescent="0.25">
      <c r="A56" s="13" t="s">
        <v>2039</v>
      </c>
      <c r="B56" s="13">
        <v>1671</v>
      </c>
      <c r="C56" s="14" t="str">
        <f>+VLOOKUP(B56,[1]LISTE!$A$1:$D$431,4,FALSE)</f>
        <v>EL BACH ADEL</v>
      </c>
      <c r="D56" s="14" t="s">
        <v>22</v>
      </c>
      <c r="E56" s="15">
        <v>45866</v>
      </c>
      <c r="F56" s="14" t="s">
        <v>21</v>
      </c>
      <c r="G56" s="16">
        <v>32</v>
      </c>
    </row>
    <row r="57" spans="1:7" x14ac:dyDescent="0.25">
      <c r="A57" s="13" t="s">
        <v>2039</v>
      </c>
      <c r="B57" s="13">
        <v>1671</v>
      </c>
      <c r="C57" s="14" t="str">
        <f>+VLOOKUP(B57,[1]LISTE!$A$1:$D$431,4,FALSE)</f>
        <v>EL BACH ADEL</v>
      </c>
      <c r="D57" s="14" t="s">
        <v>22</v>
      </c>
      <c r="E57" s="15">
        <v>45866</v>
      </c>
      <c r="F57" s="14" t="s">
        <v>21</v>
      </c>
      <c r="G57" s="16">
        <v>49</v>
      </c>
    </row>
    <row r="58" spans="1:7" x14ac:dyDescent="0.25">
      <c r="A58" s="13" t="s">
        <v>2040</v>
      </c>
      <c r="B58" s="13">
        <v>1671</v>
      </c>
      <c r="C58" s="14" t="str">
        <f>+VLOOKUP(B58,[1]LISTE!$A$1:$D$431,4,FALSE)</f>
        <v>EL BACH ADEL</v>
      </c>
      <c r="D58" s="14" t="s">
        <v>151</v>
      </c>
      <c r="E58" s="15">
        <v>45856</v>
      </c>
      <c r="F58" s="14" t="s">
        <v>23</v>
      </c>
      <c r="G58" s="16">
        <v>40</v>
      </c>
    </row>
    <row r="59" spans="1:7" x14ac:dyDescent="0.25">
      <c r="A59" s="13" t="s">
        <v>2040</v>
      </c>
      <c r="B59" s="13">
        <v>1671</v>
      </c>
      <c r="C59" s="14" t="str">
        <f>+VLOOKUP(B59,[1]LISTE!$A$1:$D$431,4,FALSE)</f>
        <v>EL BACH ADEL</v>
      </c>
      <c r="D59" s="14" t="s">
        <v>151</v>
      </c>
      <c r="E59" s="15">
        <v>45856</v>
      </c>
      <c r="F59" s="14" t="s">
        <v>20</v>
      </c>
      <c r="G59" s="16">
        <v>71.25</v>
      </c>
    </row>
    <row r="60" spans="1:7" x14ac:dyDescent="0.25">
      <c r="A60" s="13" t="s">
        <v>2041</v>
      </c>
      <c r="B60" s="13">
        <v>1671</v>
      </c>
      <c r="C60" s="14" t="str">
        <f>+VLOOKUP(B60,[1]LISTE!$A$1:$D$431,4,FALSE)</f>
        <v>EL BACH ADEL</v>
      </c>
      <c r="D60" s="15" t="s">
        <v>22</v>
      </c>
      <c r="E60" s="15">
        <v>45855</v>
      </c>
      <c r="F60" s="14" t="s">
        <v>23</v>
      </c>
      <c r="G60" s="16">
        <v>40</v>
      </c>
    </row>
    <row r="61" spans="1:7" x14ac:dyDescent="0.25">
      <c r="A61" s="13" t="s">
        <v>2041</v>
      </c>
      <c r="B61" s="13">
        <v>1671</v>
      </c>
      <c r="C61" s="14" t="str">
        <f>+VLOOKUP(B61,[1]LISTE!$A$1:$D$431,4,FALSE)</f>
        <v>EL BACH ADEL</v>
      </c>
      <c r="D61" s="14" t="s">
        <v>22</v>
      </c>
      <c r="E61" s="15">
        <v>45855</v>
      </c>
      <c r="F61" s="14" t="s">
        <v>20</v>
      </c>
      <c r="G61" s="16">
        <v>80.819000000000003</v>
      </c>
    </row>
    <row r="62" spans="1:7" x14ac:dyDescent="0.25">
      <c r="A62" s="13" t="s">
        <v>2049</v>
      </c>
      <c r="B62" s="13">
        <v>1677</v>
      </c>
      <c r="C62" s="14" t="str">
        <f>+VLOOKUP(B62,[1]LISTE!$A$1:$D$431,4,FALSE)</f>
        <v>HADJ AMMAR BRAHIM</v>
      </c>
      <c r="D62" s="14" t="s">
        <v>677</v>
      </c>
      <c r="E62" s="15">
        <v>45864</v>
      </c>
      <c r="F62" s="14" t="s">
        <v>23</v>
      </c>
      <c r="G62" s="16">
        <v>1.5</v>
      </c>
    </row>
    <row r="63" spans="1:7" x14ac:dyDescent="0.25">
      <c r="A63" s="13" t="s">
        <v>2049</v>
      </c>
      <c r="B63" s="13">
        <v>1677</v>
      </c>
      <c r="C63" s="14" t="str">
        <f>+VLOOKUP(B63,[1]LISTE!$A$1:$D$431,4,FALSE)</f>
        <v>HADJ AMMAR BRAHIM</v>
      </c>
      <c r="D63" s="14" t="s">
        <v>677</v>
      </c>
      <c r="E63" s="15">
        <v>45865</v>
      </c>
      <c r="F63" s="14" t="s">
        <v>20</v>
      </c>
      <c r="G63" s="16">
        <v>46.814</v>
      </c>
    </row>
    <row r="64" spans="1:7" x14ac:dyDescent="0.25">
      <c r="A64" s="13" t="s">
        <v>2078</v>
      </c>
      <c r="B64" s="13">
        <v>1680</v>
      </c>
      <c r="C64" s="14" t="str">
        <f>+VLOOKUP(B64,[1]LISTE!$A$1:$D$431,4,FALSE)</f>
        <v>SASSI WALID</v>
      </c>
      <c r="D64" s="14" t="s">
        <v>242</v>
      </c>
      <c r="E64" s="15">
        <v>45869</v>
      </c>
      <c r="F64" s="14" t="s">
        <v>23</v>
      </c>
      <c r="G64" s="16">
        <v>40</v>
      </c>
    </row>
    <row r="65" spans="1:7" x14ac:dyDescent="0.25">
      <c r="A65" s="13" t="s">
        <v>2078</v>
      </c>
      <c r="B65" s="13">
        <v>1680</v>
      </c>
      <c r="C65" s="14" t="str">
        <f>+VLOOKUP(B65,[1]LISTE!$A$1:$D$431,4,FALSE)</f>
        <v>SASSI WALID</v>
      </c>
      <c r="D65" s="14" t="s">
        <v>242</v>
      </c>
      <c r="E65" s="15">
        <v>45869</v>
      </c>
      <c r="F65" s="14" t="s">
        <v>20</v>
      </c>
      <c r="G65" s="16">
        <v>25.995000000000001</v>
      </c>
    </row>
    <row r="66" spans="1:7" x14ac:dyDescent="0.25">
      <c r="A66" s="13" t="s">
        <v>2050</v>
      </c>
      <c r="B66" s="13">
        <v>1687</v>
      </c>
      <c r="C66" s="14" t="str">
        <f>+VLOOKUP(B66,[1]LISTE!$A$1:$D$431,4,FALSE)</f>
        <v>LACHHAB SAHBI</v>
      </c>
      <c r="D66" s="14" t="s">
        <v>26</v>
      </c>
      <c r="E66" s="15">
        <v>45864</v>
      </c>
      <c r="F66" s="14" t="s">
        <v>18</v>
      </c>
      <c r="G66" s="16">
        <v>70</v>
      </c>
    </row>
    <row r="67" spans="1:7" x14ac:dyDescent="0.25">
      <c r="A67" s="13" t="s">
        <v>2050</v>
      </c>
      <c r="B67" s="13">
        <v>1687</v>
      </c>
      <c r="C67" s="14" t="str">
        <f>+VLOOKUP(B67,[1]LISTE!$A$1:$D$431,4,FALSE)</f>
        <v>LACHHAB SAHBI</v>
      </c>
      <c r="D67" s="14" t="s">
        <v>26</v>
      </c>
      <c r="E67" s="15">
        <v>45864</v>
      </c>
      <c r="F67" s="14" t="s">
        <v>69</v>
      </c>
      <c r="G67" s="16">
        <v>570</v>
      </c>
    </row>
    <row r="68" spans="1:7" x14ac:dyDescent="0.25">
      <c r="A68" s="13" t="s">
        <v>2080</v>
      </c>
      <c r="B68" s="13">
        <v>1687</v>
      </c>
      <c r="C68" s="14" t="str">
        <f>+VLOOKUP(B68,[1]LISTE!$A$1:$D$431,4,FALSE)</f>
        <v>LACHHAB SAHBI</v>
      </c>
      <c r="D68" s="15" t="s">
        <v>22</v>
      </c>
      <c r="E68" s="15">
        <v>45867</v>
      </c>
      <c r="F68" s="14" t="s">
        <v>23</v>
      </c>
      <c r="G68" s="16">
        <v>3</v>
      </c>
    </row>
    <row r="69" spans="1:7" x14ac:dyDescent="0.25">
      <c r="A69" s="13" t="s">
        <v>2080</v>
      </c>
      <c r="B69" s="13">
        <v>1687</v>
      </c>
      <c r="C69" s="14" t="str">
        <f>+VLOOKUP(B69,[1]LISTE!$A$1:$D$431,4,FALSE)</f>
        <v>LACHHAB SAHBI</v>
      </c>
      <c r="D69" s="14" t="s">
        <v>22</v>
      </c>
      <c r="E69" s="15">
        <v>45867</v>
      </c>
      <c r="F69" s="14" t="s">
        <v>20</v>
      </c>
      <c r="G69" s="16">
        <v>25.687999999999999</v>
      </c>
    </row>
    <row r="70" spans="1:7" x14ac:dyDescent="0.25">
      <c r="A70" s="13" t="s">
        <v>2037</v>
      </c>
      <c r="B70" s="13">
        <v>1689</v>
      </c>
      <c r="C70" s="14" t="str">
        <f>+VLOOKUP(B70,[1]LISTE!$A$1:$D$431,4,FALSE)</f>
        <v>GRAA SKANDER</v>
      </c>
      <c r="D70" s="15" t="s">
        <v>475</v>
      </c>
      <c r="E70" s="15">
        <v>45854</v>
      </c>
      <c r="F70" s="14" t="s">
        <v>23</v>
      </c>
      <c r="G70" s="16">
        <v>50</v>
      </c>
    </row>
    <row r="71" spans="1:7" x14ac:dyDescent="0.25">
      <c r="A71" s="13" t="s">
        <v>2037</v>
      </c>
      <c r="B71" s="13">
        <v>1689</v>
      </c>
      <c r="C71" s="14" t="str">
        <f>+VLOOKUP(B71,[1]LISTE!$A$1:$D$431,4,FALSE)</f>
        <v>GRAA SKANDER</v>
      </c>
      <c r="D71" s="15" t="s">
        <v>475</v>
      </c>
      <c r="E71" s="15">
        <v>45854</v>
      </c>
      <c r="F71" s="14" t="s">
        <v>20</v>
      </c>
      <c r="G71" s="16">
        <v>12.35</v>
      </c>
    </row>
    <row r="72" spans="1:7" x14ac:dyDescent="0.25">
      <c r="A72" s="13" t="s">
        <v>2037</v>
      </c>
      <c r="B72" s="13">
        <v>1689</v>
      </c>
      <c r="C72" s="14" t="str">
        <f>+VLOOKUP(B72,[1]LISTE!$A$1:$D$431,4,FALSE)</f>
        <v>GRAA SKANDER</v>
      </c>
      <c r="D72" s="14" t="s">
        <v>475</v>
      </c>
      <c r="E72" s="15">
        <v>45867</v>
      </c>
      <c r="F72" s="14" t="s">
        <v>24</v>
      </c>
      <c r="G72" s="16">
        <v>100</v>
      </c>
    </row>
    <row r="73" spans="1:7" x14ac:dyDescent="0.25">
      <c r="A73" s="13" t="s">
        <v>2111</v>
      </c>
      <c r="B73" s="13">
        <v>1702</v>
      </c>
      <c r="C73" s="14" t="str">
        <f>+VLOOKUP(B73,[1]LISTE!$A$1:$D$431,4,FALSE)</f>
        <v>JAIET WALID</v>
      </c>
      <c r="D73" s="14" t="s">
        <v>22</v>
      </c>
      <c r="E73" s="15">
        <v>45873</v>
      </c>
      <c r="F73" s="14" t="s">
        <v>23</v>
      </c>
      <c r="G73" s="16">
        <v>45</v>
      </c>
    </row>
    <row r="74" spans="1:7" x14ac:dyDescent="0.25">
      <c r="A74" s="13" t="s">
        <v>2111</v>
      </c>
      <c r="B74" s="13">
        <v>1702</v>
      </c>
      <c r="C74" s="14" t="str">
        <f>+VLOOKUP(B74,[1]LISTE!$A$1:$D$431,4,FALSE)</f>
        <v>JAIET WALID</v>
      </c>
      <c r="D74" s="14" t="s">
        <v>22</v>
      </c>
      <c r="E74" s="15">
        <v>45873</v>
      </c>
      <c r="F74" s="14" t="s">
        <v>20</v>
      </c>
      <c r="G74" s="16">
        <v>73.254999999999995</v>
      </c>
    </row>
    <row r="75" spans="1:7" x14ac:dyDescent="0.25">
      <c r="A75" s="13" t="s">
        <v>2112</v>
      </c>
      <c r="B75" s="13">
        <v>1702</v>
      </c>
      <c r="C75" s="14" t="str">
        <f>+VLOOKUP(B75,[1]LISTE!$A$1:$D$431,4,FALSE)</f>
        <v>JAIET WALID</v>
      </c>
      <c r="D75" s="14" t="s">
        <v>47</v>
      </c>
      <c r="E75" s="15">
        <v>45871</v>
      </c>
      <c r="F75" s="14" t="s">
        <v>23</v>
      </c>
      <c r="G75" s="16">
        <v>45</v>
      </c>
    </row>
    <row r="76" spans="1:7" x14ac:dyDescent="0.25">
      <c r="A76" s="13" t="s">
        <v>2112</v>
      </c>
      <c r="B76" s="13">
        <v>1702</v>
      </c>
      <c r="C76" s="14" t="str">
        <f>+VLOOKUP(B76,[1]LISTE!$A$1:$D$431,4,FALSE)</f>
        <v>JAIET WALID</v>
      </c>
      <c r="D76" s="14" t="s">
        <v>47</v>
      </c>
      <c r="E76" s="15">
        <v>45871</v>
      </c>
      <c r="F76" s="14" t="s">
        <v>20</v>
      </c>
      <c r="G76" s="16">
        <v>81.025000000000006</v>
      </c>
    </row>
    <row r="77" spans="1:7" x14ac:dyDescent="0.25">
      <c r="A77" s="13" t="s">
        <v>2042</v>
      </c>
      <c r="B77" s="13">
        <v>1739</v>
      </c>
      <c r="C77" s="14" t="str">
        <f>+VLOOKUP(B77,[1]LISTE!$A$1:$D$431,4,FALSE)</f>
        <v>ENGAZZOU SLAHEDDINE</v>
      </c>
      <c r="D77" s="15" t="s">
        <v>481</v>
      </c>
      <c r="E77" s="15">
        <v>45817</v>
      </c>
      <c r="F77" s="14" t="s">
        <v>18</v>
      </c>
      <c r="G77" s="16">
        <v>70</v>
      </c>
    </row>
    <row r="78" spans="1:7" x14ac:dyDescent="0.25">
      <c r="A78" s="13" t="s">
        <v>2042</v>
      </c>
      <c r="B78" s="13">
        <v>1739</v>
      </c>
      <c r="C78" s="14" t="str">
        <f>+VLOOKUP(B78,[1]LISTE!$A$1:$D$431,4,FALSE)</f>
        <v>ENGAZZOU SLAHEDDINE</v>
      </c>
      <c r="D78" s="15" t="s">
        <v>481</v>
      </c>
      <c r="E78" s="15">
        <v>45835</v>
      </c>
      <c r="F78" s="14" t="s">
        <v>19</v>
      </c>
      <c r="G78" s="16">
        <v>70</v>
      </c>
    </row>
    <row r="79" spans="1:7" x14ac:dyDescent="0.25">
      <c r="A79" s="13" t="s">
        <v>2042</v>
      </c>
      <c r="B79" s="13">
        <v>1739</v>
      </c>
      <c r="C79" s="14" t="str">
        <f>+VLOOKUP(B79,[1]LISTE!$A$1:$D$431,4,FALSE)</f>
        <v>ENGAZZOU SLAHEDDINE</v>
      </c>
      <c r="D79" s="15" t="s">
        <v>481</v>
      </c>
      <c r="E79" s="15">
        <v>45835</v>
      </c>
      <c r="F79" s="14" t="s">
        <v>437</v>
      </c>
      <c r="G79" s="16">
        <v>30</v>
      </c>
    </row>
    <row r="80" spans="1:7" x14ac:dyDescent="0.25">
      <c r="A80" s="13" t="s">
        <v>2042</v>
      </c>
      <c r="B80" s="13">
        <v>1739</v>
      </c>
      <c r="C80" s="14" t="str">
        <f>+VLOOKUP(B80,[1]LISTE!$A$1:$D$431,4,FALSE)</f>
        <v>ENGAZZOU SLAHEDDINE</v>
      </c>
      <c r="D80" s="14" t="s">
        <v>481</v>
      </c>
      <c r="E80" s="15">
        <v>45835</v>
      </c>
      <c r="F80" s="14" t="s">
        <v>363</v>
      </c>
      <c r="G80" s="16">
        <v>200</v>
      </c>
    </row>
    <row r="81" spans="1:7" x14ac:dyDescent="0.25">
      <c r="A81" s="13" t="s">
        <v>2042</v>
      </c>
      <c r="B81" s="13">
        <v>1739</v>
      </c>
      <c r="C81" s="14" t="str">
        <f>+VLOOKUP(B81,[1]LISTE!$A$1:$D$431,4,FALSE)</f>
        <v>ENGAZZOU SLAHEDDINE</v>
      </c>
      <c r="D81" s="14" t="s">
        <v>481</v>
      </c>
      <c r="E81" s="15">
        <v>45835</v>
      </c>
      <c r="F81" s="14" t="s">
        <v>364</v>
      </c>
      <c r="G81" s="16">
        <v>120</v>
      </c>
    </row>
    <row r="82" spans="1:7" x14ac:dyDescent="0.25">
      <c r="A82" s="13" t="s">
        <v>2088</v>
      </c>
      <c r="B82" s="13">
        <v>1739</v>
      </c>
      <c r="C82" s="14" t="str">
        <f>+VLOOKUP(B82,[1]LISTE!$A$1:$D$431,4,FALSE)</f>
        <v>ENGAZZOU SLAHEDDINE</v>
      </c>
      <c r="D82" s="14" t="s">
        <v>481</v>
      </c>
      <c r="E82" s="15">
        <v>45698</v>
      </c>
      <c r="F82" s="14" t="s">
        <v>18</v>
      </c>
      <c r="G82" s="16">
        <v>70</v>
      </c>
    </row>
    <row r="83" spans="1:7" x14ac:dyDescent="0.25">
      <c r="A83" s="13" t="s">
        <v>2088</v>
      </c>
      <c r="B83" s="13">
        <v>1739</v>
      </c>
      <c r="C83" s="14" t="str">
        <f>+VLOOKUP(B83,[1]LISTE!$A$1:$D$431,4,FALSE)</f>
        <v>ENGAZZOU SLAHEDDINE</v>
      </c>
      <c r="D83" s="15" t="s">
        <v>481</v>
      </c>
      <c r="E83" s="15">
        <v>45698</v>
      </c>
      <c r="F83" s="14" t="s">
        <v>20</v>
      </c>
      <c r="G83" s="16">
        <v>49.594999999999999</v>
      </c>
    </row>
    <row r="84" spans="1:7" x14ac:dyDescent="0.25">
      <c r="A84" s="13" t="s">
        <v>2088</v>
      </c>
      <c r="B84" s="13">
        <v>1739</v>
      </c>
      <c r="C84" s="14" t="str">
        <f>+VLOOKUP(B84,[1]LISTE!$A$1:$D$431,4,FALSE)</f>
        <v>ENGAZZOU SLAHEDDINE</v>
      </c>
      <c r="D84" s="14" t="s">
        <v>481</v>
      </c>
      <c r="E84" s="15">
        <v>45698</v>
      </c>
      <c r="F84" s="14" t="s">
        <v>21</v>
      </c>
      <c r="G84" s="16">
        <v>250</v>
      </c>
    </row>
    <row r="85" spans="1:7" x14ac:dyDescent="0.25">
      <c r="A85" s="13" t="s">
        <v>2088</v>
      </c>
      <c r="B85" s="13">
        <v>1739</v>
      </c>
      <c r="C85" s="14" t="str">
        <f>+VLOOKUP(B85,[1]LISTE!$A$1:$D$431,4,FALSE)</f>
        <v>ENGAZZOU SLAHEDDINE</v>
      </c>
      <c r="D85" s="15" t="s">
        <v>481</v>
      </c>
      <c r="E85" s="15">
        <v>45699</v>
      </c>
      <c r="F85" s="14" t="s">
        <v>364</v>
      </c>
      <c r="G85" s="16">
        <v>170</v>
      </c>
    </row>
    <row r="86" spans="1:7" x14ac:dyDescent="0.25">
      <c r="A86" s="13" t="s">
        <v>2105</v>
      </c>
      <c r="B86" s="13">
        <v>1739</v>
      </c>
      <c r="C86" s="14" t="str">
        <f>+VLOOKUP(B86,[1]LISTE!$A$1:$D$431,4,FALSE)</f>
        <v>ENGAZZOU SLAHEDDINE</v>
      </c>
      <c r="D86" s="14" t="s">
        <v>481</v>
      </c>
      <c r="E86" s="15">
        <v>45854</v>
      </c>
      <c r="F86" s="14" t="s">
        <v>19</v>
      </c>
      <c r="G86" s="16">
        <v>227.05</v>
      </c>
    </row>
    <row r="87" spans="1:7" x14ac:dyDescent="0.25">
      <c r="A87" s="13" t="s">
        <v>2105</v>
      </c>
      <c r="B87" s="13">
        <v>1739</v>
      </c>
      <c r="C87" s="14" t="str">
        <f>+VLOOKUP(B87,[1]LISTE!$A$1:$D$431,4,FALSE)</f>
        <v>ENGAZZOU SLAHEDDINE</v>
      </c>
      <c r="D87" s="14" t="s">
        <v>481</v>
      </c>
      <c r="E87" s="15">
        <v>45854</v>
      </c>
      <c r="F87" s="14" t="s">
        <v>19</v>
      </c>
      <c r="G87" s="16">
        <v>49.61</v>
      </c>
    </row>
    <row r="88" spans="1:7" x14ac:dyDescent="0.25">
      <c r="A88" s="13" t="s">
        <v>2105</v>
      </c>
      <c r="B88" s="13">
        <v>1739</v>
      </c>
      <c r="C88" s="14" t="str">
        <f>+VLOOKUP(B88,[1]LISTE!$A$1:$D$431,4,FALSE)</f>
        <v>ENGAZZOU SLAHEDDINE</v>
      </c>
      <c r="D88" s="15" t="s">
        <v>481</v>
      </c>
      <c r="E88" s="15">
        <v>45854</v>
      </c>
      <c r="F88" s="14" t="s">
        <v>20</v>
      </c>
      <c r="G88" s="16">
        <v>170.17400000000001</v>
      </c>
    </row>
    <row r="89" spans="1:7" x14ac:dyDescent="0.25">
      <c r="A89" s="13" t="s">
        <v>2105</v>
      </c>
      <c r="B89" s="13">
        <v>1739</v>
      </c>
      <c r="C89" s="14" t="str">
        <f>+VLOOKUP(B89,[1]LISTE!$A$1:$D$431,4,FALSE)</f>
        <v>ENGAZZOU SLAHEDDINE</v>
      </c>
      <c r="D89" s="14" t="s">
        <v>481</v>
      </c>
      <c r="E89" s="15">
        <v>45854</v>
      </c>
      <c r="F89" s="14" t="s">
        <v>21</v>
      </c>
      <c r="G89" s="16">
        <v>154</v>
      </c>
    </row>
    <row r="90" spans="1:7" x14ac:dyDescent="0.25">
      <c r="A90" s="13" t="s">
        <v>2105</v>
      </c>
      <c r="B90" s="13">
        <v>1739</v>
      </c>
      <c r="C90" s="14" t="str">
        <f>+VLOOKUP(B90,[1]LISTE!$A$1:$D$431,4,FALSE)</f>
        <v>ENGAZZOU SLAHEDDINE</v>
      </c>
      <c r="D90" s="14" t="s">
        <v>481</v>
      </c>
      <c r="E90" s="15">
        <v>45854</v>
      </c>
      <c r="F90" s="14" t="s">
        <v>364</v>
      </c>
      <c r="G90" s="16">
        <v>623.02800000000002</v>
      </c>
    </row>
    <row r="91" spans="1:7" x14ac:dyDescent="0.25">
      <c r="A91" s="13" t="s">
        <v>2034</v>
      </c>
      <c r="B91" s="13">
        <v>1740</v>
      </c>
      <c r="C91" s="14" t="str">
        <f>+VLOOKUP(B91,[1]LISTE!$A$1:$D$431,4,FALSE)</f>
        <v>YOUSSEF LOTFI</v>
      </c>
      <c r="D91" s="14" t="s">
        <v>22</v>
      </c>
      <c r="E91" s="15">
        <v>45859</v>
      </c>
      <c r="F91" s="14" t="s">
        <v>23</v>
      </c>
      <c r="G91" s="16">
        <v>45</v>
      </c>
    </row>
    <row r="92" spans="1:7" x14ac:dyDescent="0.25">
      <c r="A92" s="13" t="s">
        <v>2034</v>
      </c>
      <c r="B92" s="13">
        <v>1740</v>
      </c>
      <c r="C92" s="14" t="str">
        <f>+VLOOKUP(B92,[1]LISTE!$A$1:$D$431,4,FALSE)</f>
        <v>YOUSSEF LOTFI</v>
      </c>
      <c r="D92" s="14" t="s">
        <v>22</v>
      </c>
      <c r="E92" s="15">
        <v>45860</v>
      </c>
      <c r="F92" s="14" t="s">
        <v>20</v>
      </c>
      <c r="G92" s="16">
        <v>32.164999999999999</v>
      </c>
    </row>
    <row r="93" spans="1:7" x14ac:dyDescent="0.25">
      <c r="A93" s="13" t="s">
        <v>2068</v>
      </c>
      <c r="B93" s="13">
        <v>1764</v>
      </c>
      <c r="C93" s="14" t="str">
        <f>+VLOOKUP(B93,[1]LISTE!$A$1:$D$431,4,FALSE)</f>
        <v>RBEH MAHMOUD</v>
      </c>
      <c r="D93" s="14" t="s">
        <v>2069</v>
      </c>
      <c r="E93" s="15">
        <v>45843</v>
      </c>
      <c r="F93" s="14" t="s">
        <v>18</v>
      </c>
      <c r="G93" s="16">
        <v>60</v>
      </c>
    </row>
    <row r="94" spans="1:7" x14ac:dyDescent="0.25">
      <c r="A94" s="13" t="s">
        <v>2070</v>
      </c>
      <c r="B94" s="13">
        <v>1764</v>
      </c>
      <c r="C94" s="14" t="str">
        <f>+VLOOKUP(B94,[1]LISTE!$A$1:$D$431,4,FALSE)</f>
        <v>RBEH MAHMOUD</v>
      </c>
      <c r="D94" s="14" t="s">
        <v>2069</v>
      </c>
      <c r="E94" s="15">
        <v>45853</v>
      </c>
      <c r="F94" s="14" t="s">
        <v>18</v>
      </c>
      <c r="G94" s="16">
        <v>60</v>
      </c>
    </row>
    <row r="95" spans="1:7" x14ac:dyDescent="0.25">
      <c r="A95" s="13" t="s">
        <v>2097</v>
      </c>
      <c r="B95" s="13">
        <v>1764</v>
      </c>
      <c r="C95" s="14" t="str">
        <f>+VLOOKUP(B95,[1]LISTE!$A$1:$D$431,4,FALSE)</f>
        <v>RBEH MAHMOUD</v>
      </c>
      <c r="D95" s="15" t="s">
        <v>2069</v>
      </c>
      <c r="E95" s="15">
        <v>45862</v>
      </c>
      <c r="F95" s="14" t="s">
        <v>18</v>
      </c>
      <c r="G95" s="16">
        <v>60</v>
      </c>
    </row>
    <row r="96" spans="1:7" x14ac:dyDescent="0.25">
      <c r="A96" s="13" t="s">
        <v>2113</v>
      </c>
      <c r="B96" s="13">
        <v>1768</v>
      </c>
      <c r="C96" s="14" t="str">
        <f>+VLOOKUP(B96,[1]LISTE!$A$1:$D$431,4,FALSE)</f>
        <v>LADJIMI MAHER</v>
      </c>
      <c r="D96" s="15" t="s">
        <v>22</v>
      </c>
      <c r="E96" s="15">
        <v>45875</v>
      </c>
      <c r="F96" s="14" t="s">
        <v>18</v>
      </c>
      <c r="G96" s="16">
        <v>30</v>
      </c>
    </row>
    <row r="97" spans="1:7" x14ac:dyDescent="0.25">
      <c r="A97" s="13" t="s">
        <v>2113</v>
      </c>
      <c r="B97" s="13">
        <v>1768</v>
      </c>
      <c r="C97" s="14" t="str">
        <f>+VLOOKUP(B97,[1]LISTE!$A$1:$D$431,4,FALSE)</f>
        <v>LADJIMI MAHER</v>
      </c>
      <c r="D97" s="14" t="s">
        <v>22</v>
      </c>
      <c r="E97" s="15">
        <v>45875</v>
      </c>
      <c r="F97" s="14" t="s">
        <v>20</v>
      </c>
      <c r="G97" s="16">
        <v>141.72</v>
      </c>
    </row>
    <row r="98" spans="1:7" x14ac:dyDescent="0.25">
      <c r="A98" s="13" t="s">
        <v>2113</v>
      </c>
      <c r="B98" s="13">
        <v>1768</v>
      </c>
      <c r="C98" s="14" t="str">
        <f>+VLOOKUP(B98,[1]LISTE!$A$1:$D$431,4,FALSE)</f>
        <v>LADJIMI MAHER</v>
      </c>
      <c r="D98" s="14" t="s">
        <v>22</v>
      </c>
      <c r="E98" s="15">
        <v>45875</v>
      </c>
      <c r="F98" s="14" t="s">
        <v>20</v>
      </c>
      <c r="G98" s="16">
        <v>63.152000000000001</v>
      </c>
    </row>
    <row r="99" spans="1:7" x14ac:dyDescent="0.25">
      <c r="A99" s="13" t="s">
        <v>2114</v>
      </c>
      <c r="B99" s="13">
        <v>1768</v>
      </c>
      <c r="C99" s="14" t="str">
        <f>+VLOOKUP(B99,[1]LISTE!$A$1:$D$431,4,FALSE)</f>
        <v>LADJIMI MAHER</v>
      </c>
      <c r="D99" s="14" t="s">
        <v>455</v>
      </c>
      <c r="E99" s="15">
        <v>45862</v>
      </c>
      <c r="F99" s="14" t="s">
        <v>18</v>
      </c>
      <c r="G99" s="16">
        <v>80</v>
      </c>
    </row>
    <row r="100" spans="1:7" x14ac:dyDescent="0.25">
      <c r="A100" s="13" t="s">
        <v>2114</v>
      </c>
      <c r="B100" s="13">
        <v>1768</v>
      </c>
      <c r="C100" s="14" t="str">
        <f>+VLOOKUP(B100,[1]LISTE!$A$1:$D$431,4,FALSE)</f>
        <v>LADJIMI MAHER</v>
      </c>
      <c r="D100" s="14" t="s">
        <v>455</v>
      </c>
      <c r="E100" s="15">
        <v>45870</v>
      </c>
      <c r="F100" s="14" t="s">
        <v>20</v>
      </c>
      <c r="G100" s="16">
        <v>25.135000000000002</v>
      </c>
    </row>
    <row r="101" spans="1:7" x14ac:dyDescent="0.25">
      <c r="A101" s="13" t="s">
        <v>2044</v>
      </c>
      <c r="B101" s="13">
        <v>1781</v>
      </c>
      <c r="C101" s="14" t="str">
        <f>+VLOOKUP(B101,[1]LISTE!$A$1:$D$431,4,FALSE)</f>
        <v>KEMIMECH MOHAMED</v>
      </c>
      <c r="D101" s="15" t="s">
        <v>160</v>
      </c>
      <c r="E101" s="15">
        <v>45859</v>
      </c>
      <c r="F101" s="14" t="s">
        <v>20</v>
      </c>
      <c r="G101" s="16">
        <v>143.04</v>
      </c>
    </row>
    <row r="102" spans="1:7" x14ac:dyDescent="0.25">
      <c r="A102" s="13" t="s">
        <v>2047</v>
      </c>
      <c r="B102" s="13">
        <v>1781</v>
      </c>
      <c r="C102" s="14" t="str">
        <f>+VLOOKUP(B102,[1]LISTE!$A$1:$D$431,4,FALSE)</f>
        <v>KEMIMECH MOHAMED</v>
      </c>
      <c r="D102" s="14" t="s">
        <v>22</v>
      </c>
      <c r="E102" s="15">
        <v>45852</v>
      </c>
      <c r="F102" s="14" t="s">
        <v>23</v>
      </c>
      <c r="G102" s="16">
        <v>50</v>
      </c>
    </row>
    <row r="103" spans="1:7" x14ac:dyDescent="0.25">
      <c r="A103" s="13" t="s">
        <v>2047</v>
      </c>
      <c r="B103" s="13">
        <v>1781</v>
      </c>
      <c r="C103" s="14" t="str">
        <f>+VLOOKUP(B103,[1]LISTE!$A$1:$D$431,4,FALSE)</f>
        <v>KEMIMECH MOHAMED</v>
      </c>
      <c r="D103" s="15" t="s">
        <v>22</v>
      </c>
      <c r="E103" s="15">
        <v>45852</v>
      </c>
      <c r="F103" s="14" t="s">
        <v>20</v>
      </c>
      <c r="G103" s="16">
        <v>2.68</v>
      </c>
    </row>
    <row r="104" spans="1:7" x14ac:dyDescent="0.25">
      <c r="A104" s="13" t="s">
        <v>2047</v>
      </c>
      <c r="B104" s="13">
        <v>1781</v>
      </c>
      <c r="C104" s="14" t="str">
        <f>+VLOOKUP(B104,[1]LISTE!$A$1:$D$431,4,FALSE)</f>
        <v>KEMIMECH MOHAMED</v>
      </c>
      <c r="D104" s="14" t="s">
        <v>22</v>
      </c>
      <c r="E104" s="15">
        <v>45854</v>
      </c>
      <c r="F104" s="14" t="s">
        <v>24</v>
      </c>
      <c r="G104" s="16">
        <v>80</v>
      </c>
    </row>
    <row r="105" spans="1:7" x14ac:dyDescent="0.25">
      <c r="A105" s="13" t="s">
        <v>2133</v>
      </c>
      <c r="B105" s="13">
        <v>1784</v>
      </c>
      <c r="C105" s="14" t="str">
        <f>+VLOOKUP(B105,[1]LISTE!$A$1:$D$431,4,FALSE)</f>
        <v>LAYOUNI KHALED</v>
      </c>
      <c r="D105" s="14" t="s">
        <v>22</v>
      </c>
      <c r="E105" s="15">
        <v>45875</v>
      </c>
      <c r="F105" s="14" t="s">
        <v>65</v>
      </c>
      <c r="G105" s="16">
        <v>300</v>
      </c>
    </row>
    <row r="106" spans="1:7" x14ac:dyDescent="0.25">
      <c r="A106" s="13" t="s">
        <v>2029</v>
      </c>
      <c r="B106" s="13">
        <v>1796</v>
      </c>
      <c r="C106" s="14" t="str">
        <f>+VLOOKUP(B106,[1]LISTE!$A$1:$D$431,4,FALSE)</f>
        <v>BEL HADJ HASSINE IMED</v>
      </c>
      <c r="D106" s="14" t="s">
        <v>2030</v>
      </c>
      <c r="E106" s="15">
        <v>45865</v>
      </c>
      <c r="F106" s="14" t="s">
        <v>1889</v>
      </c>
      <c r="G106" s="16">
        <v>150</v>
      </c>
    </row>
    <row r="107" spans="1:7" x14ac:dyDescent="0.25">
      <c r="A107" s="13" t="s">
        <v>2029</v>
      </c>
      <c r="B107" s="13">
        <v>1796</v>
      </c>
      <c r="C107" s="14" t="str">
        <f>+VLOOKUP(B107,[1]LISTE!$A$1:$D$431,4,FALSE)</f>
        <v>BEL HADJ HASSINE IMED</v>
      </c>
      <c r="D107" s="14" t="s">
        <v>2030</v>
      </c>
      <c r="E107" s="15">
        <v>45867</v>
      </c>
      <c r="F107" s="14" t="s">
        <v>20</v>
      </c>
      <c r="G107" s="16">
        <v>37.383000000000003</v>
      </c>
    </row>
    <row r="108" spans="1:7" x14ac:dyDescent="0.25">
      <c r="A108" s="13" t="s">
        <v>2143</v>
      </c>
      <c r="B108" s="13">
        <v>1796</v>
      </c>
      <c r="C108" s="14" t="str">
        <f>+VLOOKUP(B108,[1]LISTE!$A$1:$D$431,4,FALSE)</f>
        <v>BEL HADJ HASSINE IMED</v>
      </c>
      <c r="D108" s="14" t="s">
        <v>22</v>
      </c>
      <c r="E108" s="15">
        <v>45852</v>
      </c>
      <c r="F108" s="14" t="s">
        <v>18</v>
      </c>
      <c r="G108" s="16">
        <v>70</v>
      </c>
    </row>
    <row r="109" spans="1:7" x14ac:dyDescent="0.25">
      <c r="A109" s="13" t="s">
        <v>2143</v>
      </c>
      <c r="B109" s="13">
        <v>1796</v>
      </c>
      <c r="C109" s="14" t="str">
        <f>+VLOOKUP(B109,[1]LISTE!$A$1:$D$431,4,FALSE)</f>
        <v>BEL HADJ HASSINE IMED</v>
      </c>
      <c r="D109" s="14" t="s">
        <v>22</v>
      </c>
      <c r="E109" s="15">
        <v>45876</v>
      </c>
      <c r="F109" s="14" t="s">
        <v>20</v>
      </c>
      <c r="G109" s="16">
        <v>27.728000000000002</v>
      </c>
    </row>
    <row r="110" spans="1:7" x14ac:dyDescent="0.25">
      <c r="A110" s="13" t="s">
        <v>2085</v>
      </c>
      <c r="B110" s="13">
        <v>1809</v>
      </c>
      <c r="C110" s="14" t="str">
        <f>+VLOOKUP(B110,[1]LISTE!$A$1:$D$431,4,FALSE)</f>
        <v>JUILI AFIF</v>
      </c>
      <c r="D110" s="15" t="s">
        <v>144</v>
      </c>
      <c r="E110" s="15">
        <v>45855</v>
      </c>
      <c r="F110" s="14" t="s">
        <v>23</v>
      </c>
      <c r="G110" s="16">
        <v>20</v>
      </c>
    </row>
    <row r="111" spans="1:7" x14ac:dyDescent="0.25">
      <c r="A111" s="13" t="s">
        <v>2085</v>
      </c>
      <c r="B111" s="13">
        <v>1809</v>
      </c>
      <c r="C111" s="14" t="str">
        <f>+VLOOKUP(B111,[1]LISTE!$A$1:$D$431,4,FALSE)</f>
        <v>JUILI AFIF</v>
      </c>
      <c r="D111" s="15" t="s">
        <v>144</v>
      </c>
      <c r="E111" s="15">
        <v>45857</v>
      </c>
      <c r="F111" s="14" t="s">
        <v>20</v>
      </c>
      <c r="G111" s="16">
        <v>24.725999999999999</v>
      </c>
    </row>
    <row r="112" spans="1:7" x14ac:dyDescent="0.25">
      <c r="A112" s="13" t="s">
        <v>2089</v>
      </c>
      <c r="B112" s="13">
        <v>1817</v>
      </c>
      <c r="C112" s="14" t="str">
        <f>+VLOOKUP(B112,[1]LISTE!$A$1:$D$431,4,FALSE)</f>
        <v>ZOUITEN MUSTAPHA</v>
      </c>
      <c r="D112" s="14" t="s">
        <v>22</v>
      </c>
      <c r="E112" s="15">
        <v>45863</v>
      </c>
      <c r="F112" s="14" t="s">
        <v>19</v>
      </c>
      <c r="G112" s="16">
        <v>342.50700000000001</v>
      </c>
    </row>
    <row r="113" spans="1:7" x14ac:dyDescent="0.25">
      <c r="A113" s="13" t="s">
        <v>2089</v>
      </c>
      <c r="B113" s="13">
        <v>1817</v>
      </c>
      <c r="C113" s="14" t="str">
        <f>+VLOOKUP(B113,[1]LISTE!$A$1:$D$431,4,FALSE)</f>
        <v>ZOUITEN MUSTAPHA</v>
      </c>
      <c r="D113" s="14" t="s">
        <v>22</v>
      </c>
      <c r="E113" s="15">
        <v>45863</v>
      </c>
      <c r="F113" s="14" t="s">
        <v>20</v>
      </c>
      <c r="G113" s="16">
        <v>133.679</v>
      </c>
    </row>
    <row r="114" spans="1:7" x14ac:dyDescent="0.25">
      <c r="A114" s="13" t="s">
        <v>2116</v>
      </c>
      <c r="B114" s="13">
        <v>1817</v>
      </c>
      <c r="C114" s="14" t="str">
        <f>+VLOOKUP(B114,[1]LISTE!$A$1:$D$431,4,FALSE)</f>
        <v>ZOUITEN MUSTAPHA</v>
      </c>
      <c r="D114" s="14" t="s">
        <v>22</v>
      </c>
      <c r="E114" s="15">
        <v>45874</v>
      </c>
      <c r="F114" s="14" t="s">
        <v>18</v>
      </c>
      <c r="G114" s="16">
        <v>50</v>
      </c>
    </row>
    <row r="115" spans="1:7" x14ac:dyDescent="0.25">
      <c r="A115" s="13" t="s">
        <v>2116</v>
      </c>
      <c r="B115" s="13">
        <v>1817</v>
      </c>
      <c r="C115" s="14" t="str">
        <f>+VLOOKUP(B115,[1]LISTE!$A$1:$D$431,4,FALSE)</f>
        <v>ZOUITEN MUSTAPHA</v>
      </c>
      <c r="D115" s="14" t="s">
        <v>22</v>
      </c>
      <c r="E115" s="15">
        <v>45874</v>
      </c>
      <c r="F115" s="14" t="s">
        <v>20</v>
      </c>
      <c r="G115" s="16">
        <v>172.89599999999999</v>
      </c>
    </row>
    <row r="116" spans="1:7" x14ac:dyDescent="0.25">
      <c r="A116" s="13" t="s">
        <v>2108</v>
      </c>
      <c r="B116" s="13">
        <v>1819</v>
      </c>
      <c r="C116" s="14" t="str">
        <f>+VLOOKUP(B116,[1]LISTE!$A$1:$D$431,4,FALSE)</f>
        <v>SASSI MOHAMED WALID</v>
      </c>
      <c r="D116" s="14" t="s">
        <v>371</v>
      </c>
      <c r="E116" s="15">
        <v>45838</v>
      </c>
      <c r="F116" s="14" t="s">
        <v>18</v>
      </c>
      <c r="G116" s="16">
        <v>70</v>
      </c>
    </row>
    <row r="117" spans="1:7" x14ac:dyDescent="0.25">
      <c r="A117" s="13" t="s">
        <v>2108</v>
      </c>
      <c r="B117" s="13">
        <v>1819</v>
      </c>
      <c r="C117" s="14" t="str">
        <f>+VLOOKUP(B117,[1]LISTE!$A$1:$D$431,4,FALSE)</f>
        <v>SASSI MOHAMED WALID</v>
      </c>
      <c r="D117" s="14" t="s">
        <v>371</v>
      </c>
      <c r="E117" s="15">
        <v>45839</v>
      </c>
      <c r="F117" s="14" t="s">
        <v>19</v>
      </c>
      <c r="G117" s="16">
        <v>119.09099999999999</v>
      </c>
    </row>
    <row r="118" spans="1:7" x14ac:dyDescent="0.25">
      <c r="A118" s="13" t="s">
        <v>2108</v>
      </c>
      <c r="B118" s="13">
        <v>1819</v>
      </c>
      <c r="C118" s="14" t="str">
        <f>+VLOOKUP(B118,[1]LISTE!$A$1:$D$431,4,FALSE)</f>
        <v>SASSI MOHAMED WALID</v>
      </c>
      <c r="D118" s="15" t="s">
        <v>371</v>
      </c>
      <c r="E118" s="15">
        <v>45841</v>
      </c>
      <c r="F118" s="14" t="s">
        <v>20</v>
      </c>
      <c r="G118" s="16">
        <v>65.959999999999994</v>
      </c>
    </row>
    <row r="119" spans="1:7" x14ac:dyDescent="0.25">
      <c r="A119" s="13" t="s">
        <v>2108</v>
      </c>
      <c r="B119" s="13">
        <v>1819</v>
      </c>
      <c r="C119" s="14" t="str">
        <f>+VLOOKUP(B119,[1]LISTE!$A$1:$D$431,4,FALSE)</f>
        <v>SASSI MOHAMED WALID</v>
      </c>
      <c r="D119" s="15" t="s">
        <v>371</v>
      </c>
      <c r="E119" s="15">
        <v>45864</v>
      </c>
      <c r="F119" s="14" t="s">
        <v>65</v>
      </c>
      <c r="G119" s="16">
        <v>300</v>
      </c>
    </row>
    <row r="120" spans="1:7" x14ac:dyDescent="0.25">
      <c r="A120" s="13" t="s">
        <v>2099</v>
      </c>
      <c r="B120" s="13">
        <v>1820</v>
      </c>
      <c r="C120" s="14" t="str">
        <f>+VLOOKUP(B120,[1]LISTE!$A$1:$D$431,4,FALSE)</f>
        <v>MKHININI MOHAMED RIMEH</v>
      </c>
      <c r="D120" s="14" t="s">
        <v>2100</v>
      </c>
      <c r="E120" s="15">
        <v>45854</v>
      </c>
      <c r="F120" s="14" t="s">
        <v>18</v>
      </c>
      <c r="G120" s="16">
        <v>70</v>
      </c>
    </row>
    <row r="121" spans="1:7" x14ac:dyDescent="0.25">
      <c r="A121" s="13" t="s">
        <v>2099</v>
      </c>
      <c r="B121" s="13">
        <v>1820</v>
      </c>
      <c r="C121" s="14" t="str">
        <f>+VLOOKUP(B121,[1]LISTE!$A$1:$D$431,4,FALSE)</f>
        <v>MKHININI MOHAMED RIMEH</v>
      </c>
      <c r="D121" s="14" t="s">
        <v>2100</v>
      </c>
      <c r="E121" s="15">
        <v>45859</v>
      </c>
      <c r="F121" s="14" t="s">
        <v>20</v>
      </c>
      <c r="G121" s="16">
        <v>66.599999999999994</v>
      </c>
    </row>
    <row r="122" spans="1:7" x14ac:dyDescent="0.25">
      <c r="A122" s="13" t="s">
        <v>2130</v>
      </c>
      <c r="B122" s="13">
        <v>1824</v>
      </c>
      <c r="C122" s="14" t="str">
        <f>+VLOOKUP(B122,[1]LISTE!$A$1:$D$431,4,FALSE)</f>
        <v>ESSAFI BECHIR</v>
      </c>
      <c r="D122" s="14" t="s">
        <v>71</v>
      </c>
      <c r="E122" s="15">
        <v>45869</v>
      </c>
      <c r="F122" s="14" t="s">
        <v>23</v>
      </c>
      <c r="G122" s="16">
        <v>3</v>
      </c>
    </row>
    <row r="123" spans="1:7" x14ac:dyDescent="0.25">
      <c r="A123" s="13" t="s">
        <v>2130</v>
      </c>
      <c r="B123" s="13">
        <v>1824</v>
      </c>
      <c r="C123" s="14" t="str">
        <f>+VLOOKUP(B123,[1]LISTE!$A$1:$D$431,4,FALSE)</f>
        <v>ESSAFI BECHIR</v>
      </c>
      <c r="D123" s="14" t="s">
        <v>71</v>
      </c>
      <c r="E123" s="15">
        <v>45869</v>
      </c>
      <c r="F123" s="14" t="s">
        <v>20</v>
      </c>
      <c r="G123" s="16">
        <v>216.79499999999999</v>
      </c>
    </row>
    <row r="124" spans="1:7" x14ac:dyDescent="0.25">
      <c r="A124" s="13" t="s">
        <v>2115</v>
      </c>
      <c r="B124" s="13">
        <v>1842</v>
      </c>
      <c r="C124" s="14" t="str">
        <f>+VLOOKUP(B124,[1]LISTE!$A$1:$D$431,4,FALSE)</f>
        <v>SAKKA ROUIS SAMI</v>
      </c>
      <c r="D124" s="14" t="s">
        <v>47</v>
      </c>
      <c r="E124" s="15">
        <v>45871</v>
      </c>
      <c r="F124" s="14" t="s">
        <v>23</v>
      </c>
      <c r="G124" s="16">
        <v>45</v>
      </c>
    </row>
    <row r="125" spans="1:7" x14ac:dyDescent="0.25">
      <c r="A125" s="13" t="s">
        <v>2115</v>
      </c>
      <c r="B125" s="13">
        <v>1842</v>
      </c>
      <c r="C125" s="14" t="str">
        <f>+VLOOKUP(B125,[1]LISTE!$A$1:$D$431,4,FALSE)</f>
        <v>SAKKA ROUIS SAMI</v>
      </c>
      <c r="D125" s="14" t="s">
        <v>47</v>
      </c>
      <c r="E125" s="15">
        <v>45873</v>
      </c>
      <c r="F125" s="14" t="s">
        <v>19</v>
      </c>
      <c r="G125" s="16">
        <v>130.54</v>
      </c>
    </row>
    <row r="126" spans="1:7" x14ac:dyDescent="0.25">
      <c r="A126" s="13" t="s">
        <v>2115</v>
      </c>
      <c r="B126" s="13">
        <v>1842</v>
      </c>
      <c r="C126" s="14" t="str">
        <f>+VLOOKUP(B126,[1]LISTE!$A$1:$D$431,4,FALSE)</f>
        <v>SAKKA ROUIS SAMI</v>
      </c>
      <c r="D126" s="15" t="s">
        <v>47</v>
      </c>
      <c r="E126" s="15">
        <v>45871</v>
      </c>
      <c r="F126" s="14" t="s">
        <v>20</v>
      </c>
      <c r="G126" s="16">
        <v>89.441000000000003</v>
      </c>
    </row>
    <row r="127" spans="1:7" x14ac:dyDescent="0.25">
      <c r="A127" s="13" t="s">
        <v>2147</v>
      </c>
      <c r="B127" s="13">
        <v>1842</v>
      </c>
      <c r="C127" s="14" t="str">
        <f>+VLOOKUP(B127,[1]LISTE!$A$1:$D$431,4,FALSE)</f>
        <v>SAKKA ROUIS SAMI</v>
      </c>
      <c r="D127" s="14" t="s">
        <v>47</v>
      </c>
      <c r="E127" s="15">
        <v>45875</v>
      </c>
      <c r="F127" s="14" t="s">
        <v>19</v>
      </c>
      <c r="G127" s="16">
        <v>94.16</v>
      </c>
    </row>
    <row r="128" spans="1:7" x14ac:dyDescent="0.25">
      <c r="A128" s="13" t="s">
        <v>2147</v>
      </c>
      <c r="B128" s="13">
        <v>1842</v>
      </c>
      <c r="C128" s="14" t="str">
        <f>+VLOOKUP(B128,[1]LISTE!$A$1:$D$431,4,FALSE)</f>
        <v>SAKKA ROUIS SAMI</v>
      </c>
      <c r="D128" s="15" t="s">
        <v>47</v>
      </c>
      <c r="E128" s="15">
        <v>45876</v>
      </c>
      <c r="F128" s="14" t="s">
        <v>20</v>
      </c>
      <c r="G128" s="16">
        <v>64.352999999999994</v>
      </c>
    </row>
    <row r="129" spans="1:7" x14ac:dyDescent="0.25">
      <c r="A129" s="13" t="s">
        <v>2079</v>
      </c>
      <c r="B129" s="13">
        <v>1851</v>
      </c>
      <c r="C129" s="14" t="str">
        <f>+VLOOKUP(B129,[1]LISTE!$A$1:$D$431,4,FALSE)</f>
        <v>ATTIA FAYCAL</v>
      </c>
      <c r="D129" s="14" t="s">
        <v>22</v>
      </c>
      <c r="E129" s="15">
        <v>45861</v>
      </c>
      <c r="F129" s="14" t="s">
        <v>23</v>
      </c>
      <c r="G129" s="16">
        <v>50</v>
      </c>
    </row>
    <row r="130" spans="1:7" x14ac:dyDescent="0.25">
      <c r="A130" s="13" t="s">
        <v>2079</v>
      </c>
      <c r="B130" s="13">
        <v>1851</v>
      </c>
      <c r="C130" s="14" t="str">
        <f>+VLOOKUP(B130,[1]LISTE!$A$1:$D$431,4,FALSE)</f>
        <v>ATTIA FAYCAL</v>
      </c>
      <c r="D130" s="14" t="s">
        <v>22</v>
      </c>
      <c r="E130" s="15">
        <v>45861</v>
      </c>
      <c r="F130" s="14" t="s">
        <v>20</v>
      </c>
      <c r="G130" s="16">
        <v>2.605</v>
      </c>
    </row>
    <row r="131" spans="1:7" x14ac:dyDescent="0.25">
      <c r="A131" s="13" t="s">
        <v>2079</v>
      </c>
      <c r="B131" s="13">
        <v>1851</v>
      </c>
      <c r="C131" s="14" t="str">
        <f>+VLOOKUP(B131,[1]LISTE!$A$1:$D$431,4,FALSE)</f>
        <v>ATTIA FAYCAL</v>
      </c>
      <c r="D131" s="14" t="s">
        <v>22</v>
      </c>
      <c r="E131" s="15">
        <v>45866</v>
      </c>
      <c r="F131" s="14" t="s">
        <v>25</v>
      </c>
      <c r="G131" s="16">
        <v>480</v>
      </c>
    </row>
    <row r="132" spans="1:7" x14ac:dyDescent="0.25">
      <c r="A132" s="13" t="s">
        <v>2109</v>
      </c>
      <c r="B132" s="13">
        <v>1856</v>
      </c>
      <c r="C132" s="14" t="str">
        <f>+VLOOKUP(B132,[1]LISTE!$A$1:$D$431,4,FALSE)</f>
        <v>ABDELLATIF MOHAMED ALI</v>
      </c>
      <c r="D132" s="15" t="s">
        <v>75</v>
      </c>
      <c r="E132" s="15">
        <v>45873</v>
      </c>
      <c r="F132" s="14" t="s">
        <v>23</v>
      </c>
      <c r="G132" s="16">
        <v>45</v>
      </c>
    </row>
    <row r="133" spans="1:7" x14ac:dyDescent="0.25">
      <c r="A133" s="13" t="s">
        <v>2109</v>
      </c>
      <c r="B133" s="13">
        <v>1856</v>
      </c>
      <c r="C133" s="14" t="str">
        <f>+VLOOKUP(B133,[1]LISTE!$A$1:$D$431,4,FALSE)</f>
        <v>ABDELLATIF MOHAMED ALI</v>
      </c>
      <c r="D133" s="15" t="s">
        <v>75</v>
      </c>
      <c r="E133" s="15">
        <v>45873</v>
      </c>
      <c r="F133" s="14" t="s">
        <v>20</v>
      </c>
      <c r="G133" s="16">
        <v>65.930999999999997</v>
      </c>
    </row>
    <row r="134" spans="1:7" x14ac:dyDescent="0.25">
      <c r="A134" s="13" t="s">
        <v>2110</v>
      </c>
      <c r="B134" s="13">
        <v>1856</v>
      </c>
      <c r="C134" s="14" t="str">
        <f>+VLOOKUP(B134,[1]LISTE!$A$1:$D$431,4,FALSE)</f>
        <v>ABDELLATIF MOHAMED ALI</v>
      </c>
      <c r="D134" s="15" t="s">
        <v>329</v>
      </c>
      <c r="E134" s="15">
        <v>45871</v>
      </c>
      <c r="F134" s="14" t="s">
        <v>23</v>
      </c>
      <c r="G134" s="16">
        <v>45</v>
      </c>
    </row>
    <row r="135" spans="1:7" x14ac:dyDescent="0.25">
      <c r="A135" s="13" t="s">
        <v>2110</v>
      </c>
      <c r="B135" s="13">
        <v>1856</v>
      </c>
      <c r="C135" s="14" t="str">
        <f>+VLOOKUP(B135,[1]LISTE!$A$1:$D$431,4,FALSE)</f>
        <v>ABDELLATIF MOHAMED ALI</v>
      </c>
      <c r="D135" s="15" t="s">
        <v>329</v>
      </c>
      <c r="E135" s="15">
        <v>45871</v>
      </c>
      <c r="F135" s="14" t="s">
        <v>20</v>
      </c>
      <c r="G135" s="16">
        <v>92.867999999999995</v>
      </c>
    </row>
    <row r="136" spans="1:7" x14ac:dyDescent="0.25">
      <c r="A136" s="13" t="s">
        <v>2072</v>
      </c>
      <c r="B136" s="13">
        <v>1866</v>
      </c>
      <c r="C136" s="14" t="s">
        <v>1893</v>
      </c>
      <c r="D136" s="15" t="s">
        <v>349</v>
      </c>
      <c r="E136" s="15">
        <v>45860</v>
      </c>
      <c r="F136" s="14" t="s">
        <v>19</v>
      </c>
      <c r="G136" s="16">
        <v>121</v>
      </c>
    </row>
    <row r="137" spans="1:7" x14ac:dyDescent="0.25">
      <c r="A137" s="13" t="s">
        <v>2072</v>
      </c>
      <c r="B137" s="13">
        <v>1866</v>
      </c>
      <c r="C137" s="14" t="s">
        <v>1893</v>
      </c>
      <c r="D137" s="15" t="s">
        <v>349</v>
      </c>
      <c r="E137" s="15">
        <v>45867</v>
      </c>
      <c r="F137" s="14" t="s">
        <v>20</v>
      </c>
      <c r="G137" s="16">
        <v>132.899</v>
      </c>
    </row>
    <row r="138" spans="1:7" x14ac:dyDescent="0.25">
      <c r="A138" s="13" t="s">
        <v>2072</v>
      </c>
      <c r="B138" s="13">
        <v>1866</v>
      </c>
      <c r="C138" s="14" t="s">
        <v>1893</v>
      </c>
      <c r="D138" s="15" t="s">
        <v>349</v>
      </c>
      <c r="E138" s="15">
        <v>45861</v>
      </c>
      <c r="F138" s="14" t="s">
        <v>363</v>
      </c>
      <c r="G138" s="16">
        <v>1400</v>
      </c>
    </row>
    <row r="139" spans="1:7" x14ac:dyDescent="0.25">
      <c r="A139" s="13" t="s">
        <v>2072</v>
      </c>
      <c r="B139" s="13">
        <v>1866</v>
      </c>
      <c r="C139" s="14" t="s">
        <v>1893</v>
      </c>
      <c r="D139" s="14" t="s">
        <v>349</v>
      </c>
      <c r="E139" s="15">
        <v>45863</v>
      </c>
      <c r="F139" s="14" t="s">
        <v>363</v>
      </c>
      <c r="G139" s="16">
        <v>200</v>
      </c>
    </row>
    <row r="140" spans="1:7" x14ac:dyDescent="0.25">
      <c r="A140" s="13" t="s">
        <v>2072</v>
      </c>
      <c r="B140" s="13">
        <v>1866</v>
      </c>
      <c r="C140" s="14" t="s">
        <v>1893</v>
      </c>
      <c r="D140" s="14" t="s">
        <v>349</v>
      </c>
      <c r="E140" s="15">
        <v>45863</v>
      </c>
      <c r="F140" s="14" t="s">
        <v>364</v>
      </c>
      <c r="G140" s="16">
        <v>2182.6889999999999</v>
      </c>
    </row>
    <row r="141" spans="1:7" x14ac:dyDescent="0.25">
      <c r="A141" s="13" t="s">
        <v>2062</v>
      </c>
      <c r="B141" s="13">
        <v>1867</v>
      </c>
      <c r="C141" s="14" t="str">
        <f>+VLOOKUP(B141,[1]LISTE!$A$1:$D$431,4,FALSE)</f>
        <v>GAZZAH LOTFI</v>
      </c>
      <c r="D141" s="14" t="s">
        <v>40</v>
      </c>
      <c r="E141" s="15">
        <v>45846</v>
      </c>
      <c r="F141" s="14" t="s">
        <v>23</v>
      </c>
      <c r="G141" s="16">
        <v>50</v>
      </c>
    </row>
    <row r="142" spans="1:7" x14ac:dyDescent="0.25">
      <c r="A142" s="13" t="s">
        <v>2062</v>
      </c>
      <c r="B142" s="13">
        <v>1867</v>
      </c>
      <c r="C142" s="14" t="str">
        <f>+VLOOKUP(B142,[1]LISTE!$A$1:$D$431,4,FALSE)</f>
        <v>GAZZAH LOTFI</v>
      </c>
      <c r="D142" s="14" t="s">
        <v>40</v>
      </c>
      <c r="E142" s="15">
        <v>45846</v>
      </c>
      <c r="F142" s="14" t="s">
        <v>20</v>
      </c>
      <c r="G142" s="16">
        <v>3.11</v>
      </c>
    </row>
    <row r="143" spans="1:7" x14ac:dyDescent="0.25">
      <c r="A143" s="13" t="s">
        <v>2062</v>
      </c>
      <c r="B143" s="13">
        <v>1867</v>
      </c>
      <c r="C143" s="14" t="str">
        <f>+VLOOKUP(B143,[1]LISTE!$A$1:$D$431,4,FALSE)</f>
        <v>GAZZAH LOTFI</v>
      </c>
      <c r="D143" s="14" t="s">
        <v>40</v>
      </c>
      <c r="E143" s="15">
        <v>45855</v>
      </c>
      <c r="F143" s="14" t="s">
        <v>24</v>
      </c>
      <c r="G143" s="16">
        <v>150</v>
      </c>
    </row>
    <row r="144" spans="1:7" x14ac:dyDescent="0.25">
      <c r="A144" s="13" t="s">
        <v>2043</v>
      </c>
      <c r="B144" s="13">
        <v>1882</v>
      </c>
      <c r="C144" s="14" t="str">
        <f>+VLOOKUP(B144,[1]LISTE!$A$1:$D$431,4,FALSE)</f>
        <v>AMARA SOFIANE</v>
      </c>
      <c r="D144" s="14" t="s">
        <v>349</v>
      </c>
      <c r="E144" s="15">
        <v>45854</v>
      </c>
      <c r="F144" s="14" t="s">
        <v>19</v>
      </c>
      <c r="G144" s="16">
        <v>59.598999999999997</v>
      </c>
    </row>
    <row r="145" spans="1:7" x14ac:dyDescent="0.25">
      <c r="A145" s="13" t="s">
        <v>2043</v>
      </c>
      <c r="B145" s="13">
        <v>1882</v>
      </c>
      <c r="C145" s="14" t="str">
        <f>+VLOOKUP(B145,[1]LISTE!$A$1:$D$431,4,FALSE)</f>
        <v>AMARA SOFIANE</v>
      </c>
      <c r="D145" s="14" t="s">
        <v>349</v>
      </c>
      <c r="E145" s="15">
        <v>45859</v>
      </c>
      <c r="F145" s="14" t="s">
        <v>20</v>
      </c>
      <c r="G145" s="16">
        <v>23.315000000000001</v>
      </c>
    </row>
    <row r="146" spans="1:7" x14ac:dyDescent="0.25">
      <c r="A146" s="13" t="s">
        <v>2043</v>
      </c>
      <c r="B146" s="13">
        <v>1882</v>
      </c>
      <c r="C146" s="14" t="str">
        <f>+VLOOKUP(B146,[1]LISTE!$A$1:$D$431,4,FALSE)</f>
        <v>AMARA SOFIANE</v>
      </c>
      <c r="D146" s="15" t="s">
        <v>349</v>
      </c>
      <c r="E146" s="15">
        <v>45854</v>
      </c>
      <c r="F146" s="14" t="s">
        <v>20</v>
      </c>
      <c r="G146" s="16">
        <v>13.01</v>
      </c>
    </row>
    <row r="147" spans="1:7" x14ac:dyDescent="0.25">
      <c r="A147" s="13" t="s">
        <v>2145</v>
      </c>
      <c r="B147" s="13">
        <v>1882</v>
      </c>
      <c r="C147" s="14" t="str">
        <f>+VLOOKUP(B147,[1]LISTE!$A$1:$D$431,4,FALSE)</f>
        <v>AMARA SOFIANE</v>
      </c>
      <c r="D147" s="14" t="s">
        <v>349</v>
      </c>
      <c r="E147" s="15">
        <v>45869</v>
      </c>
      <c r="F147" s="14" t="s">
        <v>21</v>
      </c>
      <c r="G147" s="16">
        <v>87.25</v>
      </c>
    </row>
    <row r="148" spans="1:7" x14ac:dyDescent="0.25">
      <c r="A148" s="13" t="s">
        <v>2063</v>
      </c>
      <c r="B148" s="13">
        <v>1884</v>
      </c>
      <c r="C148" s="14" t="str">
        <f>+VLOOKUP(B148,[1]LISTE!$A$1:$D$431,4,FALSE)</f>
        <v>BELKHIRIA HAYKEL</v>
      </c>
      <c r="D148" s="14" t="s">
        <v>2064</v>
      </c>
      <c r="E148" s="15">
        <v>45862</v>
      </c>
      <c r="F148" s="14" t="s">
        <v>23</v>
      </c>
      <c r="G148" s="16">
        <v>50</v>
      </c>
    </row>
    <row r="149" spans="1:7" x14ac:dyDescent="0.25">
      <c r="A149" s="13" t="s">
        <v>2063</v>
      </c>
      <c r="B149" s="13">
        <v>1884</v>
      </c>
      <c r="C149" s="14" t="str">
        <f>+VLOOKUP(B149,[1]LISTE!$A$1:$D$431,4,FALSE)</f>
        <v>BELKHIRIA HAYKEL</v>
      </c>
      <c r="D149" s="14" t="s">
        <v>2064</v>
      </c>
      <c r="E149" s="15">
        <v>45862</v>
      </c>
      <c r="F149" s="14" t="s">
        <v>20</v>
      </c>
      <c r="G149" s="16">
        <v>3.23</v>
      </c>
    </row>
    <row r="150" spans="1:7" x14ac:dyDescent="0.25">
      <c r="A150" s="13" t="s">
        <v>2063</v>
      </c>
      <c r="B150" s="13">
        <v>1884</v>
      </c>
      <c r="C150" s="14" t="str">
        <f>+VLOOKUP(B150,[1]LISTE!$A$1:$D$431,4,FALSE)</f>
        <v>BELKHIRIA HAYKEL</v>
      </c>
      <c r="D150" s="14" t="s">
        <v>2064</v>
      </c>
      <c r="E150" s="15">
        <v>45868</v>
      </c>
      <c r="F150" s="14" t="s">
        <v>24</v>
      </c>
      <c r="G150" s="16">
        <v>170</v>
      </c>
    </row>
    <row r="151" spans="1:7" x14ac:dyDescent="0.25">
      <c r="A151" s="13" t="s">
        <v>2144</v>
      </c>
      <c r="B151" s="13">
        <v>1896</v>
      </c>
      <c r="C151" s="14" t="str">
        <f>+VLOOKUP(B151,[1]LISTE!$A$1:$D$431,4,FALSE)</f>
        <v>LAJIMI ABDELKADER</v>
      </c>
      <c r="D151" s="14" t="s">
        <v>22</v>
      </c>
      <c r="E151" s="15">
        <v>45878</v>
      </c>
      <c r="F151" s="14" t="s">
        <v>23</v>
      </c>
      <c r="G151" s="16">
        <v>60</v>
      </c>
    </row>
    <row r="152" spans="1:7" x14ac:dyDescent="0.25">
      <c r="A152" s="13" t="s">
        <v>2144</v>
      </c>
      <c r="B152" s="13">
        <v>1896</v>
      </c>
      <c r="C152" s="14" t="str">
        <f>+VLOOKUP(B152,[1]LISTE!$A$1:$D$431,4,FALSE)</f>
        <v>LAJIMI ABDELKADER</v>
      </c>
      <c r="D152" s="14" t="s">
        <v>22</v>
      </c>
      <c r="E152" s="15">
        <v>45878</v>
      </c>
      <c r="F152" s="14" t="s">
        <v>20</v>
      </c>
      <c r="G152" s="16">
        <v>16.68</v>
      </c>
    </row>
    <row r="153" spans="1:7" x14ac:dyDescent="0.25">
      <c r="A153" s="13" t="s">
        <v>2144</v>
      </c>
      <c r="B153" s="13">
        <v>1896</v>
      </c>
      <c r="C153" s="14" t="str">
        <f>+VLOOKUP(B153,[1]LISTE!$A$1:$D$431,4,FALSE)</f>
        <v>LAJIMI ABDELKADER</v>
      </c>
      <c r="D153" s="14" t="s">
        <v>22</v>
      </c>
      <c r="E153" s="15">
        <v>45878</v>
      </c>
      <c r="F153" s="14" t="s">
        <v>21</v>
      </c>
      <c r="G153" s="16">
        <v>50</v>
      </c>
    </row>
    <row r="154" spans="1:7" x14ac:dyDescent="0.25">
      <c r="A154" s="13" t="s">
        <v>2054</v>
      </c>
      <c r="B154" s="13">
        <v>1907</v>
      </c>
      <c r="C154" s="14" t="str">
        <f>+VLOOKUP(B154,[1]LISTE!$A$1:$D$431,4,FALSE)</f>
        <v>MAMIA NEJMEDDINE</v>
      </c>
      <c r="D154" s="14" t="s">
        <v>22</v>
      </c>
      <c r="E154" s="15">
        <v>45866</v>
      </c>
      <c r="F154" s="14" t="s">
        <v>18</v>
      </c>
      <c r="G154" s="16">
        <v>80</v>
      </c>
    </row>
    <row r="155" spans="1:7" x14ac:dyDescent="0.25">
      <c r="A155" s="13" t="s">
        <v>2054</v>
      </c>
      <c r="B155" s="13">
        <v>1907</v>
      </c>
      <c r="C155" s="14" t="str">
        <f>+VLOOKUP(B155,[1]LISTE!$A$1:$D$431,4,FALSE)</f>
        <v>MAMIA NEJMEDDINE</v>
      </c>
      <c r="D155" s="14" t="s">
        <v>22</v>
      </c>
      <c r="E155" s="15">
        <v>45866</v>
      </c>
      <c r="F155" s="14" t="s">
        <v>20</v>
      </c>
      <c r="G155" s="16">
        <v>16.454999999999998</v>
      </c>
    </row>
    <row r="156" spans="1:7" x14ac:dyDescent="0.25">
      <c r="A156" s="13" t="s">
        <v>2121</v>
      </c>
      <c r="B156" s="13">
        <v>1917</v>
      </c>
      <c r="C156" s="14" t="str">
        <f>+VLOOKUP(B156,[1]LISTE!$A$1:$D$431,4,FALSE)</f>
        <v>HAMILA JAMEL</v>
      </c>
      <c r="D156" s="14" t="s">
        <v>119</v>
      </c>
      <c r="E156" s="15">
        <v>45874</v>
      </c>
      <c r="F156" s="14" t="s">
        <v>23</v>
      </c>
      <c r="G156" s="16">
        <v>40</v>
      </c>
    </row>
    <row r="157" spans="1:7" x14ac:dyDescent="0.25">
      <c r="A157" s="13" t="s">
        <v>2121</v>
      </c>
      <c r="B157" s="13">
        <v>1917</v>
      </c>
      <c r="C157" s="14" t="str">
        <f>+VLOOKUP(B157,[1]LISTE!$A$1:$D$431,4,FALSE)</f>
        <v>HAMILA JAMEL</v>
      </c>
      <c r="D157" s="15" t="s">
        <v>119</v>
      </c>
      <c r="E157" s="15">
        <v>45874</v>
      </c>
      <c r="F157" s="14" t="s">
        <v>20</v>
      </c>
      <c r="G157" s="16">
        <v>186.09299999999999</v>
      </c>
    </row>
    <row r="158" spans="1:7" x14ac:dyDescent="0.25">
      <c r="A158" s="13" t="s">
        <v>2122</v>
      </c>
      <c r="B158" s="13">
        <v>1917</v>
      </c>
      <c r="C158" s="14" t="str">
        <f>+VLOOKUP(B158,[1]LISTE!$A$1:$D$431,4,FALSE)</f>
        <v>HAMILA JAMEL</v>
      </c>
      <c r="D158" s="14" t="s">
        <v>22</v>
      </c>
      <c r="E158" s="15">
        <v>45875</v>
      </c>
      <c r="F158" s="14" t="s">
        <v>23</v>
      </c>
      <c r="G158" s="16">
        <v>40</v>
      </c>
    </row>
    <row r="159" spans="1:7" x14ac:dyDescent="0.25">
      <c r="A159" s="13" t="s">
        <v>2122</v>
      </c>
      <c r="B159" s="13">
        <v>1917</v>
      </c>
      <c r="C159" s="14" t="str">
        <f>+VLOOKUP(B159,[1]LISTE!$A$1:$D$431,4,FALSE)</f>
        <v>HAMILA JAMEL</v>
      </c>
      <c r="D159" s="14" t="s">
        <v>22</v>
      </c>
      <c r="E159" s="15">
        <v>45875</v>
      </c>
      <c r="F159" s="14" t="s">
        <v>20</v>
      </c>
      <c r="G159" s="16">
        <v>174.13300000000001</v>
      </c>
    </row>
    <row r="160" spans="1:7" x14ac:dyDescent="0.25">
      <c r="A160" s="13" t="s">
        <v>2104</v>
      </c>
      <c r="B160" s="13">
        <v>1922</v>
      </c>
      <c r="C160" s="14" t="str">
        <f>+VLOOKUP(B160,[1]LISTE!$A$1:$D$431,4,FALSE)</f>
        <v>MAHJOUB FAKER</v>
      </c>
      <c r="D160" s="14" t="s">
        <v>371</v>
      </c>
      <c r="E160" s="15">
        <v>45831</v>
      </c>
      <c r="F160" s="14" t="s">
        <v>20</v>
      </c>
      <c r="G160" s="16">
        <v>24.8</v>
      </c>
    </row>
    <row r="161" spans="1:7" x14ac:dyDescent="0.25">
      <c r="A161" s="13" t="s">
        <v>2104</v>
      </c>
      <c r="B161" s="13">
        <v>1922</v>
      </c>
      <c r="C161" s="14" t="str">
        <f>+VLOOKUP(B161,[1]LISTE!$A$1:$D$431,4,FALSE)</f>
        <v>MAHJOUB FAKER</v>
      </c>
      <c r="D161" s="14" t="s">
        <v>371</v>
      </c>
      <c r="E161" s="15">
        <v>45854</v>
      </c>
      <c r="F161" s="14" t="s">
        <v>21</v>
      </c>
      <c r="G161" s="16">
        <v>120</v>
      </c>
    </row>
    <row r="162" spans="1:7" x14ac:dyDescent="0.25">
      <c r="A162" s="13" t="s">
        <v>2140</v>
      </c>
      <c r="B162" s="13">
        <v>1922</v>
      </c>
      <c r="C162" s="14" t="str">
        <f>+VLOOKUP(B162,[1]LISTE!$A$1:$D$431,4,FALSE)</f>
        <v>MAHJOUB FAKER</v>
      </c>
      <c r="D162" s="14" t="s">
        <v>371</v>
      </c>
      <c r="E162" s="15">
        <v>45878</v>
      </c>
      <c r="F162" s="14" t="s">
        <v>18</v>
      </c>
      <c r="G162" s="16">
        <v>70</v>
      </c>
    </row>
    <row r="163" spans="1:7" x14ac:dyDescent="0.25">
      <c r="A163" s="13" t="s">
        <v>2140</v>
      </c>
      <c r="B163" s="13">
        <v>1922</v>
      </c>
      <c r="C163" s="14" t="str">
        <f>+VLOOKUP(B163,[1]LISTE!$A$1:$D$431,4,FALSE)</f>
        <v>MAHJOUB FAKER</v>
      </c>
      <c r="D163" s="14" t="s">
        <v>371</v>
      </c>
      <c r="E163" s="15">
        <v>45878</v>
      </c>
      <c r="F163" s="14" t="s">
        <v>20</v>
      </c>
      <c r="G163" s="16">
        <v>71.991</v>
      </c>
    </row>
    <row r="164" spans="1:7" x14ac:dyDescent="0.25">
      <c r="A164" s="13" t="s">
        <v>2102</v>
      </c>
      <c r="B164" s="13">
        <v>1927</v>
      </c>
      <c r="C164" s="14" t="str">
        <f>+VLOOKUP(B164,[1]LISTE!$A$1:$D$431,4,FALSE)</f>
        <v>BEN HAMMOUDA AYMEN</v>
      </c>
      <c r="D164" s="14" t="s">
        <v>1182</v>
      </c>
      <c r="E164" s="15">
        <v>45873</v>
      </c>
      <c r="F164" s="14" t="s">
        <v>23</v>
      </c>
      <c r="G164" s="16">
        <v>30</v>
      </c>
    </row>
    <row r="165" spans="1:7" x14ac:dyDescent="0.25">
      <c r="A165" s="13" t="s">
        <v>2102</v>
      </c>
      <c r="B165" s="13">
        <v>1927</v>
      </c>
      <c r="C165" s="14" t="str">
        <f>+VLOOKUP(B165,[1]LISTE!$A$1:$D$431,4,FALSE)</f>
        <v>BEN HAMMOUDA AYMEN</v>
      </c>
      <c r="D165" s="15" t="s">
        <v>1182</v>
      </c>
      <c r="E165" s="15">
        <v>45873</v>
      </c>
      <c r="F165" s="14" t="s">
        <v>20</v>
      </c>
      <c r="G165" s="16">
        <v>365.82</v>
      </c>
    </row>
    <row r="166" spans="1:7" x14ac:dyDescent="0.25">
      <c r="A166" s="13" t="s">
        <v>2141</v>
      </c>
      <c r="B166" s="13">
        <v>1936</v>
      </c>
      <c r="C166" s="14" t="str">
        <f>+VLOOKUP(B166,[1]LISTE!$A$1:$D$431,4,FALSE)</f>
        <v>JLASSI KHALED</v>
      </c>
      <c r="D166" s="14" t="s">
        <v>22</v>
      </c>
      <c r="E166" s="15">
        <v>45870</v>
      </c>
      <c r="F166" s="14" t="s">
        <v>20</v>
      </c>
      <c r="G166" s="16">
        <v>19.125</v>
      </c>
    </row>
    <row r="167" spans="1:7" x14ac:dyDescent="0.25">
      <c r="A167" s="13" t="s">
        <v>2141</v>
      </c>
      <c r="B167" s="13">
        <v>1936</v>
      </c>
      <c r="C167" s="14" t="str">
        <f>+VLOOKUP(B167,[1]LISTE!$A$1:$D$431,4,FALSE)</f>
        <v>JLASSI KHALED</v>
      </c>
      <c r="D167" s="14" t="s">
        <v>22</v>
      </c>
      <c r="E167" s="15">
        <v>45878</v>
      </c>
      <c r="F167" s="14" t="s">
        <v>24</v>
      </c>
      <c r="G167" s="16">
        <v>220</v>
      </c>
    </row>
    <row r="168" spans="1:7" x14ac:dyDescent="0.25">
      <c r="A168" s="13" t="s">
        <v>2081</v>
      </c>
      <c r="B168" s="13">
        <v>1956</v>
      </c>
      <c r="C168" s="14" t="str">
        <f>+VLOOKUP(B168,[1]LISTE!$A$1:$D$431,4,FALSE)</f>
        <v>BEN AOUANA NEJI</v>
      </c>
      <c r="D168" s="14" t="s">
        <v>22</v>
      </c>
      <c r="E168" s="15">
        <v>45868</v>
      </c>
      <c r="F168" s="14" t="s">
        <v>18</v>
      </c>
      <c r="G168" s="16">
        <v>60</v>
      </c>
    </row>
    <row r="169" spans="1:7" x14ac:dyDescent="0.25">
      <c r="A169" s="13" t="s">
        <v>2081</v>
      </c>
      <c r="B169" s="13">
        <v>1956</v>
      </c>
      <c r="C169" s="14" t="str">
        <f>+VLOOKUP(B169,[1]LISTE!$A$1:$D$431,4,FALSE)</f>
        <v>BEN AOUANA NEJI</v>
      </c>
      <c r="D169" s="14" t="s">
        <v>22</v>
      </c>
      <c r="E169" s="15">
        <v>45868</v>
      </c>
      <c r="F169" s="14" t="s">
        <v>19</v>
      </c>
      <c r="G169" s="16">
        <v>112.35</v>
      </c>
    </row>
    <row r="170" spans="1:7" x14ac:dyDescent="0.25">
      <c r="A170" s="13" t="s">
        <v>2081</v>
      </c>
      <c r="B170" s="13">
        <v>1956</v>
      </c>
      <c r="C170" s="14" t="str">
        <f>+VLOOKUP(B170,[1]LISTE!$A$1:$D$431,4,FALSE)</f>
        <v>BEN AOUANA NEJI</v>
      </c>
      <c r="D170" s="14" t="s">
        <v>22</v>
      </c>
      <c r="E170" s="15">
        <v>45869</v>
      </c>
      <c r="F170" s="14" t="s">
        <v>20</v>
      </c>
      <c r="G170" s="16">
        <v>56.88</v>
      </c>
    </row>
    <row r="171" spans="1:7" x14ac:dyDescent="0.25">
      <c r="A171" s="13" t="s">
        <v>2106</v>
      </c>
      <c r="B171" s="13">
        <v>1969</v>
      </c>
      <c r="C171" s="14" t="str">
        <f>+VLOOKUP(B171,[1]LISTE!$A$1:$D$431,4,FALSE)</f>
        <v>BOUKADDIDA MEHREZ</v>
      </c>
      <c r="D171" s="15" t="s">
        <v>2107</v>
      </c>
      <c r="E171" s="15">
        <v>45870</v>
      </c>
      <c r="F171" s="14" t="s">
        <v>23</v>
      </c>
      <c r="G171" s="16">
        <v>45</v>
      </c>
    </row>
    <row r="172" spans="1:7" x14ac:dyDescent="0.25">
      <c r="A172" s="13" t="s">
        <v>2106</v>
      </c>
      <c r="B172" s="13">
        <v>1969</v>
      </c>
      <c r="C172" s="14" t="str">
        <f>+VLOOKUP(B172,[1]LISTE!$A$1:$D$431,4,FALSE)</f>
        <v>BOUKADDIDA MEHREZ</v>
      </c>
      <c r="D172" s="14" t="s">
        <v>2107</v>
      </c>
      <c r="E172" s="15">
        <v>45870</v>
      </c>
      <c r="F172" s="14" t="s">
        <v>20</v>
      </c>
      <c r="G172" s="16">
        <v>32.744999999999997</v>
      </c>
    </row>
    <row r="173" spans="1:7" x14ac:dyDescent="0.25">
      <c r="A173" s="13" t="s">
        <v>2129</v>
      </c>
      <c r="B173" s="13">
        <v>1969</v>
      </c>
      <c r="C173" s="14" t="str">
        <f>+VLOOKUP(B173,[1]LISTE!$A$1:$D$431,4,FALSE)</f>
        <v>BOUKADDIDA MEHREZ</v>
      </c>
      <c r="D173" s="14" t="s">
        <v>306</v>
      </c>
      <c r="E173" s="15">
        <v>45868</v>
      </c>
      <c r="F173" s="14" t="s">
        <v>18</v>
      </c>
      <c r="G173" s="16">
        <v>60</v>
      </c>
    </row>
    <row r="174" spans="1:7" x14ac:dyDescent="0.25">
      <c r="A174" s="13" t="s">
        <v>2129</v>
      </c>
      <c r="B174" s="13">
        <v>1969</v>
      </c>
      <c r="C174" s="14" t="str">
        <f>+VLOOKUP(B174,[1]LISTE!$A$1:$D$431,4,FALSE)</f>
        <v>BOUKADDIDA MEHREZ</v>
      </c>
      <c r="D174" s="15" t="s">
        <v>306</v>
      </c>
      <c r="E174" s="15">
        <v>45868</v>
      </c>
      <c r="F174" s="14" t="s">
        <v>20</v>
      </c>
      <c r="G174" s="16">
        <v>4.2750000000000004</v>
      </c>
    </row>
    <row r="175" spans="1:7" x14ac:dyDescent="0.25">
      <c r="A175" s="13" t="s">
        <v>2142</v>
      </c>
      <c r="B175" s="13">
        <v>1969</v>
      </c>
      <c r="C175" s="14" t="str">
        <f>+VLOOKUP(B175,[1]LISTE!$A$1:$D$431,4,FALSE)</f>
        <v>BOUKADDIDA MEHREZ</v>
      </c>
      <c r="D175" s="14" t="s">
        <v>306</v>
      </c>
      <c r="E175" s="15">
        <v>45874</v>
      </c>
      <c r="F175" s="14" t="s">
        <v>23</v>
      </c>
      <c r="G175" s="16">
        <v>50</v>
      </c>
    </row>
    <row r="176" spans="1:7" x14ac:dyDescent="0.25">
      <c r="A176" s="13" t="s">
        <v>2142</v>
      </c>
      <c r="B176" s="13">
        <v>1969</v>
      </c>
      <c r="C176" s="14" t="str">
        <f>+VLOOKUP(B176,[1]LISTE!$A$1:$D$431,4,FALSE)</f>
        <v>BOUKADDIDA MEHREZ</v>
      </c>
      <c r="D176" s="14" t="s">
        <v>306</v>
      </c>
      <c r="E176" s="15">
        <v>45878</v>
      </c>
      <c r="F176" s="14" t="s">
        <v>24</v>
      </c>
      <c r="G176" s="16">
        <v>120</v>
      </c>
    </row>
    <row r="177" spans="1:7" x14ac:dyDescent="0.25">
      <c r="A177" s="13" t="s">
        <v>2146</v>
      </c>
      <c r="B177" s="13">
        <v>1969</v>
      </c>
      <c r="C177" s="14" t="str">
        <f>+VLOOKUP(B177,[1]LISTE!$A$1:$D$431,4,FALSE)</f>
        <v>BOUKADDIDA MEHREZ</v>
      </c>
      <c r="D177" s="14" t="s">
        <v>2107</v>
      </c>
      <c r="E177" s="15">
        <v>45875</v>
      </c>
      <c r="F177" s="14" t="s">
        <v>18</v>
      </c>
      <c r="G177" s="16">
        <v>70</v>
      </c>
    </row>
    <row r="178" spans="1:7" x14ac:dyDescent="0.25">
      <c r="A178" s="13" t="s">
        <v>2146</v>
      </c>
      <c r="B178" s="13">
        <v>1969</v>
      </c>
      <c r="C178" s="14" t="str">
        <f>+VLOOKUP(B178,[1]LISTE!$A$1:$D$431,4,FALSE)</f>
        <v>BOUKADDIDA MEHREZ</v>
      </c>
      <c r="D178" s="14" t="s">
        <v>2107</v>
      </c>
      <c r="E178" s="15">
        <v>45877</v>
      </c>
      <c r="F178" s="14" t="s">
        <v>20</v>
      </c>
      <c r="G178" s="16">
        <v>45.555</v>
      </c>
    </row>
    <row r="179" spans="1:7" x14ac:dyDescent="0.25">
      <c r="A179" s="13" t="s">
        <v>2146</v>
      </c>
      <c r="B179" s="13">
        <v>1969</v>
      </c>
      <c r="C179" s="14" t="str">
        <f>+VLOOKUP(B179,[1]LISTE!$A$1:$D$431,4,FALSE)</f>
        <v>BOUKADDIDA MEHREZ</v>
      </c>
      <c r="D179" s="15" t="s">
        <v>2107</v>
      </c>
      <c r="E179" s="15">
        <v>45876</v>
      </c>
      <c r="F179" s="14" t="s">
        <v>21</v>
      </c>
      <c r="G179" s="16">
        <v>90</v>
      </c>
    </row>
    <row r="180" spans="1:7" x14ac:dyDescent="0.25">
      <c r="A180" s="13" t="s">
        <v>2061</v>
      </c>
      <c r="B180" s="13">
        <v>1983</v>
      </c>
      <c r="C180" s="14" t="str">
        <f>+VLOOKUP(B180,[1]LISTE!$A$1:$D$431,4,FALSE)</f>
        <v>GOUIDER SLAHEDDINE</v>
      </c>
      <c r="D180" s="15" t="s">
        <v>296</v>
      </c>
      <c r="E180" s="15">
        <v>45863</v>
      </c>
      <c r="F180" s="14" t="s">
        <v>18</v>
      </c>
      <c r="G180" s="16">
        <v>70</v>
      </c>
    </row>
    <row r="181" spans="1:7" x14ac:dyDescent="0.25">
      <c r="A181" s="13" t="s">
        <v>2061</v>
      </c>
      <c r="B181" s="13">
        <v>1983</v>
      </c>
      <c r="C181" s="14" t="str">
        <f>+VLOOKUP(B181,[1]LISTE!$A$1:$D$431,4,FALSE)</f>
        <v>GOUIDER SLAHEDDINE</v>
      </c>
      <c r="D181" s="14" t="s">
        <v>296</v>
      </c>
      <c r="E181" s="15">
        <v>45868</v>
      </c>
      <c r="F181" s="14" t="s">
        <v>20</v>
      </c>
      <c r="G181" s="16">
        <v>4.2</v>
      </c>
    </row>
    <row r="182" spans="1:7" x14ac:dyDescent="0.25">
      <c r="A182" s="13" t="s">
        <v>2061</v>
      </c>
      <c r="B182" s="13">
        <v>1983</v>
      </c>
      <c r="C182" s="14" t="str">
        <f>+VLOOKUP(B182,[1]LISTE!$A$1:$D$431,4,FALSE)</f>
        <v>GOUIDER SLAHEDDINE</v>
      </c>
      <c r="D182" s="14" t="s">
        <v>296</v>
      </c>
      <c r="E182" s="15">
        <v>45863</v>
      </c>
      <c r="F182" s="14" t="s">
        <v>69</v>
      </c>
      <c r="G182" s="16">
        <v>360</v>
      </c>
    </row>
    <row r="183" spans="1:7" x14ac:dyDescent="0.25">
      <c r="A183" s="13" t="s">
        <v>2058</v>
      </c>
      <c r="B183" s="13">
        <v>1989</v>
      </c>
      <c r="C183" s="14" t="str">
        <f>+VLOOKUP(B183,[1]LISTE!$A$1:$D$431,4,FALSE)</f>
        <v>MZOUGHI MOHAMED</v>
      </c>
      <c r="D183" s="14" t="s">
        <v>22</v>
      </c>
      <c r="E183" s="15">
        <v>45867</v>
      </c>
      <c r="F183" s="14" t="s">
        <v>18</v>
      </c>
      <c r="G183" s="16">
        <v>60</v>
      </c>
    </row>
    <row r="184" spans="1:7" x14ac:dyDescent="0.25">
      <c r="A184" s="13" t="s">
        <v>2058</v>
      </c>
      <c r="B184" s="13">
        <v>1989</v>
      </c>
      <c r="C184" s="14" t="str">
        <f>+VLOOKUP(B184,[1]LISTE!$A$1:$D$431,4,FALSE)</f>
        <v>MZOUGHI MOHAMED</v>
      </c>
      <c r="D184" s="15" t="s">
        <v>22</v>
      </c>
      <c r="E184" s="15">
        <v>45867</v>
      </c>
      <c r="F184" s="14" t="s">
        <v>20</v>
      </c>
      <c r="G184" s="16">
        <v>59.158000000000001</v>
      </c>
    </row>
    <row r="185" spans="1:7" x14ac:dyDescent="0.25">
      <c r="A185" s="13" t="s">
        <v>2028</v>
      </c>
      <c r="B185" s="13">
        <v>2055</v>
      </c>
      <c r="C185" s="14" t="str">
        <f>+VLOOKUP(B185,[1]LISTE!$A$1:$D$431,4,FALSE)</f>
        <v>BEN YAHIA AHMED</v>
      </c>
      <c r="D185" s="14" t="s">
        <v>306</v>
      </c>
      <c r="E185" s="15">
        <v>45860</v>
      </c>
      <c r="F185" s="14" t="s">
        <v>312</v>
      </c>
      <c r="G185" s="16">
        <v>250</v>
      </c>
    </row>
    <row r="186" spans="1:7" x14ac:dyDescent="0.25">
      <c r="A186" s="13" t="s">
        <v>2073</v>
      </c>
      <c r="B186" s="13">
        <v>2055</v>
      </c>
      <c r="C186" s="14" t="str">
        <f>+VLOOKUP(B186,[1]LISTE!$A$1:$D$431,4,FALSE)</f>
        <v>BEN YAHIA AHMED</v>
      </c>
      <c r="D186" s="14" t="s">
        <v>481</v>
      </c>
      <c r="E186" s="15">
        <v>45842</v>
      </c>
      <c r="F186" s="14" t="s">
        <v>18</v>
      </c>
      <c r="G186" s="16">
        <v>70</v>
      </c>
    </row>
    <row r="187" spans="1:7" x14ac:dyDescent="0.25">
      <c r="A187" s="13" t="s">
        <v>2074</v>
      </c>
      <c r="B187" s="13">
        <v>2055</v>
      </c>
      <c r="C187" s="14" t="str">
        <f>+VLOOKUP(B187,[1]LISTE!$A$1:$D$431,4,FALSE)</f>
        <v>BEN YAHIA AHMED</v>
      </c>
      <c r="D187" s="14" t="s">
        <v>481</v>
      </c>
      <c r="E187" s="15">
        <v>45855</v>
      </c>
      <c r="F187" s="14" t="s">
        <v>18</v>
      </c>
      <c r="G187" s="16">
        <v>70</v>
      </c>
    </row>
    <row r="188" spans="1:7" x14ac:dyDescent="0.25">
      <c r="A188" s="13" t="s">
        <v>2074</v>
      </c>
      <c r="B188" s="13">
        <v>2055</v>
      </c>
      <c r="C188" s="14" t="str">
        <f>+VLOOKUP(B188,[1]LISTE!$A$1:$D$431,4,FALSE)</f>
        <v>BEN YAHIA AHMED</v>
      </c>
      <c r="D188" s="15" t="s">
        <v>481</v>
      </c>
      <c r="E188" s="15">
        <v>45858</v>
      </c>
      <c r="F188" s="14" t="s">
        <v>20</v>
      </c>
      <c r="G188" s="16">
        <v>69.599999999999994</v>
      </c>
    </row>
    <row r="189" spans="1:7" x14ac:dyDescent="0.25">
      <c r="A189" s="13" t="s">
        <v>2086</v>
      </c>
      <c r="B189" s="13">
        <v>2100</v>
      </c>
      <c r="C189" s="14" t="str">
        <f>+VLOOKUP(B189,[1]LISTE!$A$1:$D$431,4,FALSE)</f>
        <v>MLAYEH NEZIHA</v>
      </c>
      <c r="D189" s="14" t="s">
        <v>648</v>
      </c>
      <c r="E189" s="15">
        <v>45874</v>
      </c>
      <c r="F189" s="14" t="s">
        <v>23</v>
      </c>
      <c r="G189" s="16">
        <v>1.5</v>
      </c>
    </row>
    <row r="190" spans="1:7" x14ac:dyDescent="0.25">
      <c r="A190" s="13" t="s">
        <v>2086</v>
      </c>
      <c r="B190" s="13">
        <v>2100</v>
      </c>
      <c r="C190" s="14" t="str">
        <f>+VLOOKUP(B190,[1]LISTE!$A$1:$D$431,4,FALSE)</f>
        <v>MLAYEH NEZIHA</v>
      </c>
      <c r="D190" s="15" t="s">
        <v>648</v>
      </c>
      <c r="E190" s="15">
        <v>45874</v>
      </c>
      <c r="F190" s="14" t="s">
        <v>20</v>
      </c>
      <c r="G190" s="16">
        <v>8.2249999999999996</v>
      </c>
    </row>
    <row r="191" spans="1:7" x14ac:dyDescent="0.25">
      <c r="A191" s="13" t="s">
        <v>2055</v>
      </c>
      <c r="B191" s="13">
        <v>2102</v>
      </c>
      <c r="C191" s="14" t="str">
        <f>+VLOOKUP(B191,[1]LISTE!$A$1:$D$431,4,FALSE)</f>
        <v>BENAMER MARWA</v>
      </c>
      <c r="D191" s="14" t="s">
        <v>190</v>
      </c>
      <c r="E191" s="15">
        <v>45854</v>
      </c>
      <c r="F191" s="14" t="s">
        <v>18</v>
      </c>
      <c r="G191" s="16">
        <v>60</v>
      </c>
    </row>
    <row r="192" spans="1:7" x14ac:dyDescent="0.25">
      <c r="A192" s="13" t="s">
        <v>2055</v>
      </c>
      <c r="B192" s="13">
        <v>2102</v>
      </c>
      <c r="C192" s="14" t="str">
        <f>+VLOOKUP(B192,[1]LISTE!$A$1:$D$431,4,FALSE)</f>
        <v>BENAMER MARWA</v>
      </c>
      <c r="D192" s="14" t="s">
        <v>190</v>
      </c>
      <c r="E192" s="15">
        <v>45854</v>
      </c>
      <c r="F192" s="14" t="s">
        <v>20</v>
      </c>
      <c r="G192" s="16">
        <v>27.815000000000001</v>
      </c>
    </row>
    <row r="193" spans="1:7" x14ac:dyDescent="0.25">
      <c r="A193" s="13" t="s">
        <v>2136</v>
      </c>
      <c r="B193" s="13">
        <v>2102</v>
      </c>
      <c r="C193" s="14" t="str">
        <f>+VLOOKUP(B193,[1]LISTE!$A$1:$D$431,4,FALSE)</f>
        <v>BENAMER MARWA</v>
      </c>
      <c r="D193" s="14" t="s">
        <v>2137</v>
      </c>
      <c r="E193" s="15">
        <v>45876</v>
      </c>
      <c r="F193" s="14" t="s">
        <v>18</v>
      </c>
      <c r="G193" s="16">
        <v>60</v>
      </c>
    </row>
    <row r="194" spans="1:7" x14ac:dyDescent="0.25">
      <c r="A194" s="13" t="s">
        <v>2136</v>
      </c>
      <c r="B194" s="13">
        <v>2102</v>
      </c>
      <c r="C194" s="14" t="str">
        <f>+VLOOKUP(B194,[1]LISTE!$A$1:$D$431,4,FALSE)</f>
        <v>BENAMER MARWA</v>
      </c>
      <c r="D194" s="14" t="s">
        <v>2137</v>
      </c>
      <c r="E194" s="15">
        <v>45876</v>
      </c>
      <c r="F194" s="14" t="s">
        <v>20</v>
      </c>
      <c r="G194" s="16">
        <v>57.305</v>
      </c>
    </row>
    <row r="195" spans="1:7" x14ac:dyDescent="0.25">
      <c r="A195" s="13" t="s">
        <v>2066</v>
      </c>
      <c r="B195" s="13">
        <v>2124</v>
      </c>
      <c r="C195" s="14" t="str">
        <f>+VLOOKUP(B195,[1]LISTE!$A$1:$D$431,4,FALSE)</f>
        <v>AHMED BEN HADJ MESSAOUD</v>
      </c>
      <c r="D195" s="15" t="s">
        <v>408</v>
      </c>
      <c r="E195" s="15">
        <v>45867</v>
      </c>
      <c r="F195" s="14" t="s">
        <v>23</v>
      </c>
      <c r="G195" s="16">
        <v>35</v>
      </c>
    </row>
    <row r="196" spans="1:7" x14ac:dyDescent="0.25">
      <c r="A196" s="13" t="s">
        <v>2066</v>
      </c>
      <c r="B196" s="13">
        <v>2124</v>
      </c>
      <c r="C196" s="14" t="str">
        <f>+VLOOKUP(B196,[1]LISTE!$A$1:$D$431,4,FALSE)</f>
        <v>AHMED BEN HADJ MESSAOUD</v>
      </c>
      <c r="D196" s="14" t="s">
        <v>408</v>
      </c>
      <c r="E196" s="15">
        <v>45867</v>
      </c>
      <c r="F196" s="14" t="s">
        <v>20</v>
      </c>
      <c r="G196" s="16">
        <v>95.697999999999993</v>
      </c>
    </row>
    <row r="197" spans="1:7" x14ac:dyDescent="0.25">
      <c r="A197" s="13" t="s">
        <v>2057</v>
      </c>
      <c r="B197" s="13">
        <v>2137</v>
      </c>
      <c r="C197" s="14" t="str">
        <f>+VLOOKUP(B197,[1]LISTE!$A$1:$D$431,4,FALSE)</f>
        <v>MOHAMED BOUZAMOUCHA</v>
      </c>
      <c r="D197" s="14" t="s">
        <v>22</v>
      </c>
      <c r="E197" s="15">
        <v>45861</v>
      </c>
      <c r="F197" s="14" t="s">
        <v>18</v>
      </c>
      <c r="G197" s="16">
        <v>70</v>
      </c>
    </row>
    <row r="198" spans="1:7" x14ac:dyDescent="0.25">
      <c r="A198" s="13" t="s">
        <v>2057</v>
      </c>
      <c r="B198" s="13">
        <v>2137</v>
      </c>
      <c r="C198" s="14" t="str">
        <f>+VLOOKUP(B198,[1]LISTE!$A$1:$D$431,4,FALSE)</f>
        <v>MOHAMED BOUZAMOUCHA</v>
      </c>
      <c r="D198" s="14" t="s">
        <v>22</v>
      </c>
      <c r="E198" s="15">
        <v>45861</v>
      </c>
      <c r="F198" s="14" t="s">
        <v>19</v>
      </c>
      <c r="G198" s="16">
        <v>304.89999999999998</v>
      </c>
    </row>
    <row r="199" spans="1:7" x14ac:dyDescent="0.25">
      <c r="A199" s="13" t="s">
        <v>2067</v>
      </c>
      <c r="B199" s="13">
        <v>2137</v>
      </c>
      <c r="C199" s="14" t="str">
        <f>+VLOOKUP(B199,[1]LISTE!$A$1:$D$431,4,FALSE)</f>
        <v>MOHAMED BOUZAMOUCHA</v>
      </c>
      <c r="D199" s="14" t="s">
        <v>22</v>
      </c>
      <c r="E199" s="15">
        <v>45831</v>
      </c>
      <c r="F199" s="14" t="s">
        <v>18</v>
      </c>
      <c r="G199" s="16">
        <v>60</v>
      </c>
    </row>
    <row r="200" spans="1:7" x14ac:dyDescent="0.25">
      <c r="A200" s="13" t="s">
        <v>2067</v>
      </c>
      <c r="B200" s="13">
        <v>2137</v>
      </c>
      <c r="C200" s="14" t="str">
        <f>+VLOOKUP(B200,[1]LISTE!$A$1:$D$431,4,FALSE)</f>
        <v>MOHAMED BOUZAMOUCHA</v>
      </c>
      <c r="D200" s="14" t="s">
        <v>22</v>
      </c>
      <c r="E200" s="15">
        <v>45831</v>
      </c>
      <c r="F200" s="14" t="s">
        <v>20</v>
      </c>
      <c r="G200" s="16">
        <v>107.5</v>
      </c>
    </row>
    <row r="201" spans="1:7" x14ac:dyDescent="0.25">
      <c r="A201" s="13" t="s">
        <v>2084</v>
      </c>
      <c r="B201" s="13">
        <v>2145</v>
      </c>
      <c r="C201" s="14" t="str">
        <f>+VLOOKUP(B201,[1]LISTE!$A$1:$D$431,4,FALSE)</f>
        <v>MRIBAH HAMZA</v>
      </c>
      <c r="D201" s="14" t="s">
        <v>44</v>
      </c>
      <c r="E201" s="15">
        <v>45868</v>
      </c>
      <c r="F201" s="14" t="s">
        <v>18</v>
      </c>
      <c r="G201" s="16">
        <v>70</v>
      </c>
    </row>
    <row r="202" spans="1:7" x14ac:dyDescent="0.25">
      <c r="A202" s="13" t="s">
        <v>2084</v>
      </c>
      <c r="B202" s="13">
        <v>2145</v>
      </c>
      <c r="C202" s="14" t="str">
        <f>+VLOOKUP(B202,[1]LISTE!$A$1:$D$431,4,FALSE)</f>
        <v>MRIBAH HAMZA</v>
      </c>
      <c r="D202" s="14" t="s">
        <v>44</v>
      </c>
      <c r="E202" s="15">
        <v>45869</v>
      </c>
      <c r="F202" s="14" t="s">
        <v>20</v>
      </c>
      <c r="G202" s="16">
        <v>166.12</v>
      </c>
    </row>
    <row r="203" spans="1:7" x14ac:dyDescent="0.25">
      <c r="A203" s="13" t="s">
        <v>2075</v>
      </c>
      <c r="B203" s="13">
        <v>2149</v>
      </c>
      <c r="C203" s="14" t="str">
        <f>+VLOOKUP(B203,[1]LISTE!$A$1:$D$431,4,FALSE)</f>
        <v>BERRIRI HOUSSEM</v>
      </c>
      <c r="D203" s="14" t="s">
        <v>22</v>
      </c>
      <c r="E203" s="15">
        <v>45841</v>
      </c>
      <c r="F203" s="14" t="s">
        <v>23</v>
      </c>
      <c r="G203" s="16">
        <v>1.5</v>
      </c>
    </row>
    <row r="204" spans="1:7" x14ac:dyDescent="0.25">
      <c r="A204" s="13" t="s">
        <v>2075</v>
      </c>
      <c r="B204" s="13">
        <v>2149</v>
      </c>
      <c r="C204" s="14" t="str">
        <f>+VLOOKUP(B204,[1]LISTE!$A$1:$D$431,4,FALSE)</f>
        <v>BERRIRI HOUSSEM</v>
      </c>
      <c r="D204" s="15" t="s">
        <v>22</v>
      </c>
      <c r="E204" s="15">
        <v>45841</v>
      </c>
      <c r="F204" s="14" t="s">
        <v>20</v>
      </c>
      <c r="G204" s="16">
        <v>23.593</v>
      </c>
    </row>
    <row r="205" spans="1:7" x14ac:dyDescent="0.25">
      <c r="A205" s="13" t="s">
        <v>2127</v>
      </c>
      <c r="B205" s="13">
        <v>2153</v>
      </c>
      <c r="C205" s="14" t="str">
        <f>+VLOOKUP(B205,[1]LISTE!$A$1:$D$431,4,FALSE)</f>
        <v>BABAY ROUIS ANOIR</v>
      </c>
      <c r="D205" s="15" t="s">
        <v>2128</v>
      </c>
      <c r="E205" s="15">
        <v>45853</v>
      </c>
      <c r="F205" s="14" t="s">
        <v>312</v>
      </c>
      <c r="G205" s="16">
        <v>250</v>
      </c>
    </row>
    <row r="206" spans="1:7" x14ac:dyDescent="0.25">
      <c r="A206" s="13" t="s">
        <v>2077</v>
      </c>
      <c r="B206" s="13">
        <v>2181</v>
      </c>
      <c r="C206" s="14" t="s">
        <v>1707</v>
      </c>
      <c r="D206" s="14" t="s">
        <v>22</v>
      </c>
      <c r="E206" s="15">
        <v>45858</v>
      </c>
      <c r="F206" s="14" t="s">
        <v>23</v>
      </c>
      <c r="G206" s="16">
        <v>40</v>
      </c>
    </row>
    <row r="207" spans="1:7" x14ac:dyDescent="0.25">
      <c r="A207" s="13" t="s">
        <v>2077</v>
      </c>
      <c r="B207" s="13">
        <v>2181</v>
      </c>
      <c r="C207" s="14" t="s">
        <v>1707</v>
      </c>
      <c r="D207" s="14" t="s">
        <v>22</v>
      </c>
      <c r="E207" s="15">
        <v>45869</v>
      </c>
      <c r="F207" s="14" t="s">
        <v>25</v>
      </c>
      <c r="G207" s="16">
        <v>300</v>
      </c>
    </row>
    <row r="208" spans="1:7" x14ac:dyDescent="0.25">
      <c r="A208" s="13" t="s">
        <v>2051</v>
      </c>
      <c r="B208" s="13">
        <v>2185</v>
      </c>
      <c r="C208" s="14" t="str">
        <f>+VLOOKUP(B208,[1]LISTE!$A$1:$D$431,4,FALSE)</f>
        <v>BENYOUSSEF MOHAMED</v>
      </c>
      <c r="D208" s="14" t="s">
        <v>22</v>
      </c>
      <c r="E208" s="15">
        <v>45856</v>
      </c>
      <c r="F208" s="14" t="s">
        <v>23</v>
      </c>
      <c r="G208" s="16">
        <v>50</v>
      </c>
    </row>
    <row r="209" spans="1:7" x14ac:dyDescent="0.25">
      <c r="A209" s="13" t="s">
        <v>2051</v>
      </c>
      <c r="B209" s="13">
        <v>2185</v>
      </c>
      <c r="C209" s="14" t="str">
        <f>+VLOOKUP(B209,[1]LISTE!$A$1:$D$431,4,FALSE)</f>
        <v>BENYOUSSEF MOHAMED</v>
      </c>
      <c r="D209" s="14" t="s">
        <v>22</v>
      </c>
      <c r="E209" s="15">
        <v>45856</v>
      </c>
      <c r="F209" s="14" t="s">
        <v>20</v>
      </c>
      <c r="G209" s="16">
        <v>11.734999999999999</v>
      </c>
    </row>
    <row r="210" spans="1:7" x14ac:dyDescent="0.25">
      <c r="A210" s="13" t="s">
        <v>2051</v>
      </c>
      <c r="B210" s="13">
        <v>2185</v>
      </c>
      <c r="C210" s="14" t="str">
        <f>+VLOOKUP(B210,[1]LISTE!$A$1:$D$431,4,FALSE)</f>
        <v>BENYOUSSEF MOHAMED</v>
      </c>
      <c r="D210" s="14" t="s">
        <v>22</v>
      </c>
      <c r="E210" s="15">
        <v>45866</v>
      </c>
      <c r="F210" s="14" t="s">
        <v>24</v>
      </c>
      <c r="G210" s="16">
        <v>150</v>
      </c>
    </row>
    <row r="211" spans="1:7" x14ac:dyDescent="0.25">
      <c r="A211" s="13" t="s">
        <v>2056</v>
      </c>
      <c r="B211" s="13">
        <v>2210</v>
      </c>
      <c r="C211" s="14" t="s">
        <v>1818</v>
      </c>
      <c r="D211" s="14" t="s">
        <v>22</v>
      </c>
      <c r="E211" s="15">
        <v>45863</v>
      </c>
      <c r="F211" s="14" t="s">
        <v>23</v>
      </c>
      <c r="G211" s="16">
        <v>40</v>
      </c>
    </row>
    <row r="212" spans="1:7" x14ac:dyDescent="0.25">
      <c r="A212" s="13" t="s">
        <v>2056</v>
      </c>
      <c r="B212" s="13">
        <v>2210</v>
      </c>
      <c r="C212" s="14" t="s">
        <v>1818</v>
      </c>
      <c r="D212" s="15" t="s">
        <v>22</v>
      </c>
      <c r="E212" s="15">
        <v>45863</v>
      </c>
      <c r="F212" s="14" t="s">
        <v>20</v>
      </c>
      <c r="G212" s="16">
        <v>52.765000000000001</v>
      </c>
    </row>
    <row r="213" spans="1:7" x14ac:dyDescent="0.25">
      <c r="A213" s="13" t="s">
        <v>2052</v>
      </c>
      <c r="B213" s="13">
        <v>2213</v>
      </c>
      <c r="C213" s="14" t="s">
        <v>1523</v>
      </c>
      <c r="D213" s="14" t="s">
        <v>22</v>
      </c>
      <c r="E213" s="15">
        <v>45866</v>
      </c>
      <c r="F213" s="14" t="s">
        <v>18</v>
      </c>
      <c r="G213" s="16">
        <v>70</v>
      </c>
    </row>
    <row r="214" spans="1:7" x14ac:dyDescent="0.25">
      <c r="A214" s="13" t="s">
        <v>2052</v>
      </c>
      <c r="B214" s="13">
        <v>2213</v>
      </c>
      <c r="C214" s="14" t="s">
        <v>1523</v>
      </c>
      <c r="D214" s="15" t="s">
        <v>22</v>
      </c>
      <c r="E214" s="15">
        <v>45866</v>
      </c>
      <c r="F214" s="14" t="s">
        <v>20</v>
      </c>
      <c r="G214" s="16">
        <v>36.651000000000003</v>
      </c>
    </row>
    <row r="215" spans="1:7" x14ac:dyDescent="0.25">
      <c r="A215" s="13" t="s">
        <v>2065</v>
      </c>
      <c r="B215" s="13">
        <v>2213</v>
      </c>
      <c r="C215" s="14" t="s">
        <v>1523</v>
      </c>
      <c r="D215" s="15" t="s">
        <v>687</v>
      </c>
      <c r="E215" s="15">
        <v>45866</v>
      </c>
      <c r="F215" s="14" t="s">
        <v>18</v>
      </c>
      <c r="G215" s="16">
        <v>70</v>
      </c>
    </row>
    <row r="216" spans="1:7" x14ac:dyDescent="0.25">
      <c r="A216" s="13" t="s">
        <v>2065</v>
      </c>
      <c r="B216" s="13">
        <v>2213</v>
      </c>
      <c r="C216" s="14" t="s">
        <v>1523</v>
      </c>
      <c r="D216" s="15" t="s">
        <v>687</v>
      </c>
      <c r="E216" s="15">
        <v>45867</v>
      </c>
      <c r="F216" s="14" t="s">
        <v>19</v>
      </c>
      <c r="G216" s="16">
        <v>150.54900000000001</v>
      </c>
    </row>
    <row r="217" spans="1:7" x14ac:dyDescent="0.25">
      <c r="A217" s="13" t="s">
        <v>2120</v>
      </c>
      <c r="B217" s="13">
        <v>2213</v>
      </c>
      <c r="C217" s="14" t="s">
        <v>1523</v>
      </c>
      <c r="D217" s="14" t="s">
        <v>22</v>
      </c>
      <c r="E217" s="15">
        <v>45875</v>
      </c>
      <c r="F217" s="14" t="s">
        <v>18</v>
      </c>
      <c r="G217" s="16">
        <v>60</v>
      </c>
    </row>
    <row r="218" spans="1:7" x14ac:dyDescent="0.25">
      <c r="A218" s="13" t="s">
        <v>2120</v>
      </c>
      <c r="B218" s="13">
        <v>2213</v>
      </c>
      <c r="C218" s="14" t="s">
        <v>1523</v>
      </c>
      <c r="D218" s="14" t="s">
        <v>22</v>
      </c>
      <c r="E218" s="15">
        <v>45875</v>
      </c>
      <c r="F218" s="14" t="s">
        <v>20</v>
      </c>
      <c r="G218" s="16">
        <v>109.217</v>
      </c>
    </row>
    <row r="219" spans="1:7" x14ac:dyDescent="0.25">
      <c r="A219" s="13" t="s">
        <v>2093</v>
      </c>
      <c r="B219" s="13">
        <v>2246</v>
      </c>
      <c r="C219" s="14" t="s">
        <v>664</v>
      </c>
      <c r="D219" s="14" t="s">
        <v>665</v>
      </c>
      <c r="E219" s="15">
        <v>45871</v>
      </c>
      <c r="F219" s="14" t="s">
        <v>18</v>
      </c>
      <c r="G219" s="16">
        <v>100</v>
      </c>
    </row>
    <row r="220" spans="1:7" x14ac:dyDescent="0.25">
      <c r="A220" s="13" t="s">
        <v>2093</v>
      </c>
      <c r="B220" s="13">
        <v>2246</v>
      </c>
      <c r="C220" s="14" t="s">
        <v>664</v>
      </c>
      <c r="D220" s="15" t="s">
        <v>665</v>
      </c>
      <c r="E220" s="15">
        <v>45872</v>
      </c>
      <c r="F220" s="14" t="s">
        <v>20</v>
      </c>
      <c r="G220" s="16">
        <v>41.143000000000001</v>
      </c>
    </row>
    <row r="221" spans="1:7" x14ac:dyDescent="0.25">
      <c r="A221" s="13" t="s">
        <v>2094</v>
      </c>
      <c r="B221" s="13">
        <v>2246</v>
      </c>
      <c r="C221" s="14" t="s">
        <v>664</v>
      </c>
      <c r="D221" s="14" t="s">
        <v>665</v>
      </c>
      <c r="E221" s="15">
        <v>45871</v>
      </c>
      <c r="F221" s="14" t="s">
        <v>18</v>
      </c>
      <c r="G221" s="16">
        <v>70</v>
      </c>
    </row>
    <row r="222" spans="1:7" x14ac:dyDescent="0.25">
      <c r="A222" s="13" t="s">
        <v>2094</v>
      </c>
      <c r="B222" s="13">
        <v>2246</v>
      </c>
      <c r="C222" s="14" t="s">
        <v>664</v>
      </c>
      <c r="D222" s="15" t="s">
        <v>665</v>
      </c>
      <c r="E222" s="15">
        <v>45871</v>
      </c>
      <c r="F222" s="14" t="s">
        <v>20</v>
      </c>
      <c r="G222" s="16">
        <v>51.64</v>
      </c>
    </row>
    <row r="223" spans="1:7" x14ac:dyDescent="0.25">
      <c r="A223" s="13" t="s">
        <v>2117</v>
      </c>
      <c r="B223" s="13">
        <v>2270</v>
      </c>
      <c r="C223" s="14" t="s">
        <v>573</v>
      </c>
      <c r="D223" s="15" t="s">
        <v>595</v>
      </c>
      <c r="E223" s="15">
        <v>45867</v>
      </c>
      <c r="F223" s="14" t="s">
        <v>18</v>
      </c>
      <c r="G223" s="16">
        <v>60</v>
      </c>
    </row>
    <row r="224" spans="1:7" x14ac:dyDescent="0.25">
      <c r="A224" s="13" t="s">
        <v>2117</v>
      </c>
      <c r="B224" s="13">
        <v>2270</v>
      </c>
      <c r="C224" s="14" t="s">
        <v>573</v>
      </c>
      <c r="D224" s="15" t="s">
        <v>595</v>
      </c>
      <c r="E224" s="15">
        <v>45873</v>
      </c>
      <c r="F224" s="14" t="s">
        <v>20</v>
      </c>
      <c r="G224" s="16">
        <v>61.805</v>
      </c>
    </row>
    <row r="225" spans="1:7" x14ac:dyDescent="0.25">
      <c r="A225" s="13" t="s">
        <v>2117</v>
      </c>
      <c r="B225" s="13">
        <v>2270</v>
      </c>
      <c r="C225" s="14" t="s">
        <v>573</v>
      </c>
      <c r="D225" s="15" t="s">
        <v>595</v>
      </c>
      <c r="E225" s="15">
        <v>45868</v>
      </c>
      <c r="F225" s="14" t="s">
        <v>21</v>
      </c>
      <c r="G225" s="16">
        <v>250</v>
      </c>
    </row>
    <row r="226" spans="1:7" x14ac:dyDescent="0.25">
      <c r="A226" s="13" t="s">
        <v>2138</v>
      </c>
      <c r="B226" s="13">
        <v>2319</v>
      </c>
      <c r="C226" s="14" t="s">
        <v>1145</v>
      </c>
      <c r="D226" s="14" t="s">
        <v>22</v>
      </c>
      <c r="E226" s="15">
        <v>45878</v>
      </c>
      <c r="F226" s="14" t="s">
        <v>18</v>
      </c>
      <c r="G226" s="16">
        <v>70</v>
      </c>
    </row>
    <row r="227" spans="1:7" x14ac:dyDescent="0.25">
      <c r="A227" s="13" t="s">
        <v>2138</v>
      </c>
      <c r="B227" s="13">
        <v>2319</v>
      </c>
      <c r="C227" s="14" t="s">
        <v>1145</v>
      </c>
      <c r="D227" s="14" t="s">
        <v>22</v>
      </c>
      <c r="E227" s="15">
        <v>45878</v>
      </c>
      <c r="F227" s="14" t="s">
        <v>20</v>
      </c>
      <c r="G227" s="16">
        <v>15.84</v>
      </c>
    </row>
    <row r="228" spans="1:7" x14ac:dyDescent="0.25">
      <c r="A228" s="13" t="s">
        <v>2125</v>
      </c>
      <c r="B228" s="13">
        <v>2337</v>
      </c>
      <c r="C228" s="14" t="s">
        <v>210</v>
      </c>
      <c r="D228" s="14" t="s">
        <v>75</v>
      </c>
      <c r="E228" s="15">
        <v>45864</v>
      </c>
      <c r="F228" s="14" t="s">
        <v>18</v>
      </c>
      <c r="G228" s="16">
        <v>60</v>
      </c>
    </row>
    <row r="229" spans="1:7" x14ac:dyDescent="0.25">
      <c r="A229" s="13" t="s">
        <v>2125</v>
      </c>
      <c r="B229" s="13">
        <v>2337</v>
      </c>
      <c r="C229" s="14" t="s">
        <v>210</v>
      </c>
      <c r="D229" s="15" t="s">
        <v>75</v>
      </c>
      <c r="E229" s="15">
        <v>45864</v>
      </c>
      <c r="F229" s="14" t="s">
        <v>20</v>
      </c>
      <c r="G229" s="16">
        <v>19.02</v>
      </c>
    </row>
    <row r="230" spans="1:7" x14ac:dyDescent="0.25">
      <c r="A230" s="13" t="s">
        <v>2126</v>
      </c>
      <c r="B230" s="13">
        <v>2337</v>
      </c>
      <c r="C230" s="14" t="s">
        <v>210</v>
      </c>
      <c r="D230" s="15" t="s">
        <v>22</v>
      </c>
      <c r="E230" s="15">
        <v>45864</v>
      </c>
      <c r="F230" s="14" t="s">
        <v>23</v>
      </c>
      <c r="G230" s="16">
        <v>50</v>
      </c>
    </row>
    <row r="231" spans="1:7" x14ac:dyDescent="0.25">
      <c r="A231" s="13" t="s">
        <v>2126</v>
      </c>
      <c r="B231" s="13">
        <v>2337</v>
      </c>
      <c r="C231" s="14" t="s">
        <v>210</v>
      </c>
      <c r="D231" s="14" t="s">
        <v>22</v>
      </c>
      <c r="E231" s="15">
        <v>45864</v>
      </c>
      <c r="F231" s="14" t="s">
        <v>20</v>
      </c>
      <c r="G231" s="16">
        <v>25.745000000000001</v>
      </c>
    </row>
    <row r="232" spans="1:7" x14ac:dyDescent="0.25">
      <c r="A232" s="13" t="s">
        <v>2027</v>
      </c>
      <c r="B232" s="13">
        <v>2363</v>
      </c>
      <c r="C232" s="14" t="s">
        <v>1599</v>
      </c>
      <c r="D232" s="15" t="s">
        <v>22</v>
      </c>
      <c r="E232" s="15">
        <v>45866</v>
      </c>
      <c r="F232" s="14" t="s">
        <v>23</v>
      </c>
      <c r="G232" s="16">
        <v>40</v>
      </c>
    </row>
    <row r="233" spans="1:7" x14ac:dyDescent="0.25">
      <c r="A233" s="13" t="s">
        <v>2027</v>
      </c>
      <c r="B233" s="13">
        <v>2363</v>
      </c>
      <c r="C233" s="14" t="s">
        <v>1599</v>
      </c>
      <c r="D233" s="15" t="s">
        <v>22</v>
      </c>
      <c r="E233" s="15">
        <v>45866</v>
      </c>
      <c r="F233" s="14" t="s">
        <v>20</v>
      </c>
      <c r="G233" s="16">
        <v>4.335</v>
      </c>
    </row>
    <row r="234" spans="1:7" x14ac:dyDescent="0.25">
      <c r="A234" s="13" t="s">
        <v>2098</v>
      </c>
      <c r="B234" s="13">
        <v>2363</v>
      </c>
      <c r="C234" s="14" t="s">
        <v>1599</v>
      </c>
      <c r="D234" s="15" t="s">
        <v>22</v>
      </c>
      <c r="E234" s="15">
        <v>45871</v>
      </c>
      <c r="F234" s="14" t="s">
        <v>20</v>
      </c>
      <c r="G234" s="16">
        <v>4.2450000000000001</v>
      </c>
    </row>
    <row r="235" spans="1:7" x14ac:dyDescent="0.25">
      <c r="A235" s="13" t="s">
        <v>2098</v>
      </c>
      <c r="B235" s="13">
        <v>2363</v>
      </c>
      <c r="C235" s="14" t="s">
        <v>1599</v>
      </c>
      <c r="D235" s="14" t="s">
        <v>22</v>
      </c>
      <c r="E235" s="15">
        <v>45871</v>
      </c>
      <c r="F235" s="14" t="s">
        <v>24</v>
      </c>
      <c r="G235" s="16">
        <v>50</v>
      </c>
    </row>
    <row r="236" spans="1:7" x14ac:dyDescent="0.25">
      <c r="A236" s="13" t="s">
        <v>2095</v>
      </c>
      <c r="B236" s="13">
        <v>2368</v>
      </c>
      <c r="C236" s="14" t="s">
        <v>2096</v>
      </c>
      <c r="D236" s="14" t="s">
        <v>22</v>
      </c>
      <c r="E236" s="15">
        <v>45873</v>
      </c>
      <c r="F236" s="14" t="s">
        <v>24</v>
      </c>
      <c r="G236" s="16">
        <v>3700</v>
      </c>
    </row>
    <row r="237" spans="1:7" x14ac:dyDescent="0.25">
      <c r="A237" s="13" t="s">
        <v>2118</v>
      </c>
      <c r="B237" s="13">
        <v>2448</v>
      </c>
      <c r="C237" s="14" t="s">
        <v>2119</v>
      </c>
      <c r="D237" s="14" t="s">
        <v>1534</v>
      </c>
      <c r="E237" s="15">
        <v>45868</v>
      </c>
      <c r="F237" s="14" t="s">
        <v>18</v>
      </c>
      <c r="G237" s="16">
        <v>70</v>
      </c>
    </row>
    <row r="238" spans="1:7" x14ac:dyDescent="0.25">
      <c r="A238" s="13" t="s">
        <v>2118</v>
      </c>
      <c r="B238" s="13">
        <v>2448</v>
      </c>
      <c r="C238" s="14" t="s">
        <v>2119</v>
      </c>
      <c r="D238" s="14" t="s">
        <v>1534</v>
      </c>
      <c r="E238" s="15">
        <v>45868</v>
      </c>
      <c r="F238" s="14" t="s">
        <v>20</v>
      </c>
      <c r="G238" s="16">
        <v>37.347999999999999</v>
      </c>
    </row>
    <row r="239" spans="1:7" x14ac:dyDescent="0.25">
      <c r="A239" s="13" t="s">
        <v>2123</v>
      </c>
      <c r="B239" s="13">
        <v>2456</v>
      </c>
      <c r="C239" s="14" t="s">
        <v>1255</v>
      </c>
      <c r="D239" s="15" t="s">
        <v>22</v>
      </c>
      <c r="E239" s="15">
        <v>45867</v>
      </c>
      <c r="F239" s="14" t="s">
        <v>363</v>
      </c>
      <c r="G239" s="16">
        <v>800</v>
      </c>
    </row>
    <row r="240" spans="1:7" x14ac:dyDescent="0.25">
      <c r="A240" s="13" t="s">
        <v>2123</v>
      </c>
      <c r="B240" s="13">
        <v>2456</v>
      </c>
      <c r="C240" s="14" t="s">
        <v>1255</v>
      </c>
      <c r="D240" s="14" t="s">
        <v>22</v>
      </c>
      <c r="E240" s="15">
        <v>45867</v>
      </c>
      <c r="F240" s="14" t="s">
        <v>20</v>
      </c>
      <c r="G240" s="16">
        <v>95.203999999999994</v>
      </c>
    </row>
    <row r="241" spans="1:7" x14ac:dyDescent="0.25">
      <c r="A241" s="13" t="s">
        <v>2124</v>
      </c>
      <c r="B241" s="13">
        <v>2456</v>
      </c>
      <c r="C241" s="14" t="s">
        <v>1255</v>
      </c>
      <c r="D241" s="14" t="s">
        <v>22</v>
      </c>
      <c r="E241" s="15">
        <v>45866</v>
      </c>
      <c r="F241" s="14" t="s">
        <v>18</v>
      </c>
      <c r="G241" s="16">
        <v>70</v>
      </c>
    </row>
    <row r="242" spans="1:7" x14ac:dyDescent="0.25">
      <c r="A242" s="13" t="s">
        <v>2124</v>
      </c>
      <c r="B242" s="13">
        <v>2456</v>
      </c>
      <c r="C242" s="14" t="s">
        <v>1255</v>
      </c>
      <c r="D242" s="15" t="s">
        <v>22</v>
      </c>
      <c r="E242" s="15">
        <v>45866</v>
      </c>
      <c r="F242" s="14" t="s">
        <v>19</v>
      </c>
      <c r="G242" s="16">
        <v>28.69</v>
      </c>
    </row>
    <row r="243" spans="1:7" x14ac:dyDescent="0.25">
      <c r="A243" s="13" t="s">
        <v>2103</v>
      </c>
      <c r="B243" s="13">
        <v>2479</v>
      </c>
      <c r="C243" s="14" t="s">
        <v>1712</v>
      </c>
      <c r="D243" s="15" t="s">
        <v>1713</v>
      </c>
      <c r="E243" s="15">
        <v>45869</v>
      </c>
      <c r="F243" s="14" t="s">
        <v>18</v>
      </c>
      <c r="G243" s="16">
        <v>70</v>
      </c>
    </row>
    <row r="244" spans="1:7" x14ac:dyDescent="0.25">
      <c r="A244" s="13" t="s">
        <v>2103</v>
      </c>
      <c r="B244" s="13">
        <v>2479</v>
      </c>
      <c r="C244" s="14" t="s">
        <v>1712</v>
      </c>
      <c r="D244" s="14" t="s">
        <v>1713</v>
      </c>
      <c r="E244" s="15">
        <v>45869</v>
      </c>
      <c r="F244" s="14" t="s">
        <v>20</v>
      </c>
      <c r="G244" s="16">
        <v>8.36</v>
      </c>
    </row>
    <row r="245" spans="1:7" x14ac:dyDescent="0.25">
      <c r="A245" s="13" t="s">
        <v>2036</v>
      </c>
      <c r="B245" s="13">
        <v>2572</v>
      </c>
      <c r="C245" s="14" t="s">
        <v>462</v>
      </c>
      <c r="D245" s="14" t="s">
        <v>1978</v>
      </c>
      <c r="E245" s="15">
        <v>45867</v>
      </c>
      <c r="F245" s="14" t="s">
        <v>18</v>
      </c>
      <c r="G245" s="16">
        <v>60</v>
      </c>
    </row>
    <row r="246" spans="1:7" x14ac:dyDescent="0.25">
      <c r="A246" s="13" t="s">
        <v>2036</v>
      </c>
      <c r="B246" s="13">
        <v>2572</v>
      </c>
      <c r="C246" s="14" t="s">
        <v>462</v>
      </c>
      <c r="D246" s="15" t="s">
        <v>1978</v>
      </c>
      <c r="E246" s="15">
        <v>45867</v>
      </c>
      <c r="F246" s="14" t="s">
        <v>20</v>
      </c>
      <c r="G246" s="16">
        <v>13.161</v>
      </c>
    </row>
    <row r="247" spans="1:7" x14ac:dyDescent="0.25">
      <c r="A247" s="13" t="s">
        <v>2091</v>
      </c>
      <c r="B247" s="13">
        <v>2631</v>
      </c>
      <c r="C247" s="14" t="s">
        <v>533</v>
      </c>
      <c r="D247" s="14" t="s">
        <v>2092</v>
      </c>
      <c r="E247" s="15">
        <v>45848</v>
      </c>
      <c r="F247" s="14" t="s">
        <v>18</v>
      </c>
      <c r="G247" s="16">
        <v>60</v>
      </c>
    </row>
    <row r="248" spans="1:7" x14ac:dyDescent="0.25">
      <c r="A248" s="13" t="s">
        <v>2091</v>
      </c>
      <c r="B248" s="13">
        <v>2631</v>
      </c>
      <c r="C248" s="14" t="s">
        <v>533</v>
      </c>
      <c r="D248" s="15" t="s">
        <v>2092</v>
      </c>
      <c r="E248" s="15">
        <v>45850</v>
      </c>
      <c r="F248" s="14" t="s">
        <v>19</v>
      </c>
      <c r="G248" s="16">
        <v>118.77</v>
      </c>
    </row>
    <row r="249" spans="1:7" x14ac:dyDescent="0.25">
      <c r="A249" s="13" t="s">
        <v>2091</v>
      </c>
      <c r="B249" s="13">
        <v>2631</v>
      </c>
      <c r="C249" s="14" t="s">
        <v>533</v>
      </c>
      <c r="D249" s="14" t="s">
        <v>2092</v>
      </c>
      <c r="E249" s="15">
        <v>45849</v>
      </c>
      <c r="F249" s="14" t="s">
        <v>20</v>
      </c>
      <c r="G249" s="16">
        <v>75.171999999999997</v>
      </c>
    </row>
    <row r="250" spans="1:7" x14ac:dyDescent="0.25">
      <c r="A250" s="13" t="s">
        <v>2091</v>
      </c>
      <c r="B250" s="13">
        <v>2631</v>
      </c>
      <c r="C250" s="14" t="s">
        <v>533</v>
      </c>
      <c r="D250" s="14" t="s">
        <v>2092</v>
      </c>
      <c r="E250" s="15">
        <v>45848</v>
      </c>
      <c r="F250" s="14" t="s">
        <v>21</v>
      </c>
      <c r="G250" s="16">
        <v>60</v>
      </c>
    </row>
    <row r="251" spans="1:7" x14ac:dyDescent="0.25">
      <c r="A251" s="13" t="s">
        <v>2082</v>
      </c>
      <c r="B251" s="13">
        <v>2714</v>
      </c>
      <c r="C251" s="14" t="s">
        <v>2083</v>
      </c>
      <c r="D251" s="14" t="s">
        <v>22</v>
      </c>
      <c r="E251" s="15">
        <v>45868</v>
      </c>
      <c r="F251" s="14" t="s">
        <v>21</v>
      </c>
      <c r="G251" s="16">
        <v>60</v>
      </c>
    </row>
    <row r="252" spans="1:7" ht="18.75" x14ac:dyDescent="0.3">
      <c r="A252" s="14"/>
      <c r="B252" s="28"/>
      <c r="C252" s="29"/>
      <c r="D252" s="14"/>
      <c r="E252" s="28"/>
      <c r="F252" s="17" t="s">
        <v>11</v>
      </c>
      <c r="G252" s="17">
        <f>SUM(G10:G251)</f>
        <v>28619.859000000008</v>
      </c>
    </row>
    <row r="253" spans="1:7" ht="18.75" x14ac:dyDescent="0.3">
      <c r="A253" s="38"/>
      <c r="B253" s="39"/>
      <c r="C253" s="40"/>
      <c r="D253" s="41"/>
      <c r="E253" s="19"/>
      <c r="F253" s="18"/>
      <c r="G253" s="34"/>
    </row>
    <row r="254" spans="1:7" ht="18.75" x14ac:dyDescent="0.3">
      <c r="A254" s="35"/>
      <c r="B254" s="36"/>
      <c r="C254" s="37"/>
      <c r="D254" s="42"/>
      <c r="E254" s="43"/>
      <c r="F254" s="44"/>
      <c r="G254" s="44"/>
    </row>
    <row r="255" spans="1:7" ht="15.75" x14ac:dyDescent="0.25">
      <c r="A255" s="35"/>
      <c r="B255" s="36" t="s">
        <v>12</v>
      </c>
      <c r="C255" s="37"/>
      <c r="E255" s="36" t="s">
        <v>13</v>
      </c>
      <c r="F255" s="18"/>
      <c r="G255" s="18"/>
    </row>
    <row r="256" spans="1:7" ht="15.75" x14ac:dyDescent="0.25">
      <c r="A256" s="45"/>
      <c r="B256" s="46" t="s">
        <v>14</v>
      </c>
      <c r="C256" s="47"/>
      <c r="E256" s="36" t="s">
        <v>15</v>
      </c>
      <c r="F256" s="18"/>
      <c r="G256" s="18"/>
    </row>
    <row r="257" spans="1:7" ht="15.75" x14ac:dyDescent="0.25">
      <c r="A257" s="23"/>
      <c r="B257" s="24"/>
      <c r="C257" s="25"/>
      <c r="E257" s="27"/>
      <c r="F257" s="18"/>
      <c r="G257" s="18"/>
    </row>
    <row r="258" spans="1:7" ht="18.75" x14ac:dyDescent="0.3">
      <c r="B258" s="19"/>
      <c r="C258" s="20"/>
      <c r="D258" s="21"/>
      <c r="E258" s="22"/>
      <c r="F258" s="19"/>
      <c r="G258" s="22"/>
    </row>
    <row r="259" spans="1:7" ht="15.75" x14ac:dyDescent="0.25">
      <c r="A259" s="23"/>
      <c r="B259" s="24"/>
      <c r="C259" s="25"/>
      <c r="D259" s="26"/>
      <c r="E259" s="22"/>
      <c r="F259" s="27"/>
      <c r="G259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ySplit="9" topLeftCell="A10" activePane="bottomLeft" state="frozen"/>
      <selection pane="bottomLeft" activeCell="B53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2150</v>
      </c>
      <c r="C5" s="7"/>
      <c r="D5" s="4"/>
    </row>
    <row r="6" spans="1:7" ht="22.5" customHeight="1" x14ac:dyDescent="0.25">
      <c r="A6" s="6"/>
      <c r="B6" s="8" t="s">
        <v>2241</v>
      </c>
      <c r="C6" s="9"/>
      <c r="D6" s="4"/>
    </row>
    <row r="7" spans="1:7" ht="22.5" customHeight="1" x14ac:dyDescent="0.35">
      <c r="A7" s="4"/>
      <c r="B7" s="10"/>
      <c r="C7" s="11" t="s">
        <v>2236</v>
      </c>
      <c r="D7" s="4"/>
    </row>
    <row r="8" spans="1:7" ht="22.5" customHeight="1" x14ac:dyDescent="0.25">
      <c r="A8" s="12"/>
      <c r="B8" s="12"/>
    </row>
    <row r="9" spans="1:7" x14ac:dyDescent="0.25">
      <c r="A9" s="13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2208</v>
      </c>
      <c r="B10" s="13">
        <v>656</v>
      </c>
      <c r="C10" s="14" t="str">
        <f>+VLOOKUP(B10,[1]LISTE!$A$1:$D$431,4,FALSE)</f>
        <v>CHEBIL MOHAMED MONCEF</v>
      </c>
      <c r="D10" s="14" t="s">
        <v>1902</v>
      </c>
      <c r="E10" s="15">
        <v>45860</v>
      </c>
      <c r="F10" s="14" t="s">
        <v>18</v>
      </c>
      <c r="G10" s="16">
        <v>60</v>
      </c>
    </row>
    <row r="11" spans="1:7" x14ac:dyDescent="0.25">
      <c r="A11" s="13" t="s">
        <v>2208</v>
      </c>
      <c r="B11" s="13">
        <v>656</v>
      </c>
      <c r="C11" s="14" t="str">
        <f>+VLOOKUP(B11,[1]LISTE!$A$1:$D$431,4,FALSE)</f>
        <v>CHEBIL MOHAMED MONCEF</v>
      </c>
      <c r="D11" s="15" t="s">
        <v>1902</v>
      </c>
      <c r="E11" s="15">
        <v>45862</v>
      </c>
      <c r="F11" s="14" t="s">
        <v>21</v>
      </c>
      <c r="G11" s="16">
        <v>150</v>
      </c>
    </row>
    <row r="12" spans="1:7" x14ac:dyDescent="0.25">
      <c r="A12" s="13" t="s">
        <v>2210</v>
      </c>
      <c r="B12" s="13">
        <v>656</v>
      </c>
      <c r="C12" s="14" t="str">
        <f>+VLOOKUP(B12,[1]LISTE!$A$1:$D$431,4,FALSE)</f>
        <v>CHEBIL MOHAMED MONCEF</v>
      </c>
      <c r="D12" s="14" t="s">
        <v>1902</v>
      </c>
      <c r="E12" s="15">
        <v>45862</v>
      </c>
      <c r="F12" s="14" t="s">
        <v>363</v>
      </c>
      <c r="G12" s="16">
        <v>300</v>
      </c>
    </row>
    <row r="13" spans="1:7" x14ac:dyDescent="0.25">
      <c r="A13" s="13" t="s">
        <v>2210</v>
      </c>
      <c r="B13" s="13">
        <v>656</v>
      </c>
      <c r="C13" s="14" t="str">
        <f>+VLOOKUP(B13,[1]LISTE!$A$1:$D$431,4,FALSE)</f>
        <v>CHEBIL MOHAMED MONCEF</v>
      </c>
      <c r="D13" s="14" t="s">
        <v>1902</v>
      </c>
      <c r="E13" s="15">
        <v>45862</v>
      </c>
      <c r="F13" s="14" t="s">
        <v>363</v>
      </c>
      <c r="G13" s="16">
        <v>100</v>
      </c>
    </row>
    <row r="14" spans="1:7" x14ac:dyDescent="0.25">
      <c r="A14" s="13" t="s">
        <v>2210</v>
      </c>
      <c r="B14" s="13">
        <v>656</v>
      </c>
      <c r="C14" s="14" t="str">
        <f>+VLOOKUP(B14,[1]LISTE!$A$1:$D$431,4,FALSE)</f>
        <v>CHEBIL MOHAMED MONCEF</v>
      </c>
      <c r="D14" s="14" t="s">
        <v>1902</v>
      </c>
      <c r="E14" s="15">
        <v>45862</v>
      </c>
      <c r="F14" s="14" t="s">
        <v>364</v>
      </c>
      <c r="G14" s="16">
        <v>581.41899999999998</v>
      </c>
    </row>
    <row r="15" spans="1:7" x14ac:dyDescent="0.25">
      <c r="A15" s="13" t="s">
        <v>2224</v>
      </c>
      <c r="B15" s="13">
        <v>692</v>
      </c>
      <c r="C15" s="14" t="str">
        <f>+VLOOKUP(B15,[1]LISTE!$A$1:$D$431,4,FALSE)</f>
        <v>ABDELLAH MOHAMED</v>
      </c>
      <c r="D15" s="14" t="s">
        <v>22</v>
      </c>
      <c r="E15" s="15">
        <v>45886</v>
      </c>
      <c r="F15" s="14" t="s">
        <v>23</v>
      </c>
      <c r="G15" s="16">
        <v>40</v>
      </c>
    </row>
    <row r="16" spans="1:7" x14ac:dyDescent="0.25">
      <c r="A16" s="13" t="s">
        <v>2224</v>
      </c>
      <c r="B16" s="13">
        <v>692</v>
      </c>
      <c r="C16" s="14" t="str">
        <f>+VLOOKUP(B16,[1]LISTE!$A$1:$D$431,4,FALSE)</f>
        <v>ABDELLAH MOHAMED</v>
      </c>
      <c r="D16" s="15" t="s">
        <v>22</v>
      </c>
      <c r="E16" s="15">
        <v>45886</v>
      </c>
      <c r="F16" s="14" t="s">
        <v>20</v>
      </c>
      <c r="G16" s="16">
        <v>38.26</v>
      </c>
    </row>
    <row r="17" spans="1:7" x14ac:dyDescent="0.25">
      <c r="A17" s="13" t="s">
        <v>2191</v>
      </c>
      <c r="B17" s="13">
        <v>775</v>
      </c>
      <c r="C17" s="14" t="str">
        <f>+VLOOKUP(B17,[1]LISTE!$A$1:$D$431,4,FALSE)</f>
        <v>ZORGATI MONDHER</v>
      </c>
      <c r="D17" s="14" t="s">
        <v>22</v>
      </c>
      <c r="E17" s="15">
        <v>45878</v>
      </c>
      <c r="F17" s="14" t="s">
        <v>23</v>
      </c>
      <c r="G17" s="16">
        <v>45</v>
      </c>
    </row>
    <row r="18" spans="1:7" x14ac:dyDescent="0.25">
      <c r="A18" s="13" t="s">
        <v>2191</v>
      </c>
      <c r="B18" s="13">
        <v>775</v>
      </c>
      <c r="C18" s="14" t="str">
        <f>+VLOOKUP(B18,[1]LISTE!$A$1:$D$431,4,FALSE)</f>
        <v>ZORGATI MONDHER</v>
      </c>
      <c r="D18" s="15" t="s">
        <v>22</v>
      </c>
      <c r="E18" s="15">
        <v>45880</v>
      </c>
      <c r="F18" s="14" t="s">
        <v>19</v>
      </c>
      <c r="G18" s="16">
        <v>339.72500000000002</v>
      </c>
    </row>
    <row r="19" spans="1:7" x14ac:dyDescent="0.25">
      <c r="A19" s="13" t="s">
        <v>2191</v>
      </c>
      <c r="B19" s="13">
        <v>775</v>
      </c>
      <c r="C19" s="14" t="str">
        <f>+VLOOKUP(B19,[1]LISTE!$A$1:$D$431,4,FALSE)</f>
        <v>ZORGATI MONDHER</v>
      </c>
      <c r="D19" s="14" t="s">
        <v>22</v>
      </c>
      <c r="E19" s="15">
        <v>45881</v>
      </c>
      <c r="F19" s="14" t="s">
        <v>20</v>
      </c>
      <c r="G19" s="16">
        <v>103.11499999999999</v>
      </c>
    </row>
    <row r="20" spans="1:7" x14ac:dyDescent="0.25">
      <c r="A20" s="13" t="s">
        <v>2225</v>
      </c>
      <c r="B20" s="13">
        <v>815</v>
      </c>
      <c r="C20" s="14" t="str">
        <f>+VLOOKUP(B20,[1]LISTE!$A$1:$D$431,4,FALSE)</f>
        <v>DAHMANI HAFSI</v>
      </c>
      <c r="D20" s="15" t="s">
        <v>163</v>
      </c>
      <c r="E20" s="15">
        <v>45875</v>
      </c>
      <c r="F20" s="14" t="s">
        <v>23</v>
      </c>
      <c r="G20" s="16">
        <v>50</v>
      </c>
    </row>
    <row r="21" spans="1:7" x14ac:dyDescent="0.25">
      <c r="A21" s="13" t="s">
        <v>2225</v>
      </c>
      <c r="B21" s="13">
        <v>815</v>
      </c>
      <c r="C21" s="14" t="str">
        <f>+VLOOKUP(B21,[1]LISTE!$A$1:$D$431,4,FALSE)</f>
        <v>DAHMANI HAFSI</v>
      </c>
      <c r="D21" s="14" t="s">
        <v>163</v>
      </c>
      <c r="E21" s="15">
        <v>45875</v>
      </c>
      <c r="F21" s="14" t="s">
        <v>20</v>
      </c>
      <c r="G21" s="16">
        <v>39.06</v>
      </c>
    </row>
    <row r="22" spans="1:7" x14ac:dyDescent="0.25">
      <c r="A22" s="13" t="s">
        <v>2225</v>
      </c>
      <c r="B22" s="13">
        <v>815</v>
      </c>
      <c r="C22" s="14" t="str">
        <f>+VLOOKUP(B22,[1]LISTE!$A$1:$D$431,4,FALSE)</f>
        <v>DAHMANI HAFSI</v>
      </c>
      <c r="D22" s="14" t="s">
        <v>163</v>
      </c>
      <c r="E22" s="15">
        <v>45881</v>
      </c>
      <c r="F22" s="14" t="s">
        <v>21</v>
      </c>
      <c r="G22" s="16">
        <v>60</v>
      </c>
    </row>
    <row r="23" spans="1:7" x14ac:dyDescent="0.25">
      <c r="A23" s="13" t="s">
        <v>2163</v>
      </c>
      <c r="B23" s="13">
        <v>832</v>
      </c>
      <c r="C23" s="14" t="str">
        <f>+VLOOKUP(B23,[1]LISTE!$A$1:$D$431,4,FALSE)</f>
        <v>ABBASSI LOTFI</v>
      </c>
      <c r="D23" s="14" t="s">
        <v>284</v>
      </c>
      <c r="E23" s="15">
        <v>45876</v>
      </c>
      <c r="F23" s="14" t="s">
        <v>18</v>
      </c>
      <c r="G23" s="16">
        <v>70</v>
      </c>
    </row>
    <row r="24" spans="1:7" x14ac:dyDescent="0.25">
      <c r="A24" s="13" t="s">
        <v>2163</v>
      </c>
      <c r="B24" s="13">
        <v>832</v>
      </c>
      <c r="C24" s="14" t="str">
        <f>+VLOOKUP(B24,[1]LISTE!$A$1:$D$431,4,FALSE)</f>
        <v>ABBASSI LOTFI</v>
      </c>
      <c r="D24" s="15" t="s">
        <v>284</v>
      </c>
      <c r="E24" s="15">
        <v>45876</v>
      </c>
      <c r="F24" s="14" t="s">
        <v>20</v>
      </c>
      <c r="G24" s="16">
        <v>10.044</v>
      </c>
    </row>
    <row r="25" spans="1:7" x14ac:dyDescent="0.25">
      <c r="A25" s="13" t="s">
        <v>2216</v>
      </c>
      <c r="B25" s="13">
        <v>908</v>
      </c>
      <c r="C25" s="14" t="str">
        <f>+VLOOKUP(B25,[1]LISTE!$A$1:$D$431,4,FALSE)</f>
        <v>YOUSSEF HEDI</v>
      </c>
      <c r="D25" s="14" t="s">
        <v>22</v>
      </c>
      <c r="E25" s="15">
        <v>45880</v>
      </c>
      <c r="F25" s="14" t="s">
        <v>23</v>
      </c>
      <c r="G25" s="16">
        <v>45</v>
      </c>
    </row>
    <row r="26" spans="1:7" x14ac:dyDescent="0.25">
      <c r="A26" s="13" t="s">
        <v>2216</v>
      </c>
      <c r="B26" s="13">
        <v>908</v>
      </c>
      <c r="C26" s="14" t="str">
        <f>+VLOOKUP(B26,[1]LISTE!$A$1:$D$431,4,FALSE)</f>
        <v>YOUSSEF HEDI</v>
      </c>
      <c r="D26" s="14" t="s">
        <v>22</v>
      </c>
      <c r="E26" s="15">
        <v>45880</v>
      </c>
      <c r="F26" s="14" t="s">
        <v>20</v>
      </c>
      <c r="G26" s="16">
        <v>11.06</v>
      </c>
    </row>
    <row r="27" spans="1:7" x14ac:dyDescent="0.25">
      <c r="A27" s="13" t="s">
        <v>2216</v>
      </c>
      <c r="B27" s="13">
        <v>908</v>
      </c>
      <c r="C27" s="14" t="str">
        <f>+VLOOKUP(B27,[1]LISTE!$A$1:$D$431,4,FALSE)</f>
        <v>YOUSSEF HEDI</v>
      </c>
      <c r="D27" s="14" t="s">
        <v>22</v>
      </c>
      <c r="E27" s="15">
        <v>45885</v>
      </c>
      <c r="F27" s="14" t="s">
        <v>24</v>
      </c>
      <c r="G27" s="16">
        <v>60</v>
      </c>
    </row>
    <row r="28" spans="1:7" x14ac:dyDescent="0.25">
      <c r="A28" s="13" t="s">
        <v>2235</v>
      </c>
      <c r="B28" s="13">
        <v>923</v>
      </c>
      <c r="C28" s="14" t="str">
        <f>+VLOOKUP(B28,[1]LISTE!$A$1:$D$431,4,FALSE)</f>
        <v>BEN AZIZA SLAH</v>
      </c>
      <c r="D28" s="14" t="s">
        <v>1201</v>
      </c>
      <c r="E28" s="15">
        <v>45863</v>
      </c>
      <c r="F28" s="14" t="s">
        <v>23</v>
      </c>
      <c r="G28" s="16">
        <v>35</v>
      </c>
    </row>
    <row r="29" spans="1:7" x14ac:dyDescent="0.25">
      <c r="A29" s="13" t="s">
        <v>2235</v>
      </c>
      <c r="B29" s="13">
        <v>923</v>
      </c>
      <c r="C29" s="14" t="str">
        <f>+VLOOKUP(B29,[1]LISTE!$A$1:$D$431,4,FALSE)</f>
        <v>BEN AZIZA SLAH</v>
      </c>
      <c r="D29" s="14" t="s">
        <v>1201</v>
      </c>
      <c r="E29" s="15">
        <v>45863</v>
      </c>
      <c r="F29" s="14" t="s">
        <v>20</v>
      </c>
      <c r="G29" s="16">
        <v>92.278999999999996</v>
      </c>
    </row>
    <row r="30" spans="1:7" x14ac:dyDescent="0.25">
      <c r="A30" s="13" t="s">
        <v>2185</v>
      </c>
      <c r="B30" s="13">
        <v>978</v>
      </c>
      <c r="C30" s="14" t="str">
        <f>+VLOOKUP(B30,[1]LISTE!$A$1:$D$431,4,FALSE)</f>
        <v>GRAIET ADEL</v>
      </c>
      <c r="D30" s="14" t="s">
        <v>22</v>
      </c>
      <c r="E30" s="15">
        <v>45883</v>
      </c>
      <c r="F30" s="14" t="s">
        <v>23</v>
      </c>
      <c r="G30" s="16">
        <v>50</v>
      </c>
    </row>
    <row r="31" spans="1:7" x14ac:dyDescent="0.25">
      <c r="A31" s="13" t="s">
        <v>2185</v>
      </c>
      <c r="B31" s="13">
        <v>978</v>
      </c>
      <c r="C31" s="14" t="str">
        <f>+VLOOKUP(B31,[1]LISTE!$A$1:$D$431,4,FALSE)</f>
        <v>GRAIET ADEL</v>
      </c>
      <c r="D31" s="14" t="s">
        <v>22</v>
      </c>
      <c r="E31" s="15">
        <v>45884</v>
      </c>
      <c r="F31" s="14" t="s">
        <v>20</v>
      </c>
      <c r="G31" s="16">
        <v>30.125</v>
      </c>
    </row>
    <row r="32" spans="1:7" x14ac:dyDescent="0.25">
      <c r="A32" s="13" t="s">
        <v>2185</v>
      </c>
      <c r="B32" s="13">
        <v>978</v>
      </c>
      <c r="C32" s="14" t="str">
        <f>+VLOOKUP(B32,[1]LISTE!$A$1:$D$431,4,FALSE)</f>
        <v>GRAIET ADEL</v>
      </c>
      <c r="D32" s="14" t="s">
        <v>22</v>
      </c>
      <c r="E32" s="15">
        <v>45884</v>
      </c>
      <c r="F32" s="14" t="s">
        <v>24</v>
      </c>
      <c r="G32" s="16">
        <v>90</v>
      </c>
    </row>
    <row r="33" spans="1:7" x14ac:dyDescent="0.25">
      <c r="A33" s="13" t="s">
        <v>2204</v>
      </c>
      <c r="B33" s="13">
        <v>990</v>
      </c>
      <c r="C33" s="14" t="str">
        <f>+VLOOKUP(B33,[1]LISTE!$A$1:$D$431,4,FALSE)</f>
        <v>GARDALLOU SAMIR</v>
      </c>
      <c r="D33" s="15" t="s">
        <v>22</v>
      </c>
      <c r="E33" s="15">
        <v>45885</v>
      </c>
      <c r="F33" s="14" t="s">
        <v>23</v>
      </c>
      <c r="G33" s="16">
        <v>40</v>
      </c>
    </row>
    <row r="34" spans="1:7" x14ac:dyDescent="0.25">
      <c r="A34" s="13" t="s">
        <v>2204</v>
      </c>
      <c r="B34" s="13">
        <v>990</v>
      </c>
      <c r="C34" s="14" t="str">
        <f>+VLOOKUP(B34,[1]LISTE!$A$1:$D$431,4,FALSE)</f>
        <v>GARDALLOU SAMIR</v>
      </c>
      <c r="D34" s="15" t="s">
        <v>22</v>
      </c>
      <c r="E34" s="15">
        <v>45885</v>
      </c>
      <c r="F34" s="14" t="s">
        <v>20</v>
      </c>
      <c r="G34" s="16">
        <v>108.455</v>
      </c>
    </row>
    <row r="35" spans="1:7" x14ac:dyDescent="0.25">
      <c r="A35" s="13" t="s">
        <v>2199</v>
      </c>
      <c r="B35" s="13">
        <v>1524</v>
      </c>
      <c r="C35" s="14" t="str">
        <f>+VLOOKUP(B35,[1]LISTE!$A$1:$D$431,4,FALSE)</f>
        <v>BABAY ROUIS LOTFI</v>
      </c>
      <c r="D35" s="15" t="s">
        <v>22</v>
      </c>
      <c r="E35" s="15">
        <v>45884</v>
      </c>
      <c r="F35" s="14" t="s">
        <v>23</v>
      </c>
      <c r="G35" s="16">
        <v>45</v>
      </c>
    </row>
    <row r="36" spans="1:7" x14ac:dyDescent="0.25">
      <c r="A36" s="13" t="s">
        <v>2199</v>
      </c>
      <c r="B36" s="13">
        <v>1524</v>
      </c>
      <c r="C36" s="14" t="str">
        <f>+VLOOKUP(B36,[1]LISTE!$A$1:$D$431,4,FALSE)</f>
        <v>BABAY ROUIS LOTFI</v>
      </c>
      <c r="D36" s="15" t="s">
        <v>22</v>
      </c>
      <c r="E36" s="15">
        <v>45884</v>
      </c>
      <c r="F36" s="14" t="s">
        <v>20</v>
      </c>
      <c r="G36" s="16">
        <v>60.579000000000001</v>
      </c>
    </row>
    <row r="37" spans="1:7" x14ac:dyDescent="0.25">
      <c r="A37" s="13" t="s">
        <v>2151</v>
      </c>
      <c r="B37" s="13">
        <v>1535</v>
      </c>
      <c r="C37" s="14" t="str">
        <f>+VLOOKUP(B37,[1]LISTE!$A$1:$D$431,4,FALSE)</f>
        <v>ROUIS LOTFI</v>
      </c>
      <c r="D37" s="15" t="s">
        <v>22</v>
      </c>
      <c r="E37" s="15">
        <v>45881</v>
      </c>
      <c r="F37" s="14" t="s">
        <v>20</v>
      </c>
      <c r="G37" s="16">
        <v>59.853999999999999</v>
      </c>
    </row>
    <row r="38" spans="1:7" x14ac:dyDescent="0.25">
      <c r="A38" s="13" t="s">
        <v>2151</v>
      </c>
      <c r="B38" s="13">
        <v>1535</v>
      </c>
      <c r="C38" s="14" t="str">
        <f>+VLOOKUP(B38,[1]LISTE!$A$1:$D$431,4,FALSE)</f>
        <v>ROUIS LOTFI</v>
      </c>
      <c r="D38" s="15" t="s">
        <v>22</v>
      </c>
      <c r="E38" s="15">
        <v>45881</v>
      </c>
      <c r="F38" s="14" t="s">
        <v>20</v>
      </c>
      <c r="G38" s="16">
        <v>29.34</v>
      </c>
    </row>
    <row r="39" spans="1:7" x14ac:dyDescent="0.25">
      <c r="A39" s="13" t="s">
        <v>2167</v>
      </c>
      <c r="B39" s="13">
        <v>1535</v>
      </c>
      <c r="C39" s="14" t="str">
        <f>+VLOOKUP(B39,[1]LISTE!$A$1:$D$431,4,FALSE)</f>
        <v>ROUIS LOTFI</v>
      </c>
      <c r="D39" s="14" t="s">
        <v>2168</v>
      </c>
      <c r="E39" s="15">
        <v>45890</v>
      </c>
      <c r="F39" s="14" t="s">
        <v>20</v>
      </c>
      <c r="G39" s="16">
        <v>79.165000000000006</v>
      </c>
    </row>
    <row r="40" spans="1:7" x14ac:dyDescent="0.25">
      <c r="A40" s="13" t="s">
        <v>2239</v>
      </c>
      <c r="B40" s="13">
        <v>1572</v>
      </c>
      <c r="C40" s="14" t="str">
        <f>+VLOOKUP(B40,[1]LISTE!$A$1:$D$431,4,FALSE)</f>
        <v>MIMOUNA MEHDI</v>
      </c>
      <c r="D40" s="14" t="s">
        <v>311</v>
      </c>
      <c r="E40" s="15">
        <v>45876</v>
      </c>
      <c r="F40" s="14" t="s">
        <v>24</v>
      </c>
      <c r="G40" s="16">
        <v>1050</v>
      </c>
    </row>
    <row r="41" spans="1:7" x14ac:dyDescent="0.25">
      <c r="A41" s="13" t="s">
        <v>2240</v>
      </c>
      <c r="B41" s="13">
        <v>1572</v>
      </c>
      <c r="C41" s="14" t="str">
        <f>+VLOOKUP(B41,[1]LISTE!$A$1:$D$431,4,FALSE)</f>
        <v>MIMOUNA MEHDI</v>
      </c>
      <c r="D41" s="15" t="s">
        <v>311</v>
      </c>
      <c r="E41" s="15">
        <v>45874</v>
      </c>
      <c r="F41" s="14" t="s">
        <v>23</v>
      </c>
      <c r="G41" s="16">
        <v>60</v>
      </c>
    </row>
    <row r="42" spans="1:7" x14ac:dyDescent="0.25">
      <c r="A42" s="13" t="s">
        <v>2240</v>
      </c>
      <c r="B42" s="13">
        <v>1572</v>
      </c>
      <c r="C42" s="14" t="str">
        <f>+VLOOKUP(B42,[1]LISTE!$A$1:$D$431,4,FALSE)</f>
        <v>MIMOUNA MEHDI</v>
      </c>
      <c r="D42" s="14" t="s">
        <v>311</v>
      </c>
      <c r="E42" s="15">
        <v>45874</v>
      </c>
      <c r="F42" s="14" t="s">
        <v>21</v>
      </c>
      <c r="G42" s="16">
        <v>120</v>
      </c>
    </row>
    <row r="43" spans="1:7" x14ac:dyDescent="0.25">
      <c r="A43" s="13" t="s">
        <v>2176</v>
      </c>
      <c r="B43" s="13">
        <v>1576</v>
      </c>
      <c r="C43" s="14" t="s">
        <v>1667</v>
      </c>
      <c r="D43" s="15" t="s">
        <v>22</v>
      </c>
      <c r="E43" s="15">
        <v>45887</v>
      </c>
      <c r="F43" s="14" t="s">
        <v>21</v>
      </c>
      <c r="G43" s="16">
        <v>150</v>
      </c>
    </row>
    <row r="44" spans="1:7" x14ac:dyDescent="0.25">
      <c r="A44" s="13" t="s">
        <v>2226</v>
      </c>
      <c r="B44" s="13">
        <v>1597</v>
      </c>
      <c r="C44" s="14" t="str">
        <f>+VLOOKUP(B44,[1]LISTE!$A$1:$D$431,4,FALSE)</f>
        <v>AMARA KARIM</v>
      </c>
      <c r="D44" s="14" t="s">
        <v>1634</v>
      </c>
      <c r="E44" s="15">
        <v>45889</v>
      </c>
      <c r="F44" s="14" t="s">
        <v>20</v>
      </c>
      <c r="G44" s="16">
        <v>9.5670000000000002</v>
      </c>
    </row>
    <row r="45" spans="1:7" x14ac:dyDescent="0.25">
      <c r="A45" s="13" t="s">
        <v>2227</v>
      </c>
      <c r="B45" s="13">
        <v>1597</v>
      </c>
      <c r="C45" s="14" t="str">
        <f>+VLOOKUP(B45,[1]LISTE!$A$1:$D$431,4,FALSE)</f>
        <v>AMARA KARIM</v>
      </c>
      <c r="D45" s="14" t="s">
        <v>1634</v>
      </c>
      <c r="E45" s="15">
        <v>45854</v>
      </c>
      <c r="F45" s="14" t="s">
        <v>18</v>
      </c>
      <c r="G45" s="16">
        <v>70</v>
      </c>
    </row>
    <row r="46" spans="1:7" x14ac:dyDescent="0.25">
      <c r="A46" s="13" t="s">
        <v>2227</v>
      </c>
      <c r="B46" s="13">
        <v>1597</v>
      </c>
      <c r="C46" s="14" t="str">
        <f>+VLOOKUP(B46,[1]LISTE!$A$1:$D$431,4,FALSE)</f>
        <v>AMARA KARIM</v>
      </c>
      <c r="D46" s="14" t="s">
        <v>1634</v>
      </c>
      <c r="E46" s="15">
        <v>45878</v>
      </c>
      <c r="F46" s="14" t="s">
        <v>20</v>
      </c>
      <c r="G46" s="16">
        <v>108.75</v>
      </c>
    </row>
    <row r="47" spans="1:7" x14ac:dyDescent="0.25">
      <c r="A47" s="13" t="s">
        <v>2180</v>
      </c>
      <c r="B47" s="13">
        <v>1600</v>
      </c>
      <c r="C47" s="14" t="str">
        <f>+VLOOKUP(B47,[1]LISTE!$A$1:$D$431,4,FALSE)</f>
        <v>MAOUA MOHAMED</v>
      </c>
      <c r="D47" s="14" t="s">
        <v>2181</v>
      </c>
      <c r="E47" s="15">
        <v>45878</v>
      </c>
      <c r="F47" s="14" t="s">
        <v>18</v>
      </c>
      <c r="G47" s="16">
        <v>70</v>
      </c>
    </row>
    <row r="48" spans="1:7" x14ac:dyDescent="0.25">
      <c r="A48" s="13" t="s">
        <v>2180</v>
      </c>
      <c r="B48" s="13">
        <v>1600</v>
      </c>
      <c r="C48" s="14" t="str">
        <f>+VLOOKUP(B48,[1]LISTE!$A$1:$D$431,4,FALSE)</f>
        <v>MAOUA MOHAMED</v>
      </c>
      <c r="D48" s="14" t="s">
        <v>2181</v>
      </c>
      <c r="E48" s="15">
        <v>45878</v>
      </c>
      <c r="F48" s="14" t="s">
        <v>20</v>
      </c>
      <c r="G48" s="16">
        <v>36</v>
      </c>
    </row>
    <row r="49" spans="1:7" x14ac:dyDescent="0.25">
      <c r="A49" s="13" t="s">
        <v>2205</v>
      </c>
      <c r="B49" s="13">
        <v>1601</v>
      </c>
      <c r="C49" s="14" t="str">
        <f>+VLOOKUP(B49,[1]LISTE!$A$1:$D$431,4,FALSE)</f>
        <v>BOUKADIDA JAMEL</v>
      </c>
      <c r="D49" s="14" t="s">
        <v>22</v>
      </c>
      <c r="E49" s="15">
        <v>45871</v>
      </c>
      <c r="F49" s="14" t="s">
        <v>18</v>
      </c>
      <c r="G49" s="16">
        <v>100</v>
      </c>
    </row>
    <row r="50" spans="1:7" x14ac:dyDescent="0.25">
      <c r="A50" s="13" t="s">
        <v>2205</v>
      </c>
      <c r="B50" s="13">
        <v>1601</v>
      </c>
      <c r="C50" s="14" t="str">
        <f>+VLOOKUP(B50,[1]LISTE!$A$1:$D$431,4,FALSE)</f>
        <v>BOUKADIDA JAMEL</v>
      </c>
      <c r="D50" s="14" t="s">
        <v>22</v>
      </c>
      <c r="E50" s="15">
        <v>45871</v>
      </c>
      <c r="F50" s="14" t="s">
        <v>20</v>
      </c>
      <c r="G50" s="16">
        <v>5.47</v>
      </c>
    </row>
    <row r="51" spans="1:7" x14ac:dyDescent="0.25">
      <c r="A51" s="13" t="s">
        <v>2212</v>
      </c>
      <c r="B51" s="13">
        <v>1602</v>
      </c>
      <c r="C51" s="14" t="str">
        <f>+VLOOKUP(B51,[1]LISTE!$A$1:$D$431,4,FALSE)</f>
        <v>MAMIA RAMZI</v>
      </c>
      <c r="D51" s="15" t="s">
        <v>128</v>
      </c>
      <c r="E51" s="15">
        <v>45863</v>
      </c>
      <c r="F51" s="14" t="s">
        <v>18</v>
      </c>
      <c r="G51" s="16">
        <v>70</v>
      </c>
    </row>
    <row r="52" spans="1:7" x14ac:dyDescent="0.25">
      <c r="A52" s="13" t="s">
        <v>2212</v>
      </c>
      <c r="B52" s="13">
        <v>1602</v>
      </c>
      <c r="C52" s="14" t="str">
        <f>+VLOOKUP(B52,[1]LISTE!$A$1:$D$431,4,FALSE)</f>
        <v>MAMIA RAMZI</v>
      </c>
      <c r="D52" s="15" t="s">
        <v>128</v>
      </c>
      <c r="E52" s="15">
        <v>45870</v>
      </c>
      <c r="F52" s="14" t="s">
        <v>69</v>
      </c>
      <c r="G52" s="16">
        <v>260</v>
      </c>
    </row>
    <row r="53" spans="1:7" x14ac:dyDescent="0.25">
      <c r="A53" s="13" t="s">
        <v>2156</v>
      </c>
      <c r="B53" s="13">
        <v>1639</v>
      </c>
      <c r="C53" s="14" t="str">
        <f>+VLOOKUP(B53,[1]LISTE!$A$1:$D$431,4,FALSE)</f>
        <v>ZBIDI FAKHER</v>
      </c>
      <c r="D53" s="14" t="s">
        <v>2157</v>
      </c>
      <c r="E53" s="15">
        <v>45835</v>
      </c>
      <c r="F53" s="14" t="s">
        <v>21</v>
      </c>
      <c r="G53" s="16">
        <v>60</v>
      </c>
    </row>
    <row r="54" spans="1:7" x14ac:dyDescent="0.25">
      <c r="A54" s="13" t="s">
        <v>2158</v>
      </c>
      <c r="B54" s="13">
        <v>1639</v>
      </c>
      <c r="C54" s="14" t="str">
        <f>+VLOOKUP(B54,[1]LISTE!$A$1:$D$431,4,FALSE)</f>
        <v>ZBIDI FAKHER</v>
      </c>
      <c r="D54" s="14" t="s">
        <v>1498</v>
      </c>
      <c r="E54" s="15">
        <v>45877</v>
      </c>
      <c r="F54" s="14" t="s">
        <v>21</v>
      </c>
      <c r="G54" s="16">
        <v>120</v>
      </c>
    </row>
    <row r="55" spans="1:7" x14ac:dyDescent="0.25">
      <c r="A55" s="13" t="s">
        <v>2220</v>
      </c>
      <c r="B55" s="13">
        <v>1650</v>
      </c>
      <c r="C55" s="14" t="str">
        <f>+VLOOKUP(B55,[1]LISTE!$A$1:$D$431,4,FALSE)</f>
        <v>OUAJA RAOUF</v>
      </c>
      <c r="D55" s="14" t="s">
        <v>22</v>
      </c>
      <c r="E55" s="15">
        <v>45885</v>
      </c>
      <c r="F55" s="14" t="s">
        <v>23</v>
      </c>
      <c r="G55" s="16">
        <v>45</v>
      </c>
    </row>
    <row r="56" spans="1:7" x14ac:dyDescent="0.25">
      <c r="A56" s="13" t="s">
        <v>2220</v>
      </c>
      <c r="B56" s="13">
        <v>1650</v>
      </c>
      <c r="C56" s="14" t="str">
        <f>+VLOOKUP(B56,[1]LISTE!$A$1:$D$431,4,FALSE)</f>
        <v>OUAJA RAOUF</v>
      </c>
      <c r="D56" s="15" t="s">
        <v>22</v>
      </c>
      <c r="E56" s="15">
        <v>45885</v>
      </c>
      <c r="F56" s="14" t="s">
        <v>20</v>
      </c>
      <c r="G56" s="16">
        <v>95.483000000000004</v>
      </c>
    </row>
    <row r="57" spans="1:7" x14ac:dyDescent="0.25">
      <c r="A57" s="13" t="s">
        <v>2221</v>
      </c>
      <c r="B57" s="13">
        <v>1650</v>
      </c>
      <c r="C57" s="14" t="str">
        <f>+VLOOKUP(B57,[1]LISTE!$A$1:$D$431,4,FALSE)</f>
        <v>OUAJA RAOUF</v>
      </c>
      <c r="D57" s="15" t="s">
        <v>296</v>
      </c>
      <c r="E57" s="15">
        <v>45891</v>
      </c>
      <c r="F57" s="14" t="s">
        <v>23</v>
      </c>
      <c r="G57" s="16">
        <v>45</v>
      </c>
    </row>
    <row r="58" spans="1:7" x14ac:dyDescent="0.25">
      <c r="A58" s="13" t="s">
        <v>2221</v>
      </c>
      <c r="B58" s="13">
        <v>1650</v>
      </c>
      <c r="C58" s="14" t="str">
        <f>+VLOOKUP(B58,[1]LISTE!$A$1:$D$431,4,FALSE)</f>
        <v>OUAJA RAOUF</v>
      </c>
      <c r="D58" s="14" t="s">
        <v>296</v>
      </c>
      <c r="E58" s="15">
        <v>45891</v>
      </c>
      <c r="F58" s="14" t="s">
        <v>20</v>
      </c>
      <c r="G58" s="16">
        <v>66.968000000000004</v>
      </c>
    </row>
    <row r="59" spans="1:7" x14ac:dyDescent="0.25">
      <c r="A59" s="13" t="s">
        <v>2222</v>
      </c>
      <c r="B59" s="13">
        <v>1650</v>
      </c>
      <c r="C59" s="14" t="str">
        <f>+VLOOKUP(B59,[1]LISTE!$A$1:$D$431,4,FALSE)</f>
        <v>OUAJA RAOUF</v>
      </c>
      <c r="D59" s="14" t="s">
        <v>268</v>
      </c>
      <c r="E59" s="15">
        <v>45889</v>
      </c>
      <c r="F59" s="14" t="s">
        <v>23</v>
      </c>
      <c r="G59" s="16">
        <v>45</v>
      </c>
    </row>
    <row r="60" spans="1:7" x14ac:dyDescent="0.25">
      <c r="A60" s="13" t="s">
        <v>2222</v>
      </c>
      <c r="B60" s="13">
        <v>1650</v>
      </c>
      <c r="C60" s="14" t="str">
        <f>+VLOOKUP(B60,[1]LISTE!$A$1:$D$431,4,FALSE)</f>
        <v>OUAJA RAOUF</v>
      </c>
      <c r="D60" s="14" t="s">
        <v>268</v>
      </c>
      <c r="E60" s="15">
        <v>45889</v>
      </c>
      <c r="F60" s="14" t="s">
        <v>20</v>
      </c>
      <c r="G60" s="16">
        <v>54.003</v>
      </c>
    </row>
    <row r="61" spans="1:7" x14ac:dyDescent="0.25">
      <c r="A61" s="13" t="s">
        <v>2188</v>
      </c>
      <c r="B61" s="13">
        <v>1664</v>
      </c>
      <c r="C61" s="14" t="str">
        <f>+VLOOKUP(B61,[1]LISTE!$A$1:$D$431,4,FALSE)</f>
        <v>BEN SAOUD SOFIANE</v>
      </c>
      <c r="D61" s="14" t="s">
        <v>37</v>
      </c>
      <c r="E61" s="15">
        <v>45866</v>
      </c>
      <c r="F61" s="14" t="s">
        <v>18</v>
      </c>
      <c r="G61" s="16">
        <v>70</v>
      </c>
    </row>
    <row r="62" spans="1:7" x14ac:dyDescent="0.25">
      <c r="A62" s="13" t="s">
        <v>2188</v>
      </c>
      <c r="B62" s="13">
        <v>1664</v>
      </c>
      <c r="C62" s="14" t="str">
        <f>+VLOOKUP(B62,[1]LISTE!$A$1:$D$431,4,FALSE)</f>
        <v>BEN SAOUD SOFIANE</v>
      </c>
      <c r="D62" s="15" t="s">
        <v>37</v>
      </c>
      <c r="E62" s="15">
        <v>45866</v>
      </c>
      <c r="F62" s="14" t="s">
        <v>20</v>
      </c>
      <c r="G62" s="16">
        <v>42.994</v>
      </c>
    </row>
    <row r="63" spans="1:7" x14ac:dyDescent="0.25">
      <c r="A63" s="13" t="s">
        <v>2183</v>
      </c>
      <c r="B63" s="13">
        <v>1671</v>
      </c>
      <c r="C63" s="14" t="str">
        <f>+VLOOKUP(B63,[1]LISTE!$A$1:$D$431,4,FALSE)</f>
        <v>EL BACH ADEL</v>
      </c>
      <c r="D63" s="14" t="s">
        <v>687</v>
      </c>
      <c r="E63" s="15">
        <v>45861</v>
      </c>
      <c r="F63" s="14" t="s">
        <v>65</v>
      </c>
      <c r="G63" s="16">
        <v>300</v>
      </c>
    </row>
    <row r="64" spans="1:7" x14ac:dyDescent="0.25">
      <c r="A64" s="13" t="s">
        <v>2219</v>
      </c>
      <c r="B64" s="13">
        <v>1680</v>
      </c>
      <c r="C64" s="14" t="str">
        <f>+VLOOKUP(B64,[1]LISTE!$A$1:$D$431,4,FALSE)</f>
        <v>SASSI WALID</v>
      </c>
      <c r="D64" s="15" t="s">
        <v>22</v>
      </c>
      <c r="E64" s="15">
        <v>45887</v>
      </c>
      <c r="F64" s="14" t="s">
        <v>23</v>
      </c>
      <c r="G64" s="16">
        <v>45</v>
      </c>
    </row>
    <row r="65" spans="1:7" x14ac:dyDescent="0.25">
      <c r="A65" s="13" t="s">
        <v>2219</v>
      </c>
      <c r="B65" s="13">
        <v>1680</v>
      </c>
      <c r="C65" s="14" t="str">
        <f>+VLOOKUP(B65,[1]LISTE!$A$1:$D$431,4,FALSE)</f>
        <v>SASSI WALID</v>
      </c>
      <c r="D65" s="14" t="s">
        <v>22</v>
      </c>
      <c r="E65" s="15">
        <v>45887</v>
      </c>
      <c r="F65" s="14" t="s">
        <v>20</v>
      </c>
      <c r="G65" s="16">
        <v>23.5</v>
      </c>
    </row>
    <row r="66" spans="1:7" x14ac:dyDescent="0.25">
      <c r="A66" s="13" t="s">
        <v>2219</v>
      </c>
      <c r="B66" s="13">
        <v>1680</v>
      </c>
      <c r="C66" s="14" t="str">
        <f>+VLOOKUP(B66,[1]LISTE!$A$1:$D$431,4,FALSE)</f>
        <v>SASSI WALID</v>
      </c>
      <c r="D66" s="15" t="s">
        <v>22</v>
      </c>
      <c r="E66" s="15">
        <v>45889</v>
      </c>
      <c r="F66" s="14" t="s">
        <v>69</v>
      </c>
      <c r="G66" s="16">
        <v>250</v>
      </c>
    </row>
    <row r="67" spans="1:7" x14ac:dyDescent="0.25">
      <c r="A67" s="13" t="s">
        <v>2184</v>
      </c>
      <c r="B67" s="13">
        <v>1685</v>
      </c>
      <c r="C67" s="14" t="str">
        <f>+VLOOKUP(B67,[1]LISTE!$A$1:$D$431,4,FALSE)</f>
        <v>MAHJOUB MOHAMED KARIM</v>
      </c>
      <c r="D67" s="14" t="s">
        <v>421</v>
      </c>
      <c r="E67" s="15">
        <v>45878</v>
      </c>
      <c r="F67" s="14" t="s">
        <v>23</v>
      </c>
      <c r="G67" s="16">
        <v>50</v>
      </c>
    </row>
    <row r="68" spans="1:7" x14ac:dyDescent="0.25">
      <c r="A68" s="13" t="s">
        <v>2184</v>
      </c>
      <c r="B68" s="13">
        <v>1685</v>
      </c>
      <c r="C68" s="14" t="str">
        <f>+VLOOKUP(B68,[1]LISTE!$A$1:$D$431,4,FALSE)</f>
        <v>MAHJOUB MOHAMED KARIM</v>
      </c>
      <c r="D68" s="14" t="s">
        <v>421</v>
      </c>
      <c r="E68" s="15">
        <v>45878</v>
      </c>
      <c r="F68" s="14" t="s">
        <v>20</v>
      </c>
      <c r="G68" s="16">
        <v>5.38</v>
      </c>
    </row>
    <row r="69" spans="1:7" x14ac:dyDescent="0.25">
      <c r="A69" s="13" t="s">
        <v>2184</v>
      </c>
      <c r="B69" s="13">
        <v>1685</v>
      </c>
      <c r="C69" s="14" t="str">
        <f>+VLOOKUP(B69,[1]LISTE!$A$1:$D$431,4,FALSE)</f>
        <v>MAHJOUB MOHAMED KARIM</v>
      </c>
      <c r="D69" s="14" t="s">
        <v>421</v>
      </c>
      <c r="E69" s="15">
        <v>45885</v>
      </c>
      <c r="F69" s="14" t="s">
        <v>24</v>
      </c>
      <c r="G69" s="16">
        <v>260</v>
      </c>
    </row>
    <row r="70" spans="1:7" x14ac:dyDescent="0.25">
      <c r="A70" s="13" t="s">
        <v>2189</v>
      </c>
      <c r="B70" s="13">
        <v>1689</v>
      </c>
      <c r="C70" s="14" t="str">
        <f>+VLOOKUP(B70,[1]LISTE!$A$1:$D$431,4,FALSE)</f>
        <v>GRAA SKANDER</v>
      </c>
      <c r="D70" s="14" t="s">
        <v>622</v>
      </c>
      <c r="E70" s="15">
        <v>45874</v>
      </c>
      <c r="F70" s="14" t="s">
        <v>23</v>
      </c>
      <c r="G70" s="16">
        <v>45</v>
      </c>
    </row>
    <row r="71" spans="1:7" x14ac:dyDescent="0.25">
      <c r="A71" s="13" t="s">
        <v>2189</v>
      </c>
      <c r="B71" s="13">
        <v>1689</v>
      </c>
      <c r="C71" s="14" t="str">
        <f>+VLOOKUP(B71,[1]LISTE!$A$1:$D$431,4,FALSE)</f>
        <v>GRAA SKANDER</v>
      </c>
      <c r="D71" s="15" t="s">
        <v>622</v>
      </c>
      <c r="E71" s="15">
        <v>45874</v>
      </c>
      <c r="F71" s="14" t="s">
        <v>20</v>
      </c>
      <c r="G71" s="16">
        <v>23.93</v>
      </c>
    </row>
    <row r="72" spans="1:7" x14ac:dyDescent="0.25">
      <c r="A72" s="13" t="s">
        <v>2166</v>
      </c>
      <c r="B72" s="13">
        <v>1702</v>
      </c>
      <c r="C72" s="14" t="str">
        <f>+VLOOKUP(B72,[1]LISTE!$A$1:$D$431,4,FALSE)</f>
        <v>JAIET WALID</v>
      </c>
      <c r="D72" s="15" t="s">
        <v>47</v>
      </c>
      <c r="E72" s="15">
        <v>45869</v>
      </c>
      <c r="F72" s="14" t="s">
        <v>18</v>
      </c>
      <c r="G72" s="16">
        <v>70</v>
      </c>
    </row>
    <row r="73" spans="1:7" x14ac:dyDescent="0.25">
      <c r="A73" s="13" t="s">
        <v>2166</v>
      </c>
      <c r="B73" s="13">
        <v>1702</v>
      </c>
      <c r="C73" s="14" t="str">
        <f>+VLOOKUP(B73,[1]LISTE!$A$1:$D$431,4,FALSE)</f>
        <v>JAIET WALID</v>
      </c>
      <c r="D73" s="15" t="s">
        <v>47</v>
      </c>
      <c r="E73" s="15">
        <v>45870</v>
      </c>
      <c r="F73" s="14" t="s">
        <v>20</v>
      </c>
      <c r="G73" s="16">
        <v>7.81</v>
      </c>
    </row>
    <row r="74" spans="1:7" x14ac:dyDescent="0.25">
      <c r="A74" s="13" t="s">
        <v>2166</v>
      </c>
      <c r="B74" s="13">
        <v>1702</v>
      </c>
      <c r="C74" s="14" t="str">
        <f>+VLOOKUP(B74,[1]LISTE!$A$1:$D$431,4,FALSE)</f>
        <v>JAIET WALID</v>
      </c>
      <c r="D74" s="14" t="s">
        <v>47</v>
      </c>
      <c r="E74" s="15">
        <v>45874</v>
      </c>
      <c r="F74" s="14" t="s">
        <v>69</v>
      </c>
      <c r="G74" s="16">
        <v>980</v>
      </c>
    </row>
    <row r="75" spans="1:7" x14ac:dyDescent="0.25">
      <c r="A75" s="13" t="s">
        <v>2202</v>
      </c>
      <c r="B75" s="13">
        <v>1702</v>
      </c>
      <c r="C75" s="14" t="str">
        <f>+VLOOKUP(B75,[1]LISTE!$A$1:$D$431,4,FALSE)</f>
        <v>JAIET WALID</v>
      </c>
      <c r="D75" s="14" t="s">
        <v>47</v>
      </c>
      <c r="E75" s="15">
        <v>45884</v>
      </c>
      <c r="F75" s="14" t="s">
        <v>23</v>
      </c>
      <c r="G75" s="16">
        <v>50</v>
      </c>
    </row>
    <row r="76" spans="1:7" x14ac:dyDescent="0.25">
      <c r="A76" s="13" t="s">
        <v>2202</v>
      </c>
      <c r="B76" s="13">
        <v>1702</v>
      </c>
      <c r="C76" s="14" t="str">
        <f>+VLOOKUP(B76,[1]LISTE!$A$1:$D$431,4,FALSE)</f>
        <v>JAIET WALID</v>
      </c>
      <c r="D76" s="14" t="s">
        <v>47</v>
      </c>
      <c r="E76" s="15">
        <v>45884</v>
      </c>
      <c r="F76" s="14" t="s">
        <v>20</v>
      </c>
      <c r="G76" s="16">
        <v>44.097999999999999</v>
      </c>
    </row>
    <row r="77" spans="1:7" x14ac:dyDescent="0.25">
      <c r="A77" s="13" t="s">
        <v>2202</v>
      </c>
      <c r="B77" s="13">
        <v>1702</v>
      </c>
      <c r="C77" s="14" t="str">
        <f>+VLOOKUP(B77,[1]LISTE!$A$1:$D$431,4,FALSE)</f>
        <v>JAIET WALID</v>
      </c>
      <c r="D77" s="14" t="s">
        <v>47</v>
      </c>
      <c r="E77" s="15">
        <v>45884</v>
      </c>
      <c r="F77" s="14" t="s">
        <v>21</v>
      </c>
      <c r="G77" s="16">
        <v>90</v>
      </c>
    </row>
    <row r="78" spans="1:7" x14ac:dyDescent="0.25">
      <c r="A78" s="13" t="s">
        <v>2193</v>
      </c>
      <c r="B78" s="13">
        <v>1713</v>
      </c>
      <c r="C78" s="14" t="s">
        <v>2194</v>
      </c>
      <c r="D78" s="14" t="s">
        <v>22</v>
      </c>
      <c r="E78" s="15">
        <v>45880</v>
      </c>
      <c r="F78" s="14" t="s">
        <v>18</v>
      </c>
      <c r="G78" s="16">
        <v>60</v>
      </c>
    </row>
    <row r="79" spans="1:7" x14ac:dyDescent="0.25">
      <c r="A79" s="13" t="s">
        <v>2193</v>
      </c>
      <c r="B79" s="13">
        <v>1713</v>
      </c>
      <c r="C79" s="14" t="s">
        <v>2194</v>
      </c>
      <c r="D79" s="14" t="s">
        <v>22</v>
      </c>
      <c r="E79" s="15">
        <v>45885</v>
      </c>
      <c r="F79" s="14" t="s">
        <v>20</v>
      </c>
      <c r="G79" s="16">
        <v>26.6</v>
      </c>
    </row>
    <row r="80" spans="1:7" x14ac:dyDescent="0.25">
      <c r="A80" s="13" t="s">
        <v>2215</v>
      </c>
      <c r="B80" s="13">
        <v>1728</v>
      </c>
      <c r="C80" s="14" t="str">
        <f>+VLOOKUP(B80,[1]LISTE!$A$1:$D$431,4,FALSE)</f>
        <v>SLAMA DHAFER</v>
      </c>
      <c r="D80" s="14" t="s">
        <v>163</v>
      </c>
      <c r="E80" s="15">
        <v>45877</v>
      </c>
      <c r="F80" s="14" t="s">
        <v>23</v>
      </c>
      <c r="G80" s="16">
        <v>50</v>
      </c>
    </row>
    <row r="81" spans="1:7" x14ac:dyDescent="0.25">
      <c r="A81" s="13" t="s">
        <v>2215</v>
      </c>
      <c r="B81" s="13">
        <v>1728</v>
      </c>
      <c r="C81" s="14" t="str">
        <f>+VLOOKUP(B81,[1]LISTE!$A$1:$D$431,4,FALSE)</f>
        <v>SLAMA DHAFER</v>
      </c>
      <c r="D81" s="15" t="s">
        <v>163</v>
      </c>
      <c r="E81" s="15">
        <v>45877</v>
      </c>
      <c r="F81" s="14" t="s">
        <v>24</v>
      </c>
      <c r="G81" s="16">
        <v>1050</v>
      </c>
    </row>
    <row r="82" spans="1:7" x14ac:dyDescent="0.25">
      <c r="A82" s="13" t="s">
        <v>2155</v>
      </c>
      <c r="B82" s="13">
        <v>1735</v>
      </c>
      <c r="C82" s="14" t="str">
        <f>+VLOOKUP(B82,[1]LISTE!$A$1:$D$431,4,FALSE)</f>
        <v>SAKKA ROUIS MED HAFEDH</v>
      </c>
      <c r="D82" s="15" t="s">
        <v>163</v>
      </c>
      <c r="E82" s="15">
        <v>45881</v>
      </c>
      <c r="F82" s="14" t="s">
        <v>23</v>
      </c>
      <c r="G82" s="16">
        <v>40</v>
      </c>
    </row>
    <row r="83" spans="1:7" x14ac:dyDescent="0.25">
      <c r="A83" s="13" t="s">
        <v>2155</v>
      </c>
      <c r="B83" s="13">
        <v>1735</v>
      </c>
      <c r="C83" s="14" t="str">
        <f>+VLOOKUP(B83,[1]LISTE!$A$1:$D$431,4,FALSE)</f>
        <v>SAKKA ROUIS MED HAFEDH</v>
      </c>
      <c r="D83" s="15" t="s">
        <v>163</v>
      </c>
      <c r="E83" s="15">
        <v>45881</v>
      </c>
      <c r="F83" s="14" t="s">
        <v>20</v>
      </c>
      <c r="G83" s="16">
        <v>18.472999999999999</v>
      </c>
    </row>
    <row r="84" spans="1:7" x14ac:dyDescent="0.25">
      <c r="A84" s="13" t="s">
        <v>2231</v>
      </c>
      <c r="B84" s="13">
        <v>1767</v>
      </c>
      <c r="C84" s="14" t="str">
        <f>+VLOOKUP(B84,[1]LISTE!$A$1:$D$431,4,FALSE)</f>
        <v>B.H.SGHAIER NAOUFEL</v>
      </c>
      <c r="D84" s="15" t="s">
        <v>2232</v>
      </c>
      <c r="E84" s="15">
        <v>45894</v>
      </c>
      <c r="F84" s="14" t="s">
        <v>18</v>
      </c>
      <c r="G84" s="16">
        <v>70</v>
      </c>
    </row>
    <row r="85" spans="1:7" x14ac:dyDescent="0.25">
      <c r="A85" s="13" t="s">
        <v>2231</v>
      </c>
      <c r="B85" s="13">
        <v>1767</v>
      </c>
      <c r="C85" s="14" t="str">
        <f>+VLOOKUP(B85,[1]LISTE!$A$1:$D$431,4,FALSE)</f>
        <v>B.H.SGHAIER NAOUFEL</v>
      </c>
      <c r="D85" s="15" t="s">
        <v>2232</v>
      </c>
      <c r="E85" s="15">
        <v>45892</v>
      </c>
      <c r="F85" s="14" t="s">
        <v>19</v>
      </c>
      <c r="G85" s="16">
        <v>113.249</v>
      </c>
    </row>
    <row r="86" spans="1:7" x14ac:dyDescent="0.25">
      <c r="A86" s="13" t="s">
        <v>2206</v>
      </c>
      <c r="B86" s="13">
        <v>1768</v>
      </c>
      <c r="C86" s="14" t="str">
        <f>+VLOOKUP(B86,[1]LISTE!$A$1:$D$431,4,FALSE)</f>
        <v>LADJIMI MAHER</v>
      </c>
      <c r="D86" s="14" t="s">
        <v>22</v>
      </c>
      <c r="E86" s="15">
        <v>45882</v>
      </c>
      <c r="F86" s="14" t="s">
        <v>18</v>
      </c>
      <c r="G86" s="16">
        <v>70</v>
      </c>
    </row>
    <row r="87" spans="1:7" x14ac:dyDescent="0.25">
      <c r="A87" s="13" t="s">
        <v>2206</v>
      </c>
      <c r="B87" s="13">
        <v>1768</v>
      </c>
      <c r="C87" s="14" t="str">
        <f>+VLOOKUP(B87,[1]LISTE!$A$1:$D$431,4,FALSE)</f>
        <v>LADJIMI MAHER</v>
      </c>
      <c r="D87" s="14" t="s">
        <v>22</v>
      </c>
      <c r="E87" s="15">
        <v>45882</v>
      </c>
      <c r="F87" s="14" t="s">
        <v>20</v>
      </c>
      <c r="G87" s="16">
        <v>179.124</v>
      </c>
    </row>
    <row r="88" spans="1:7" x14ac:dyDescent="0.25">
      <c r="A88" s="13" t="s">
        <v>2207</v>
      </c>
      <c r="B88" s="13">
        <v>1768</v>
      </c>
      <c r="C88" s="14" t="str">
        <f>+VLOOKUP(B88,[1]LISTE!$A$1:$D$431,4,FALSE)</f>
        <v>LADJIMI MAHER</v>
      </c>
      <c r="D88" s="14" t="s">
        <v>206</v>
      </c>
      <c r="E88" s="15">
        <v>45876</v>
      </c>
      <c r="F88" s="14" t="s">
        <v>18</v>
      </c>
      <c r="G88" s="16">
        <v>80</v>
      </c>
    </row>
    <row r="89" spans="1:7" x14ac:dyDescent="0.25">
      <c r="A89" s="13" t="s">
        <v>2207</v>
      </c>
      <c r="B89" s="13">
        <v>1768</v>
      </c>
      <c r="C89" s="14" t="str">
        <f>+VLOOKUP(B89,[1]LISTE!$A$1:$D$431,4,FALSE)</f>
        <v>LADJIMI MAHER</v>
      </c>
      <c r="D89" s="14" t="s">
        <v>206</v>
      </c>
      <c r="E89" s="15">
        <v>45876</v>
      </c>
      <c r="F89" s="14" t="s">
        <v>20</v>
      </c>
      <c r="G89" s="16">
        <v>59.35</v>
      </c>
    </row>
    <row r="90" spans="1:7" x14ac:dyDescent="0.25">
      <c r="A90" s="13" t="s">
        <v>2233</v>
      </c>
      <c r="B90" s="13">
        <v>1787</v>
      </c>
      <c r="C90" s="14" t="str">
        <f>+VLOOKUP(B90,[1]LISTE!$A$1:$D$431,4,FALSE)</f>
        <v>BEN ALITA NEBIL</v>
      </c>
      <c r="D90" s="15" t="s">
        <v>576</v>
      </c>
      <c r="E90" s="15">
        <v>45887</v>
      </c>
      <c r="F90" s="14" t="s">
        <v>23</v>
      </c>
      <c r="G90" s="16">
        <v>20</v>
      </c>
    </row>
    <row r="91" spans="1:7" x14ac:dyDescent="0.25">
      <c r="A91" s="13" t="s">
        <v>2233</v>
      </c>
      <c r="B91" s="13">
        <v>1787</v>
      </c>
      <c r="C91" s="14" t="str">
        <f>+VLOOKUP(B91,[1]LISTE!$A$1:$D$431,4,FALSE)</f>
        <v>BEN ALITA NEBIL</v>
      </c>
      <c r="D91" s="15" t="s">
        <v>576</v>
      </c>
      <c r="E91" s="15">
        <v>45887</v>
      </c>
      <c r="F91" s="14" t="s">
        <v>20</v>
      </c>
      <c r="G91" s="16">
        <v>42.325000000000003</v>
      </c>
    </row>
    <row r="92" spans="1:7" x14ac:dyDescent="0.25">
      <c r="A92" s="13" t="s">
        <v>2217</v>
      </c>
      <c r="B92" s="13">
        <v>1795</v>
      </c>
      <c r="C92" s="14" t="str">
        <f>+VLOOKUP(B92,[1]LISTE!$A$1:$D$431,4,FALSE)</f>
        <v>SOUA MOHAMED</v>
      </c>
      <c r="D92" s="14" t="s">
        <v>245</v>
      </c>
      <c r="E92" s="15">
        <v>45885</v>
      </c>
      <c r="F92" s="14" t="s">
        <v>18</v>
      </c>
      <c r="G92" s="16">
        <v>70</v>
      </c>
    </row>
    <row r="93" spans="1:7" x14ac:dyDescent="0.25">
      <c r="A93" s="13" t="s">
        <v>2217</v>
      </c>
      <c r="B93" s="13">
        <v>1795</v>
      </c>
      <c r="C93" s="14" t="str">
        <f>+VLOOKUP(B93,[1]LISTE!$A$1:$D$431,4,FALSE)</f>
        <v>SOUA MOHAMED</v>
      </c>
      <c r="D93" s="15" t="s">
        <v>245</v>
      </c>
      <c r="E93" s="15">
        <v>45885</v>
      </c>
      <c r="F93" s="14" t="s">
        <v>19</v>
      </c>
      <c r="G93" s="16">
        <v>28.69</v>
      </c>
    </row>
    <row r="94" spans="1:7" x14ac:dyDescent="0.25">
      <c r="A94" s="13" t="s">
        <v>2217</v>
      </c>
      <c r="B94" s="13">
        <v>1795</v>
      </c>
      <c r="C94" s="14" t="str">
        <f>+VLOOKUP(B94,[1]LISTE!$A$1:$D$431,4,FALSE)</f>
        <v>SOUA MOHAMED</v>
      </c>
      <c r="D94" s="14" t="s">
        <v>245</v>
      </c>
      <c r="E94" s="15">
        <v>45885</v>
      </c>
      <c r="F94" s="14" t="s">
        <v>20</v>
      </c>
      <c r="G94" s="16">
        <v>4.2450000000000001</v>
      </c>
    </row>
    <row r="95" spans="1:7" x14ac:dyDescent="0.25">
      <c r="A95" s="13" t="s">
        <v>2173</v>
      </c>
      <c r="B95" s="13">
        <v>1801</v>
      </c>
      <c r="C95" s="14" t="str">
        <f>+VLOOKUP(B95,[1]LISTE!$A$1:$D$431,4,FALSE)</f>
        <v>MAHJOUB MOHAMED</v>
      </c>
      <c r="D95" s="14" t="s">
        <v>306</v>
      </c>
      <c r="E95" s="15">
        <v>45869</v>
      </c>
      <c r="F95" s="14" t="s">
        <v>20</v>
      </c>
      <c r="G95" s="16">
        <v>39.26</v>
      </c>
    </row>
    <row r="96" spans="1:7" x14ac:dyDescent="0.25">
      <c r="A96" s="13" t="s">
        <v>2152</v>
      </c>
      <c r="B96" s="13">
        <v>1809</v>
      </c>
      <c r="C96" s="14" t="str">
        <f>+VLOOKUP(B96,[1]LISTE!$A$1:$D$431,4,FALSE)</f>
        <v>JUILI AFIF</v>
      </c>
      <c r="D96" s="14" t="s">
        <v>22</v>
      </c>
      <c r="E96" s="15">
        <v>45870</v>
      </c>
      <c r="F96" s="14" t="s">
        <v>23</v>
      </c>
      <c r="G96" s="16">
        <v>20</v>
      </c>
    </row>
    <row r="97" spans="1:7" x14ac:dyDescent="0.25">
      <c r="A97" s="13" t="s">
        <v>2152</v>
      </c>
      <c r="B97" s="13">
        <v>1809</v>
      </c>
      <c r="C97" s="14" t="str">
        <f>+VLOOKUP(B97,[1]LISTE!$A$1:$D$431,4,FALSE)</f>
        <v>JUILI AFIF</v>
      </c>
      <c r="D97" s="14" t="s">
        <v>22</v>
      </c>
      <c r="E97" s="15">
        <v>45870</v>
      </c>
      <c r="F97" s="14" t="s">
        <v>20</v>
      </c>
      <c r="G97" s="16">
        <v>68.808999999999997</v>
      </c>
    </row>
    <row r="98" spans="1:7" x14ac:dyDescent="0.25">
      <c r="A98" s="13" t="s">
        <v>2159</v>
      </c>
      <c r="B98" s="13">
        <v>1820</v>
      </c>
      <c r="C98" s="14" t="str">
        <f>+VLOOKUP(B98,[1]LISTE!$A$1:$D$431,4,FALSE)</f>
        <v>MKHININI MOHAMED RIMEH</v>
      </c>
      <c r="D98" s="14" t="s">
        <v>2100</v>
      </c>
      <c r="E98" s="15">
        <v>45870</v>
      </c>
      <c r="F98" s="14" t="s">
        <v>18</v>
      </c>
      <c r="G98" s="16">
        <v>70</v>
      </c>
    </row>
    <row r="99" spans="1:7" x14ac:dyDescent="0.25">
      <c r="A99" s="13" t="s">
        <v>2159</v>
      </c>
      <c r="B99" s="13">
        <v>1820</v>
      </c>
      <c r="C99" s="14" t="str">
        <f>+VLOOKUP(B99,[1]LISTE!$A$1:$D$431,4,FALSE)</f>
        <v>MKHININI MOHAMED RIMEH</v>
      </c>
      <c r="D99" s="14" t="s">
        <v>2100</v>
      </c>
      <c r="E99" s="15">
        <v>45870</v>
      </c>
      <c r="F99" s="14" t="s">
        <v>20</v>
      </c>
      <c r="G99" s="16">
        <v>15.705</v>
      </c>
    </row>
    <row r="100" spans="1:7" x14ac:dyDescent="0.25">
      <c r="A100" s="13" t="s">
        <v>2169</v>
      </c>
      <c r="B100" s="13">
        <v>1820</v>
      </c>
      <c r="C100" s="14" t="str">
        <f>+VLOOKUP(B100,[1]LISTE!$A$1:$D$431,4,FALSE)</f>
        <v>MKHININI MOHAMED RIMEH</v>
      </c>
      <c r="D100" s="14" t="s">
        <v>2170</v>
      </c>
      <c r="E100" s="15">
        <v>45870</v>
      </c>
      <c r="F100" s="14" t="s">
        <v>18</v>
      </c>
      <c r="G100" s="16">
        <v>70</v>
      </c>
    </row>
    <row r="101" spans="1:7" x14ac:dyDescent="0.25">
      <c r="A101" s="13" t="s">
        <v>2169</v>
      </c>
      <c r="B101" s="13">
        <v>1820</v>
      </c>
      <c r="C101" s="14" t="str">
        <f>+VLOOKUP(B101,[1]LISTE!$A$1:$D$431,4,FALSE)</f>
        <v>MKHININI MOHAMED RIMEH</v>
      </c>
      <c r="D101" s="14" t="s">
        <v>2170</v>
      </c>
      <c r="E101" s="15">
        <v>45870</v>
      </c>
      <c r="F101" s="14" t="s">
        <v>20</v>
      </c>
      <c r="G101" s="16">
        <v>595.00599999999997</v>
      </c>
    </row>
    <row r="102" spans="1:7" x14ac:dyDescent="0.25">
      <c r="A102" s="13" t="s">
        <v>2237</v>
      </c>
      <c r="B102" s="13">
        <v>1849</v>
      </c>
      <c r="C102" s="14" t="str">
        <f>+VLOOKUP(B102,[1]LISTE!$A$1:$D$431,4,FALSE)</f>
        <v>GANHOUBA MEHDI</v>
      </c>
      <c r="D102" s="14" t="s">
        <v>298</v>
      </c>
      <c r="E102" s="15">
        <v>45868</v>
      </c>
      <c r="F102" s="14" t="s">
        <v>18</v>
      </c>
      <c r="G102" s="16">
        <v>60</v>
      </c>
    </row>
    <row r="103" spans="1:7" x14ac:dyDescent="0.25">
      <c r="A103" s="13" t="s">
        <v>2237</v>
      </c>
      <c r="B103" s="13">
        <v>1849</v>
      </c>
      <c r="C103" s="14" t="str">
        <f>+VLOOKUP(B103,[1]LISTE!$A$1:$D$431,4,FALSE)</f>
        <v>GANHOUBA MEHDI</v>
      </c>
      <c r="D103" s="14" t="s">
        <v>298</v>
      </c>
      <c r="E103" s="15">
        <v>45868</v>
      </c>
      <c r="F103" s="14" t="s">
        <v>20</v>
      </c>
      <c r="G103" s="16">
        <v>35.655999999999999</v>
      </c>
    </row>
    <row r="104" spans="1:7" x14ac:dyDescent="0.25">
      <c r="A104" s="13" t="s">
        <v>2238</v>
      </c>
      <c r="B104" s="13">
        <v>1876</v>
      </c>
      <c r="C104" s="14" t="str">
        <f>+VLOOKUP(B104,[1]LISTE!$A$1:$D$431,4,FALSE)</f>
        <v>LADHERI SAMI</v>
      </c>
      <c r="D104" s="14" t="s">
        <v>212</v>
      </c>
      <c r="E104" s="15">
        <v>45887</v>
      </c>
      <c r="F104" s="14" t="s">
        <v>23</v>
      </c>
      <c r="G104" s="16">
        <v>60</v>
      </c>
    </row>
    <row r="105" spans="1:7" x14ac:dyDescent="0.25">
      <c r="A105" s="13" t="s">
        <v>2238</v>
      </c>
      <c r="B105" s="13">
        <v>1876</v>
      </c>
      <c r="C105" s="14" t="str">
        <f>+VLOOKUP(B105,[1]LISTE!$A$1:$D$431,4,FALSE)</f>
        <v>LADHERI SAMI</v>
      </c>
      <c r="D105" s="14" t="s">
        <v>212</v>
      </c>
      <c r="E105" s="15">
        <v>45889</v>
      </c>
      <c r="F105" s="14" t="s">
        <v>21</v>
      </c>
      <c r="G105" s="16">
        <v>80</v>
      </c>
    </row>
    <row r="106" spans="1:7" x14ac:dyDescent="0.25">
      <c r="A106" s="13" t="s">
        <v>2162</v>
      </c>
      <c r="B106" s="13">
        <v>1897</v>
      </c>
      <c r="C106" s="14" t="str">
        <f>+VLOOKUP(B106,[1]LISTE!$A$1:$D$431,4,FALSE)</f>
        <v>BOHLI AMOR</v>
      </c>
      <c r="D106" s="14" t="s">
        <v>529</v>
      </c>
      <c r="E106" s="15">
        <v>45881</v>
      </c>
      <c r="F106" s="14" t="s">
        <v>20</v>
      </c>
      <c r="G106" s="16">
        <v>97.62</v>
      </c>
    </row>
    <row r="107" spans="1:7" x14ac:dyDescent="0.25">
      <c r="A107" s="13" t="s">
        <v>2171</v>
      </c>
      <c r="B107" s="13">
        <v>1905</v>
      </c>
      <c r="C107" s="14" t="str">
        <f>+VLOOKUP(B107,[1]LISTE!$A$1:$D$431,4,FALSE)</f>
        <v>LADHARI MOHAMED</v>
      </c>
      <c r="D107" s="15" t="s">
        <v>923</v>
      </c>
      <c r="E107" s="15">
        <v>45881</v>
      </c>
      <c r="F107" s="14" t="s">
        <v>18</v>
      </c>
      <c r="G107" s="16">
        <v>70</v>
      </c>
    </row>
    <row r="108" spans="1:7" x14ac:dyDescent="0.25">
      <c r="A108" s="13" t="s">
        <v>2171</v>
      </c>
      <c r="B108" s="13">
        <v>1905</v>
      </c>
      <c r="C108" s="14" t="str">
        <f>+VLOOKUP(B108,[1]LISTE!$A$1:$D$431,4,FALSE)</f>
        <v>LADHARI MOHAMED</v>
      </c>
      <c r="D108" s="15" t="s">
        <v>923</v>
      </c>
      <c r="E108" s="15">
        <v>45883</v>
      </c>
      <c r="F108" s="14" t="s">
        <v>69</v>
      </c>
      <c r="G108" s="16">
        <v>61</v>
      </c>
    </row>
    <row r="109" spans="1:7" x14ac:dyDescent="0.25">
      <c r="A109" s="13" t="s">
        <v>2223</v>
      </c>
      <c r="B109" s="13">
        <v>1922</v>
      </c>
      <c r="C109" s="14" t="str">
        <f>+VLOOKUP(B109,[1]LISTE!$A$1:$D$431,4,FALSE)</f>
        <v>MAHJOUB FAKER</v>
      </c>
      <c r="D109" s="15" t="s">
        <v>22</v>
      </c>
      <c r="E109" s="15">
        <v>45875</v>
      </c>
      <c r="F109" s="14" t="s">
        <v>23</v>
      </c>
      <c r="G109" s="16">
        <v>40</v>
      </c>
    </row>
    <row r="110" spans="1:7" x14ac:dyDescent="0.25">
      <c r="A110" s="13" t="s">
        <v>2223</v>
      </c>
      <c r="B110" s="13">
        <v>1922</v>
      </c>
      <c r="C110" s="14" t="str">
        <f>+VLOOKUP(B110,[1]LISTE!$A$1:$D$431,4,FALSE)</f>
        <v>MAHJOUB FAKER</v>
      </c>
      <c r="D110" s="15" t="s">
        <v>22</v>
      </c>
      <c r="E110" s="15">
        <v>45875</v>
      </c>
      <c r="F110" s="14" t="s">
        <v>20</v>
      </c>
      <c r="G110" s="16">
        <v>104.485</v>
      </c>
    </row>
    <row r="111" spans="1:7" x14ac:dyDescent="0.25">
      <c r="A111" s="13" t="s">
        <v>2228</v>
      </c>
      <c r="B111" s="13">
        <v>1923</v>
      </c>
      <c r="C111" s="14" t="str">
        <f>+VLOOKUP(B111,[1]LISTE!$A$1:$D$431,4,FALSE)</f>
        <v>BOUAZZA WALID</v>
      </c>
      <c r="D111" s="15" t="s">
        <v>421</v>
      </c>
      <c r="E111" s="15">
        <v>45860</v>
      </c>
      <c r="F111" s="14" t="s">
        <v>23</v>
      </c>
      <c r="G111" s="16">
        <v>50</v>
      </c>
    </row>
    <row r="112" spans="1:7" x14ac:dyDescent="0.25">
      <c r="A112" s="13" t="s">
        <v>2228</v>
      </c>
      <c r="B112" s="13">
        <v>1923</v>
      </c>
      <c r="C112" s="14" t="str">
        <f>+VLOOKUP(B112,[1]LISTE!$A$1:$D$431,4,FALSE)</f>
        <v>BOUAZZA WALID</v>
      </c>
      <c r="D112" s="14" t="s">
        <v>421</v>
      </c>
      <c r="E112" s="15">
        <v>45860</v>
      </c>
      <c r="F112" s="14" t="s">
        <v>20</v>
      </c>
      <c r="G112" s="16">
        <v>3.71</v>
      </c>
    </row>
    <row r="113" spans="1:7" x14ac:dyDescent="0.25">
      <c r="A113" s="13" t="s">
        <v>2228</v>
      </c>
      <c r="B113" s="13">
        <v>1923</v>
      </c>
      <c r="C113" s="14" t="str">
        <f>+VLOOKUP(B113,[1]LISTE!$A$1:$D$431,4,FALSE)</f>
        <v>BOUAZZA WALID</v>
      </c>
      <c r="D113" s="14" t="s">
        <v>421</v>
      </c>
      <c r="E113" s="15">
        <v>45868</v>
      </c>
      <c r="F113" s="14" t="s">
        <v>24</v>
      </c>
      <c r="G113" s="16">
        <v>560</v>
      </c>
    </row>
    <row r="114" spans="1:7" x14ac:dyDescent="0.25">
      <c r="A114" s="13" t="s">
        <v>2229</v>
      </c>
      <c r="B114" s="13">
        <v>1923</v>
      </c>
      <c r="C114" s="14" t="str">
        <f>+VLOOKUP(B114,[1]LISTE!$A$1:$D$431,4,FALSE)</f>
        <v>BOUAZZA WALID</v>
      </c>
      <c r="D114" s="15" t="s">
        <v>284</v>
      </c>
      <c r="E114" s="15">
        <v>45887</v>
      </c>
      <c r="F114" s="14" t="s">
        <v>23</v>
      </c>
      <c r="G114" s="16">
        <v>50</v>
      </c>
    </row>
    <row r="115" spans="1:7" x14ac:dyDescent="0.25">
      <c r="A115" s="13" t="s">
        <v>2229</v>
      </c>
      <c r="B115" s="13">
        <v>1923</v>
      </c>
      <c r="C115" s="14" t="str">
        <f>+VLOOKUP(B115,[1]LISTE!$A$1:$D$431,4,FALSE)</f>
        <v>BOUAZZA WALID</v>
      </c>
      <c r="D115" s="14" t="s">
        <v>284</v>
      </c>
      <c r="E115" s="15">
        <v>45887</v>
      </c>
      <c r="F115" s="14" t="s">
        <v>20</v>
      </c>
      <c r="G115" s="16">
        <v>2.2149999999999999</v>
      </c>
    </row>
    <row r="116" spans="1:7" x14ac:dyDescent="0.25">
      <c r="A116" s="13" t="s">
        <v>2230</v>
      </c>
      <c r="B116" s="13">
        <v>1923</v>
      </c>
      <c r="C116" s="14" t="str">
        <f>+VLOOKUP(B116,[1]LISTE!$A$1:$D$431,4,FALSE)</f>
        <v>BOUAZZA WALID</v>
      </c>
      <c r="D116" s="14" t="s">
        <v>284</v>
      </c>
      <c r="E116" s="15">
        <v>45883</v>
      </c>
      <c r="F116" s="14" t="s">
        <v>23</v>
      </c>
      <c r="G116" s="16">
        <v>25</v>
      </c>
    </row>
    <row r="117" spans="1:7" x14ac:dyDescent="0.25">
      <c r="A117" s="13" t="s">
        <v>2230</v>
      </c>
      <c r="B117" s="13">
        <v>1923</v>
      </c>
      <c r="C117" s="14" t="str">
        <f>+VLOOKUP(B117,[1]LISTE!$A$1:$D$431,4,FALSE)</f>
        <v>BOUAZZA WALID</v>
      </c>
      <c r="D117" s="14" t="s">
        <v>284</v>
      </c>
      <c r="E117" s="15">
        <v>45883</v>
      </c>
      <c r="F117" s="14" t="s">
        <v>20</v>
      </c>
      <c r="G117" s="16">
        <v>13.96</v>
      </c>
    </row>
    <row r="118" spans="1:7" x14ac:dyDescent="0.25">
      <c r="A118" s="13" t="s">
        <v>2234</v>
      </c>
      <c r="B118" s="13">
        <v>1927</v>
      </c>
      <c r="C118" s="14" t="str">
        <f>+VLOOKUP(B118,[1]LISTE!$A$1:$D$431,4,FALSE)</f>
        <v>BEN HAMMOUDA AYMEN</v>
      </c>
      <c r="D118" s="15" t="s">
        <v>481</v>
      </c>
      <c r="E118" s="15">
        <v>45894</v>
      </c>
      <c r="F118" s="14" t="s">
        <v>18</v>
      </c>
      <c r="G118" s="16">
        <v>70</v>
      </c>
    </row>
    <row r="119" spans="1:7" x14ac:dyDescent="0.25">
      <c r="A119" s="13" t="s">
        <v>2234</v>
      </c>
      <c r="B119" s="13">
        <v>1927</v>
      </c>
      <c r="C119" s="14" t="str">
        <f>+VLOOKUP(B119,[1]LISTE!$A$1:$D$431,4,FALSE)</f>
        <v>BEN HAMMOUDA AYMEN</v>
      </c>
      <c r="D119" s="15" t="s">
        <v>481</v>
      </c>
      <c r="E119" s="15">
        <v>45894</v>
      </c>
      <c r="F119" s="14" t="s">
        <v>20</v>
      </c>
      <c r="G119" s="16">
        <v>36.704999999999998</v>
      </c>
    </row>
    <row r="120" spans="1:7" x14ac:dyDescent="0.25">
      <c r="A120" s="13" t="s">
        <v>2177</v>
      </c>
      <c r="B120" s="13">
        <v>1938</v>
      </c>
      <c r="C120" s="14" t="str">
        <f>+VLOOKUP(B120,[1]LISTE!$A$1:$D$431,4,FALSE)</f>
        <v>NAFFATI SOFIENE</v>
      </c>
      <c r="D120" s="14" t="s">
        <v>2178</v>
      </c>
      <c r="E120" s="15">
        <v>45879</v>
      </c>
      <c r="F120" s="14" t="s">
        <v>23</v>
      </c>
      <c r="G120" s="16">
        <v>3</v>
      </c>
    </row>
    <row r="121" spans="1:7" x14ac:dyDescent="0.25">
      <c r="A121" s="13" t="s">
        <v>2177</v>
      </c>
      <c r="B121" s="13">
        <v>1938</v>
      </c>
      <c r="C121" s="14" t="str">
        <f>+VLOOKUP(B121,[1]LISTE!$A$1:$D$431,4,FALSE)</f>
        <v>NAFFATI SOFIENE</v>
      </c>
      <c r="D121" s="14" t="s">
        <v>2178</v>
      </c>
      <c r="E121" s="15">
        <v>45879</v>
      </c>
      <c r="F121" s="14" t="s">
        <v>19</v>
      </c>
      <c r="G121" s="16">
        <v>5</v>
      </c>
    </row>
    <row r="122" spans="1:7" x14ac:dyDescent="0.25">
      <c r="A122" s="13" t="s">
        <v>2177</v>
      </c>
      <c r="B122" s="13">
        <v>1938</v>
      </c>
      <c r="C122" s="14" t="str">
        <f>+VLOOKUP(B122,[1]LISTE!$A$1:$D$431,4,FALSE)</f>
        <v>NAFFATI SOFIENE</v>
      </c>
      <c r="D122" s="14" t="s">
        <v>2178</v>
      </c>
      <c r="E122" s="15">
        <v>45879</v>
      </c>
      <c r="F122" s="14" t="s">
        <v>20</v>
      </c>
      <c r="G122" s="16">
        <v>9.25</v>
      </c>
    </row>
    <row r="123" spans="1:7" x14ac:dyDescent="0.25">
      <c r="A123" s="13" t="s">
        <v>2177</v>
      </c>
      <c r="B123" s="13">
        <v>1938</v>
      </c>
      <c r="C123" s="14" t="str">
        <f>+VLOOKUP(B123,[1]LISTE!$A$1:$D$431,4,FALSE)</f>
        <v>NAFFATI SOFIENE</v>
      </c>
      <c r="D123" s="14" t="s">
        <v>2178</v>
      </c>
      <c r="E123" s="15">
        <v>45879</v>
      </c>
      <c r="F123" s="14" t="s">
        <v>21</v>
      </c>
      <c r="G123" s="16">
        <v>4.5</v>
      </c>
    </row>
    <row r="124" spans="1:7" x14ac:dyDescent="0.25">
      <c r="A124" s="13" t="s">
        <v>2179</v>
      </c>
      <c r="B124" s="13">
        <v>1938</v>
      </c>
      <c r="C124" s="14" t="str">
        <f>+VLOOKUP(B124,[1]LISTE!$A$1:$D$431,4,FALSE)</f>
        <v>NAFFATI SOFIENE</v>
      </c>
      <c r="D124" s="14" t="s">
        <v>2178</v>
      </c>
      <c r="E124" s="15">
        <v>45877</v>
      </c>
      <c r="F124" s="14" t="s">
        <v>23</v>
      </c>
      <c r="G124" s="16">
        <v>35</v>
      </c>
    </row>
    <row r="125" spans="1:7" x14ac:dyDescent="0.25">
      <c r="A125" s="13" t="s">
        <v>2179</v>
      </c>
      <c r="B125" s="13">
        <v>1938</v>
      </c>
      <c r="C125" s="14" t="str">
        <f>+VLOOKUP(B125,[1]LISTE!$A$1:$D$431,4,FALSE)</f>
        <v>NAFFATI SOFIENE</v>
      </c>
      <c r="D125" s="14" t="s">
        <v>2178</v>
      </c>
      <c r="E125" s="15">
        <v>45877</v>
      </c>
      <c r="F125" s="14" t="s">
        <v>20</v>
      </c>
      <c r="G125" s="16">
        <v>33.677999999999997</v>
      </c>
    </row>
    <row r="126" spans="1:7" x14ac:dyDescent="0.25">
      <c r="A126" s="13" t="s">
        <v>2186</v>
      </c>
      <c r="B126" s="13">
        <v>1969</v>
      </c>
      <c r="C126" s="14" t="str">
        <f>+VLOOKUP(B126,[1]LISTE!$A$1:$D$431,4,FALSE)</f>
        <v>BOUKADDIDA MEHREZ</v>
      </c>
      <c r="D126" s="15" t="s">
        <v>2107</v>
      </c>
      <c r="E126" s="15">
        <v>45888</v>
      </c>
      <c r="F126" s="14" t="s">
        <v>23</v>
      </c>
      <c r="G126" s="16">
        <v>50</v>
      </c>
    </row>
    <row r="127" spans="1:7" x14ac:dyDescent="0.25">
      <c r="A127" s="13" t="s">
        <v>2186</v>
      </c>
      <c r="B127" s="13">
        <v>1969</v>
      </c>
      <c r="C127" s="14" t="str">
        <f>+VLOOKUP(B127,[1]LISTE!$A$1:$D$431,4,FALSE)</f>
        <v>BOUKADDIDA MEHREZ</v>
      </c>
      <c r="D127" s="14" t="s">
        <v>2107</v>
      </c>
      <c r="E127" s="15">
        <v>45888</v>
      </c>
      <c r="F127" s="14" t="s">
        <v>20</v>
      </c>
      <c r="G127" s="16">
        <v>15.948</v>
      </c>
    </row>
    <row r="128" spans="1:7" x14ac:dyDescent="0.25">
      <c r="A128" s="13" t="s">
        <v>2160</v>
      </c>
      <c r="B128" s="13">
        <v>2004</v>
      </c>
      <c r="C128" s="14" t="str">
        <f>+VLOOKUP(B128,[1]LISTE!$A$1:$D$431,4,FALSE)</f>
        <v>LAAJILI LOTFI</v>
      </c>
      <c r="D128" s="14" t="s">
        <v>2161</v>
      </c>
      <c r="E128" s="15">
        <v>45881</v>
      </c>
      <c r="F128" s="14" t="s">
        <v>18</v>
      </c>
      <c r="G128" s="16">
        <v>70</v>
      </c>
    </row>
    <row r="129" spans="1:7" x14ac:dyDescent="0.25">
      <c r="A129" s="13" t="s">
        <v>2160</v>
      </c>
      <c r="B129" s="13">
        <v>2004</v>
      </c>
      <c r="C129" s="14" t="str">
        <f>+VLOOKUP(B129,[1]LISTE!$A$1:$D$431,4,FALSE)</f>
        <v>LAAJILI LOTFI</v>
      </c>
      <c r="D129" s="14" t="s">
        <v>2161</v>
      </c>
      <c r="E129" s="15">
        <v>45881</v>
      </c>
      <c r="F129" s="14" t="s">
        <v>20</v>
      </c>
      <c r="G129" s="16">
        <v>12.351000000000001</v>
      </c>
    </row>
    <row r="130" spans="1:7" x14ac:dyDescent="0.25">
      <c r="A130" s="13" t="s">
        <v>2198</v>
      </c>
      <c r="B130" s="13">
        <v>2065</v>
      </c>
      <c r="C130" s="14" t="str">
        <f>+VLOOKUP(B130,[1]LISTE!$A$1:$D$431,4,FALSE)</f>
        <v>CHIHAOUI ALAAEDDINE</v>
      </c>
      <c r="D130" s="14" t="s">
        <v>22</v>
      </c>
      <c r="E130" s="15">
        <v>45887</v>
      </c>
      <c r="F130" s="14" t="s">
        <v>23</v>
      </c>
      <c r="G130" s="16">
        <v>40</v>
      </c>
    </row>
    <row r="131" spans="1:7" x14ac:dyDescent="0.25">
      <c r="A131" s="13" t="s">
        <v>2198</v>
      </c>
      <c r="B131" s="13">
        <v>2065</v>
      </c>
      <c r="C131" s="14" t="str">
        <f>+VLOOKUP(B131,[1]LISTE!$A$1:$D$431,4,FALSE)</f>
        <v>CHIHAOUI ALAAEDDINE</v>
      </c>
      <c r="D131" s="14" t="s">
        <v>22</v>
      </c>
      <c r="E131" s="15">
        <v>45887</v>
      </c>
      <c r="F131" s="14" t="s">
        <v>20</v>
      </c>
      <c r="G131" s="16">
        <v>61.970999999999997</v>
      </c>
    </row>
    <row r="132" spans="1:7" x14ac:dyDescent="0.25">
      <c r="A132" s="13" t="s">
        <v>2200</v>
      </c>
      <c r="B132" s="13">
        <v>2084</v>
      </c>
      <c r="C132" s="14" t="str">
        <f>+VLOOKUP(B132,[1]LISTE!$A$1:$D$431,4,FALSE)</f>
        <v>HELALI Emna</v>
      </c>
      <c r="D132" s="15" t="s">
        <v>22</v>
      </c>
      <c r="E132" s="15">
        <v>45887</v>
      </c>
      <c r="F132" s="14" t="s">
        <v>23</v>
      </c>
      <c r="G132" s="16">
        <v>50</v>
      </c>
    </row>
    <row r="133" spans="1:7" x14ac:dyDescent="0.25">
      <c r="A133" s="13" t="s">
        <v>2200</v>
      </c>
      <c r="B133" s="13">
        <v>2084</v>
      </c>
      <c r="C133" s="14" t="str">
        <f>+VLOOKUP(B133,[1]LISTE!$A$1:$D$431,4,FALSE)</f>
        <v>HELALI Emna</v>
      </c>
      <c r="D133" s="15" t="s">
        <v>22</v>
      </c>
      <c r="E133" s="15">
        <v>45887</v>
      </c>
      <c r="F133" s="14" t="s">
        <v>20</v>
      </c>
      <c r="G133" s="16">
        <v>35.185000000000002</v>
      </c>
    </row>
    <row r="134" spans="1:7" x14ac:dyDescent="0.25">
      <c r="A134" s="13" t="s">
        <v>2213</v>
      </c>
      <c r="B134" s="13">
        <v>2128</v>
      </c>
      <c r="C134" s="14" t="str">
        <f>+VLOOKUP(B134,[1]LISTE!$A$1:$D$431,4,FALSE)</f>
        <v>ILYES DHIFALLAH</v>
      </c>
      <c r="D134" s="14" t="s">
        <v>744</v>
      </c>
      <c r="E134" s="15">
        <v>45878</v>
      </c>
      <c r="F134" s="14" t="s">
        <v>18</v>
      </c>
      <c r="G134" s="16">
        <v>70</v>
      </c>
    </row>
    <row r="135" spans="1:7" x14ac:dyDescent="0.25">
      <c r="A135" s="13" t="s">
        <v>2213</v>
      </c>
      <c r="B135" s="13">
        <v>2128</v>
      </c>
      <c r="C135" s="14" t="str">
        <f>+VLOOKUP(B135,[1]LISTE!$A$1:$D$431,4,FALSE)</f>
        <v>ILYES DHIFALLAH</v>
      </c>
      <c r="D135" s="15" t="s">
        <v>744</v>
      </c>
      <c r="E135" s="15">
        <v>45883</v>
      </c>
      <c r="F135" s="14" t="s">
        <v>18</v>
      </c>
      <c r="G135" s="16">
        <v>70</v>
      </c>
    </row>
    <row r="136" spans="1:7" x14ac:dyDescent="0.25">
      <c r="A136" s="13" t="s">
        <v>2213</v>
      </c>
      <c r="B136" s="13">
        <v>2128</v>
      </c>
      <c r="C136" s="14" t="str">
        <f>+VLOOKUP(B136,[1]LISTE!$A$1:$D$431,4,FALSE)</f>
        <v>ILYES DHIFALLAH</v>
      </c>
      <c r="D136" s="15" t="s">
        <v>744</v>
      </c>
      <c r="E136" s="15">
        <v>45879</v>
      </c>
      <c r="F136" s="14" t="s">
        <v>20</v>
      </c>
      <c r="G136" s="16">
        <v>1705.3040000000001</v>
      </c>
    </row>
    <row r="137" spans="1:7" x14ac:dyDescent="0.25">
      <c r="A137" s="13" t="s">
        <v>2213</v>
      </c>
      <c r="B137" s="13">
        <v>2128</v>
      </c>
      <c r="C137" s="14" t="str">
        <f>+VLOOKUP(B137,[1]LISTE!$A$1:$D$431,4,FALSE)</f>
        <v>ILYES DHIFALLAH</v>
      </c>
      <c r="D137" s="15" t="s">
        <v>744</v>
      </c>
      <c r="E137" s="15">
        <v>45883</v>
      </c>
      <c r="F137" s="14" t="s">
        <v>20</v>
      </c>
      <c r="G137" s="16">
        <v>113.95</v>
      </c>
    </row>
    <row r="138" spans="1:7" x14ac:dyDescent="0.25">
      <c r="A138" s="13" t="s">
        <v>2213</v>
      </c>
      <c r="B138" s="13">
        <v>2128</v>
      </c>
      <c r="C138" s="14" t="str">
        <f>+VLOOKUP(B138,[1]LISTE!$A$1:$D$431,4,FALSE)</f>
        <v>ILYES DHIFALLAH</v>
      </c>
      <c r="D138" s="15" t="s">
        <v>744</v>
      </c>
      <c r="E138" s="15">
        <v>45883</v>
      </c>
      <c r="F138" s="14" t="s">
        <v>20</v>
      </c>
      <c r="G138" s="16">
        <v>662.64400000000001</v>
      </c>
    </row>
    <row r="139" spans="1:7" x14ac:dyDescent="0.25">
      <c r="A139" s="13" t="s">
        <v>2213</v>
      </c>
      <c r="B139" s="13">
        <v>2128</v>
      </c>
      <c r="C139" s="14" t="str">
        <f>+VLOOKUP(B139,[1]LISTE!$A$1:$D$431,4,FALSE)</f>
        <v>ILYES DHIFALLAH</v>
      </c>
      <c r="D139" s="14" t="s">
        <v>744</v>
      </c>
      <c r="E139" s="15">
        <v>45885</v>
      </c>
      <c r="F139" s="14" t="s">
        <v>20</v>
      </c>
      <c r="G139" s="16">
        <v>22.638999999999999</v>
      </c>
    </row>
    <row r="140" spans="1:7" x14ac:dyDescent="0.25">
      <c r="A140" s="13" t="s">
        <v>2214</v>
      </c>
      <c r="B140" s="13">
        <v>2128</v>
      </c>
      <c r="C140" s="14" t="str">
        <f>+VLOOKUP(B140,[1]LISTE!$A$1:$D$431,4,FALSE)</f>
        <v>ILYES DHIFALLAH</v>
      </c>
      <c r="D140" s="15" t="s">
        <v>744</v>
      </c>
      <c r="E140" s="15">
        <v>45883</v>
      </c>
      <c r="F140" s="14" t="s">
        <v>19</v>
      </c>
      <c r="G140" s="16">
        <v>57.78</v>
      </c>
    </row>
    <row r="141" spans="1:7" x14ac:dyDescent="0.25">
      <c r="A141" s="13" t="s">
        <v>2192</v>
      </c>
      <c r="B141" s="13">
        <v>2149</v>
      </c>
      <c r="C141" s="14" t="str">
        <f>+VLOOKUP(B141,[1]LISTE!$A$1:$D$431,4,FALSE)</f>
        <v>BERRIRI HOUSSEM</v>
      </c>
      <c r="D141" s="14" t="s">
        <v>22</v>
      </c>
      <c r="E141" s="15">
        <v>45883</v>
      </c>
      <c r="F141" s="14" t="s">
        <v>23</v>
      </c>
      <c r="G141" s="16">
        <v>50</v>
      </c>
    </row>
    <row r="142" spans="1:7" x14ac:dyDescent="0.25">
      <c r="A142" s="13" t="s">
        <v>2192</v>
      </c>
      <c r="B142" s="13">
        <v>2149</v>
      </c>
      <c r="C142" s="14" t="str">
        <f>+VLOOKUP(B142,[1]LISTE!$A$1:$D$431,4,FALSE)</f>
        <v>BERRIRI HOUSSEM</v>
      </c>
      <c r="D142" s="14" t="s">
        <v>22</v>
      </c>
      <c r="E142" s="15">
        <v>45883</v>
      </c>
      <c r="F142" s="14" t="s">
        <v>20</v>
      </c>
      <c r="G142" s="16">
        <v>11.615</v>
      </c>
    </row>
    <row r="143" spans="1:7" x14ac:dyDescent="0.25">
      <c r="A143" s="13" t="s">
        <v>2182</v>
      </c>
      <c r="B143" s="13">
        <v>2170</v>
      </c>
      <c r="C143" s="14" t="str">
        <f>+VLOOKUP(B143,[1]LISTE!$A$1:$D$431,4,FALSE)</f>
        <v>BEN AHMED ANOUAR</v>
      </c>
      <c r="D143" s="15" t="s">
        <v>327</v>
      </c>
      <c r="E143" s="15">
        <v>45878</v>
      </c>
      <c r="F143" s="14" t="s">
        <v>18</v>
      </c>
      <c r="G143" s="16">
        <v>70</v>
      </c>
    </row>
    <row r="144" spans="1:7" x14ac:dyDescent="0.25">
      <c r="A144" s="13" t="s">
        <v>2182</v>
      </c>
      <c r="B144" s="13">
        <v>2170</v>
      </c>
      <c r="C144" s="14" t="str">
        <f>+VLOOKUP(B144,[1]LISTE!$A$1:$D$431,4,FALSE)</f>
        <v>BEN AHMED ANOUAR</v>
      </c>
      <c r="D144" s="14" t="s">
        <v>327</v>
      </c>
      <c r="E144" s="15">
        <v>45879</v>
      </c>
      <c r="F144" s="14" t="s">
        <v>20</v>
      </c>
      <c r="G144" s="16">
        <v>25.472999999999999</v>
      </c>
    </row>
    <row r="145" spans="1:7" x14ac:dyDescent="0.25">
      <c r="A145" s="13" t="s">
        <v>2203</v>
      </c>
      <c r="B145" s="13">
        <v>2184</v>
      </c>
      <c r="C145" s="14" t="s">
        <v>386</v>
      </c>
      <c r="D145" s="15" t="s">
        <v>387</v>
      </c>
      <c r="E145" s="15">
        <v>45866</v>
      </c>
      <c r="F145" s="14" t="s">
        <v>18</v>
      </c>
      <c r="G145" s="16">
        <v>80</v>
      </c>
    </row>
    <row r="146" spans="1:7" x14ac:dyDescent="0.25">
      <c r="A146" s="13" t="s">
        <v>2203</v>
      </c>
      <c r="B146" s="13">
        <v>2184</v>
      </c>
      <c r="C146" s="14" t="s">
        <v>386</v>
      </c>
      <c r="D146" s="14" t="s">
        <v>387</v>
      </c>
      <c r="E146" s="15">
        <v>45866</v>
      </c>
      <c r="F146" s="14" t="s">
        <v>20</v>
      </c>
      <c r="G146" s="16">
        <v>129.69200000000001</v>
      </c>
    </row>
    <row r="147" spans="1:7" x14ac:dyDescent="0.25">
      <c r="A147" s="13" t="s">
        <v>2203</v>
      </c>
      <c r="B147" s="13">
        <v>2184</v>
      </c>
      <c r="C147" s="14" t="s">
        <v>386</v>
      </c>
      <c r="D147" s="15" t="s">
        <v>387</v>
      </c>
      <c r="E147" s="15">
        <v>45854</v>
      </c>
      <c r="F147" s="14" t="s">
        <v>20</v>
      </c>
      <c r="G147" s="16">
        <v>27.651</v>
      </c>
    </row>
    <row r="148" spans="1:7" x14ac:dyDescent="0.25">
      <c r="A148" s="13" t="s">
        <v>2203</v>
      </c>
      <c r="B148" s="13">
        <v>2184</v>
      </c>
      <c r="C148" s="14" t="s">
        <v>386</v>
      </c>
      <c r="D148" s="14" t="s">
        <v>387</v>
      </c>
      <c r="E148" s="15">
        <v>45869</v>
      </c>
      <c r="F148" s="14" t="s">
        <v>19</v>
      </c>
      <c r="G148" s="16">
        <v>14.13</v>
      </c>
    </row>
    <row r="149" spans="1:7" x14ac:dyDescent="0.25">
      <c r="A149" s="13" t="s">
        <v>2201</v>
      </c>
      <c r="B149" s="13">
        <v>2213</v>
      </c>
      <c r="C149" s="14" t="s">
        <v>1523</v>
      </c>
      <c r="D149" s="15" t="s">
        <v>687</v>
      </c>
      <c r="E149" s="15">
        <v>45885</v>
      </c>
      <c r="F149" s="14" t="s">
        <v>18</v>
      </c>
      <c r="G149" s="16">
        <v>70</v>
      </c>
    </row>
    <row r="150" spans="1:7" x14ac:dyDescent="0.25">
      <c r="A150" s="13" t="s">
        <v>2201</v>
      </c>
      <c r="B150" s="13">
        <v>2213</v>
      </c>
      <c r="C150" s="14" t="s">
        <v>1523</v>
      </c>
      <c r="D150" s="14" t="s">
        <v>687</v>
      </c>
      <c r="E150" s="15">
        <v>45885</v>
      </c>
      <c r="F150" s="14" t="s">
        <v>20</v>
      </c>
      <c r="G150" s="16">
        <v>60.32</v>
      </c>
    </row>
    <row r="151" spans="1:7" x14ac:dyDescent="0.25">
      <c r="A151" s="13" t="s">
        <v>2218</v>
      </c>
      <c r="B151" s="13">
        <v>2213</v>
      </c>
      <c r="C151" s="14" t="s">
        <v>1523</v>
      </c>
      <c r="D151" s="14" t="s">
        <v>22</v>
      </c>
      <c r="E151" s="15">
        <v>45894</v>
      </c>
      <c r="F151" s="14" t="s">
        <v>18</v>
      </c>
      <c r="G151" s="16">
        <v>70</v>
      </c>
    </row>
    <row r="152" spans="1:7" x14ac:dyDescent="0.25">
      <c r="A152" s="13" t="s">
        <v>2218</v>
      </c>
      <c r="B152" s="13">
        <v>2213</v>
      </c>
      <c r="C152" s="14" t="s">
        <v>1523</v>
      </c>
      <c r="D152" s="14" t="s">
        <v>22</v>
      </c>
      <c r="E152" s="15">
        <v>45894</v>
      </c>
      <c r="F152" s="14" t="s">
        <v>20</v>
      </c>
      <c r="G152" s="16">
        <v>10.545</v>
      </c>
    </row>
    <row r="153" spans="1:7" x14ac:dyDescent="0.25">
      <c r="A153" s="13" t="s">
        <v>2175</v>
      </c>
      <c r="B153" s="13">
        <v>2271</v>
      </c>
      <c r="C153" s="14" t="s">
        <v>27</v>
      </c>
      <c r="D153" s="14" t="s">
        <v>483</v>
      </c>
      <c r="E153" s="15">
        <v>45890</v>
      </c>
      <c r="F153" s="14" t="s">
        <v>18</v>
      </c>
      <c r="G153" s="16">
        <v>70</v>
      </c>
    </row>
    <row r="154" spans="1:7" x14ac:dyDescent="0.25">
      <c r="A154" s="13" t="s">
        <v>2175</v>
      </c>
      <c r="B154" s="13">
        <v>2271</v>
      </c>
      <c r="C154" s="14" t="s">
        <v>27</v>
      </c>
      <c r="D154" s="14" t="s">
        <v>483</v>
      </c>
      <c r="E154" s="15">
        <v>45890</v>
      </c>
      <c r="F154" s="14" t="s">
        <v>20</v>
      </c>
      <c r="G154" s="16">
        <v>62.003</v>
      </c>
    </row>
    <row r="155" spans="1:7" x14ac:dyDescent="0.25">
      <c r="A155" s="13" t="s">
        <v>2195</v>
      </c>
      <c r="B155" s="13">
        <v>2271</v>
      </c>
      <c r="C155" s="14" t="s">
        <v>27</v>
      </c>
      <c r="D155" s="14" t="s">
        <v>483</v>
      </c>
      <c r="E155" s="15">
        <v>45881</v>
      </c>
      <c r="F155" s="14" t="s">
        <v>18</v>
      </c>
      <c r="G155" s="16">
        <v>70</v>
      </c>
    </row>
    <row r="156" spans="1:7" x14ac:dyDescent="0.25">
      <c r="A156" s="13" t="s">
        <v>2195</v>
      </c>
      <c r="B156" s="13">
        <v>2271</v>
      </c>
      <c r="C156" s="14" t="s">
        <v>27</v>
      </c>
      <c r="D156" s="14" t="s">
        <v>483</v>
      </c>
      <c r="E156" s="15">
        <v>45882</v>
      </c>
      <c r="F156" s="14" t="s">
        <v>20</v>
      </c>
      <c r="G156" s="16">
        <v>28.36</v>
      </c>
    </row>
    <row r="157" spans="1:7" x14ac:dyDescent="0.25">
      <c r="A157" s="13" t="s">
        <v>2195</v>
      </c>
      <c r="B157" s="13">
        <v>2271</v>
      </c>
      <c r="C157" s="14" t="s">
        <v>27</v>
      </c>
      <c r="D157" s="14" t="s">
        <v>483</v>
      </c>
      <c r="E157" s="15">
        <v>45885</v>
      </c>
      <c r="F157" s="14" t="s">
        <v>20</v>
      </c>
      <c r="G157" s="16">
        <v>24.875</v>
      </c>
    </row>
    <row r="158" spans="1:7" x14ac:dyDescent="0.25">
      <c r="A158" s="13" t="s">
        <v>2174</v>
      </c>
      <c r="B158" s="13">
        <v>2275</v>
      </c>
      <c r="C158" s="14" t="s">
        <v>916</v>
      </c>
      <c r="D158" s="14" t="s">
        <v>991</v>
      </c>
      <c r="E158" s="15">
        <v>45885</v>
      </c>
      <c r="F158" s="14" t="s">
        <v>20</v>
      </c>
      <c r="G158" s="16">
        <v>10.805</v>
      </c>
    </row>
    <row r="159" spans="1:7" x14ac:dyDescent="0.25">
      <c r="A159" s="13" t="s">
        <v>2174</v>
      </c>
      <c r="B159" s="13">
        <v>2275</v>
      </c>
      <c r="C159" s="14" t="s">
        <v>916</v>
      </c>
      <c r="D159" s="15" t="s">
        <v>991</v>
      </c>
      <c r="E159" s="15">
        <v>45885</v>
      </c>
      <c r="F159" s="14" t="s">
        <v>587</v>
      </c>
      <c r="G159" s="16">
        <v>48.5</v>
      </c>
    </row>
    <row r="160" spans="1:7" x14ac:dyDescent="0.25">
      <c r="A160" s="13" t="s">
        <v>2197</v>
      </c>
      <c r="B160" s="13">
        <v>2312</v>
      </c>
      <c r="C160" s="14" t="s">
        <v>398</v>
      </c>
      <c r="D160" s="14" t="s">
        <v>606</v>
      </c>
      <c r="E160" s="15">
        <v>45886</v>
      </c>
      <c r="F160" s="14" t="s">
        <v>23</v>
      </c>
      <c r="G160" s="16">
        <v>3</v>
      </c>
    </row>
    <row r="161" spans="1:7" x14ac:dyDescent="0.25">
      <c r="A161" s="13" t="s">
        <v>2197</v>
      </c>
      <c r="B161" s="13">
        <v>2312</v>
      </c>
      <c r="C161" s="14" t="s">
        <v>398</v>
      </c>
      <c r="D161" s="14" t="s">
        <v>606</v>
      </c>
      <c r="E161" s="15">
        <v>45886</v>
      </c>
      <c r="F161" s="14" t="s">
        <v>20</v>
      </c>
      <c r="G161" s="16">
        <v>33.93</v>
      </c>
    </row>
    <row r="162" spans="1:7" x14ac:dyDescent="0.25">
      <c r="A162" s="13" t="s">
        <v>2211</v>
      </c>
      <c r="B162" s="13">
        <v>2326</v>
      </c>
      <c r="C162" s="14" t="s">
        <v>28</v>
      </c>
      <c r="D162" s="14" t="s">
        <v>67</v>
      </c>
      <c r="E162" s="15">
        <v>45885</v>
      </c>
      <c r="F162" s="14" t="s">
        <v>23</v>
      </c>
      <c r="G162" s="16">
        <v>3</v>
      </c>
    </row>
    <row r="163" spans="1:7" x14ac:dyDescent="0.25">
      <c r="A163" s="13" t="s">
        <v>2211</v>
      </c>
      <c r="B163" s="13">
        <v>2326</v>
      </c>
      <c r="C163" s="14" t="s">
        <v>28</v>
      </c>
      <c r="D163" s="14" t="s">
        <v>67</v>
      </c>
      <c r="E163" s="15">
        <v>45885</v>
      </c>
      <c r="F163" s="14" t="s">
        <v>20</v>
      </c>
      <c r="G163" s="16">
        <v>13.9</v>
      </c>
    </row>
    <row r="164" spans="1:7" x14ac:dyDescent="0.25">
      <c r="A164" s="13" t="s">
        <v>2172</v>
      </c>
      <c r="B164" s="13">
        <v>2363</v>
      </c>
      <c r="C164" s="14" t="s">
        <v>1599</v>
      </c>
      <c r="D164" s="15" t="s">
        <v>22</v>
      </c>
      <c r="E164" s="15">
        <v>45878</v>
      </c>
      <c r="F164" s="14" t="s">
        <v>24</v>
      </c>
      <c r="G164" s="16">
        <v>160</v>
      </c>
    </row>
    <row r="165" spans="1:7" x14ac:dyDescent="0.25">
      <c r="A165" s="13" t="s">
        <v>2196</v>
      </c>
      <c r="B165" s="13">
        <v>2497</v>
      </c>
      <c r="C165" s="14" t="s">
        <v>1263</v>
      </c>
      <c r="D165" s="15" t="s">
        <v>669</v>
      </c>
      <c r="E165" s="15">
        <v>45887</v>
      </c>
      <c r="F165" s="14" t="s">
        <v>18</v>
      </c>
      <c r="G165" s="16">
        <v>70</v>
      </c>
    </row>
    <row r="166" spans="1:7" x14ac:dyDescent="0.25">
      <c r="A166" s="13" t="s">
        <v>2196</v>
      </c>
      <c r="B166" s="13">
        <v>2497</v>
      </c>
      <c r="C166" s="14" t="s">
        <v>1263</v>
      </c>
      <c r="D166" s="15" t="s">
        <v>669</v>
      </c>
      <c r="E166" s="15">
        <v>45884</v>
      </c>
      <c r="F166" s="14" t="s">
        <v>19</v>
      </c>
      <c r="G166" s="16">
        <v>32.33</v>
      </c>
    </row>
    <row r="167" spans="1:7" x14ac:dyDescent="0.25">
      <c r="A167" s="13" t="s">
        <v>2196</v>
      </c>
      <c r="B167" s="13">
        <v>2497</v>
      </c>
      <c r="C167" s="14" t="s">
        <v>1263</v>
      </c>
      <c r="D167" s="15" t="s">
        <v>669</v>
      </c>
      <c r="E167" s="15">
        <v>45884</v>
      </c>
      <c r="F167" s="14" t="s">
        <v>19</v>
      </c>
      <c r="G167" s="16">
        <v>53.975000000000001</v>
      </c>
    </row>
    <row r="168" spans="1:7" x14ac:dyDescent="0.25">
      <c r="A168" s="13" t="s">
        <v>2196</v>
      </c>
      <c r="B168" s="13">
        <v>2497</v>
      </c>
      <c r="C168" s="14" t="s">
        <v>1263</v>
      </c>
      <c r="D168" s="14" t="s">
        <v>669</v>
      </c>
      <c r="E168" s="15">
        <v>45887</v>
      </c>
      <c r="F168" s="14" t="s">
        <v>20</v>
      </c>
      <c r="G168" s="16">
        <v>14.47</v>
      </c>
    </row>
    <row r="169" spans="1:7" x14ac:dyDescent="0.25">
      <c r="A169" s="13" t="s">
        <v>2190</v>
      </c>
      <c r="B169" s="13">
        <v>2517</v>
      </c>
      <c r="C169" s="14" t="s">
        <v>97</v>
      </c>
      <c r="D169" s="14" t="s">
        <v>200</v>
      </c>
      <c r="E169" s="15">
        <v>45883</v>
      </c>
      <c r="F169" s="14" t="s">
        <v>1889</v>
      </c>
      <c r="G169" s="16">
        <v>150</v>
      </c>
    </row>
    <row r="170" spans="1:7" x14ac:dyDescent="0.25">
      <c r="A170" s="13" t="s">
        <v>2164</v>
      </c>
      <c r="B170" s="13">
        <v>2565</v>
      </c>
      <c r="C170" s="14" t="s">
        <v>2165</v>
      </c>
      <c r="D170" s="14" t="s">
        <v>22</v>
      </c>
      <c r="E170" s="15">
        <v>45880</v>
      </c>
      <c r="F170" s="14" t="s">
        <v>18</v>
      </c>
      <c r="G170" s="16">
        <v>70</v>
      </c>
    </row>
    <row r="171" spans="1:7" x14ac:dyDescent="0.25">
      <c r="A171" s="13" t="s">
        <v>2164</v>
      </c>
      <c r="B171" s="13">
        <v>2565</v>
      </c>
      <c r="C171" s="14" t="s">
        <v>2165</v>
      </c>
      <c r="D171" s="15" t="s">
        <v>22</v>
      </c>
      <c r="E171" s="15">
        <v>45880</v>
      </c>
      <c r="F171" s="14" t="s">
        <v>20</v>
      </c>
      <c r="G171" s="16">
        <v>370</v>
      </c>
    </row>
    <row r="172" spans="1:7" x14ac:dyDescent="0.25">
      <c r="A172" s="13" t="s">
        <v>2209</v>
      </c>
      <c r="B172" s="13">
        <v>2572</v>
      </c>
      <c r="C172" s="14" t="s">
        <v>462</v>
      </c>
      <c r="D172" s="14" t="s">
        <v>540</v>
      </c>
      <c r="E172" s="15">
        <v>45885</v>
      </c>
      <c r="F172" s="14" t="s">
        <v>18</v>
      </c>
      <c r="G172" s="16">
        <v>60</v>
      </c>
    </row>
    <row r="173" spans="1:7" x14ac:dyDescent="0.25">
      <c r="A173" s="13" t="s">
        <v>2209</v>
      </c>
      <c r="B173" s="13">
        <v>2572</v>
      </c>
      <c r="C173" s="14" t="s">
        <v>462</v>
      </c>
      <c r="D173" s="14" t="s">
        <v>540</v>
      </c>
      <c r="E173" s="15">
        <v>45885</v>
      </c>
      <c r="F173" s="14" t="s">
        <v>20</v>
      </c>
      <c r="G173" s="16">
        <v>22.26</v>
      </c>
    </row>
    <row r="174" spans="1:7" x14ac:dyDescent="0.25">
      <c r="A174" s="13" t="s">
        <v>2153</v>
      </c>
      <c r="B174" s="13">
        <v>2658</v>
      </c>
      <c r="C174" s="14" t="s">
        <v>1683</v>
      </c>
      <c r="D174" s="14" t="s">
        <v>2154</v>
      </c>
      <c r="E174" s="15">
        <v>45877</v>
      </c>
      <c r="F174" s="14" t="s">
        <v>363</v>
      </c>
      <c r="G174" s="16">
        <v>380</v>
      </c>
    </row>
    <row r="175" spans="1:7" x14ac:dyDescent="0.25">
      <c r="A175" s="13" t="s">
        <v>2153</v>
      </c>
      <c r="B175" s="13">
        <v>2658</v>
      </c>
      <c r="C175" s="14" t="s">
        <v>1683</v>
      </c>
      <c r="D175" s="15" t="s">
        <v>2154</v>
      </c>
      <c r="E175" s="15">
        <v>45878</v>
      </c>
      <c r="F175" s="14" t="s">
        <v>18</v>
      </c>
      <c r="G175" s="16">
        <v>250</v>
      </c>
    </row>
    <row r="176" spans="1:7" x14ac:dyDescent="0.25">
      <c r="A176" s="13" t="s">
        <v>2153</v>
      </c>
      <c r="B176" s="13">
        <v>2658</v>
      </c>
      <c r="C176" s="14" t="s">
        <v>1683</v>
      </c>
      <c r="D176" s="14" t="s">
        <v>2154</v>
      </c>
      <c r="E176" s="15">
        <v>45879</v>
      </c>
      <c r="F176" s="14" t="s">
        <v>20</v>
      </c>
      <c r="G176" s="16">
        <v>75.305000000000007</v>
      </c>
    </row>
    <row r="177" spans="1:7" x14ac:dyDescent="0.25">
      <c r="A177" s="13" t="s">
        <v>2153</v>
      </c>
      <c r="B177" s="13">
        <v>2658</v>
      </c>
      <c r="C177" s="14" t="s">
        <v>1683</v>
      </c>
      <c r="D177" s="14" t="s">
        <v>2154</v>
      </c>
      <c r="E177" s="15">
        <v>45877</v>
      </c>
      <c r="F177" s="14" t="s">
        <v>20</v>
      </c>
      <c r="G177" s="16">
        <v>60.064999999999998</v>
      </c>
    </row>
    <row r="178" spans="1:7" x14ac:dyDescent="0.25">
      <c r="A178" s="13" t="s">
        <v>2153</v>
      </c>
      <c r="B178" s="13">
        <v>2658</v>
      </c>
      <c r="C178" s="14" t="s">
        <v>1683</v>
      </c>
      <c r="D178" s="14" t="s">
        <v>2154</v>
      </c>
      <c r="E178" s="15">
        <v>45878</v>
      </c>
      <c r="F178" s="14" t="s">
        <v>20</v>
      </c>
      <c r="G178" s="16">
        <v>111.545</v>
      </c>
    </row>
    <row r="179" spans="1:7" x14ac:dyDescent="0.25">
      <c r="A179" s="13" t="s">
        <v>2153</v>
      </c>
      <c r="B179" s="13">
        <v>2658</v>
      </c>
      <c r="C179" s="14" t="s">
        <v>1683</v>
      </c>
      <c r="D179" s="14" t="s">
        <v>2154</v>
      </c>
      <c r="E179" s="15">
        <v>45877</v>
      </c>
      <c r="F179" s="14" t="s">
        <v>20</v>
      </c>
      <c r="G179" s="16">
        <v>64.94</v>
      </c>
    </row>
    <row r="180" spans="1:7" x14ac:dyDescent="0.25">
      <c r="A180" s="13" t="s">
        <v>2153</v>
      </c>
      <c r="B180" s="13">
        <v>2658</v>
      </c>
      <c r="C180" s="14" t="s">
        <v>1683</v>
      </c>
      <c r="D180" s="14" t="s">
        <v>2154</v>
      </c>
      <c r="E180" s="15">
        <v>45877</v>
      </c>
      <c r="F180" s="14" t="s">
        <v>20</v>
      </c>
      <c r="G180" s="16">
        <v>55.552</v>
      </c>
    </row>
    <row r="181" spans="1:7" x14ac:dyDescent="0.25">
      <c r="A181" s="13" t="s">
        <v>2153</v>
      </c>
      <c r="B181" s="13">
        <v>2658</v>
      </c>
      <c r="C181" s="14" t="s">
        <v>1683</v>
      </c>
      <c r="D181" s="14" t="s">
        <v>2154</v>
      </c>
      <c r="E181" s="15">
        <v>45878</v>
      </c>
      <c r="F181" s="14" t="s">
        <v>19</v>
      </c>
      <c r="G181" s="16">
        <v>51.4</v>
      </c>
    </row>
    <row r="182" spans="1:7" x14ac:dyDescent="0.25">
      <c r="A182" s="13" t="s">
        <v>2153</v>
      </c>
      <c r="B182" s="13">
        <v>2658</v>
      </c>
      <c r="C182" s="14" t="s">
        <v>1683</v>
      </c>
      <c r="D182" s="15" t="s">
        <v>2154</v>
      </c>
      <c r="E182" s="15">
        <v>45877</v>
      </c>
      <c r="F182" s="14" t="s">
        <v>19</v>
      </c>
      <c r="G182" s="16">
        <v>44.12</v>
      </c>
    </row>
    <row r="183" spans="1:7" x14ac:dyDescent="0.25">
      <c r="A183" s="13" t="s">
        <v>2153</v>
      </c>
      <c r="B183" s="13">
        <v>2658</v>
      </c>
      <c r="C183" s="14" t="s">
        <v>1683</v>
      </c>
      <c r="D183" s="14" t="s">
        <v>2154</v>
      </c>
      <c r="E183" s="15">
        <v>45877</v>
      </c>
      <c r="F183" s="14" t="s">
        <v>363</v>
      </c>
      <c r="G183" s="16">
        <v>800</v>
      </c>
    </row>
    <row r="184" spans="1:7" x14ac:dyDescent="0.25">
      <c r="A184" s="13" t="s">
        <v>2153</v>
      </c>
      <c r="B184" s="13">
        <v>2658</v>
      </c>
      <c r="C184" s="14" t="s">
        <v>1683</v>
      </c>
      <c r="D184" s="15" t="s">
        <v>2154</v>
      </c>
      <c r="E184" s="15">
        <v>45878</v>
      </c>
      <c r="F184" s="14" t="s">
        <v>364</v>
      </c>
      <c r="G184" s="16">
        <v>747.72799999999995</v>
      </c>
    </row>
    <row r="185" spans="1:7" x14ac:dyDescent="0.25">
      <c r="A185" s="13" t="s">
        <v>2187</v>
      </c>
      <c r="B185" s="13">
        <v>2714</v>
      </c>
      <c r="C185" s="14" t="s">
        <v>2083</v>
      </c>
      <c r="D185" s="14" t="s">
        <v>22</v>
      </c>
      <c r="E185" s="15">
        <v>45890</v>
      </c>
      <c r="F185" s="14" t="s">
        <v>24</v>
      </c>
      <c r="G185" s="16">
        <v>250</v>
      </c>
    </row>
    <row r="186" spans="1:7" ht="18.75" x14ac:dyDescent="0.3">
      <c r="A186" s="14"/>
      <c r="B186" s="28"/>
      <c r="C186" s="29"/>
      <c r="D186" s="14"/>
      <c r="E186" s="28"/>
      <c r="F186" s="17" t="s">
        <v>11</v>
      </c>
      <c r="G186" s="17">
        <f>SUM(G10:G185)</f>
        <v>20112.308999999997</v>
      </c>
    </row>
    <row r="187" spans="1:7" ht="18.75" x14ac:dyDescent="0.3">
      <c r="A187" s="38"/>
      <c r="B187" s="39"/>
      <c r="C187" s="40"/>
      <c r="D187" s="41"/>
      <c r="E187" s="19"/>
      <c r="F187" s="18"/>
      <c r="G187" s="34"/>
    </row>
    <row r="188" spans="1:7" ht="18.75" x14ac:dyDescent="0.3">
      <c r="A188" s="35"/>
      <c r="B188" s="36"/>
      <c r="C188" s="37"/>
      <c r="D188" s="42"/>
      <c r="E188" s="43"/>
      <c r="F188" s="44"/>
      <c r="G188" s="44"/>
    </row>
    <row r="189" spans="1:7" ht="15.75" x14ac:dyDescent="0.25">
      <c r="A189" s="35"/>
      <c r="B189" s="36" t="s">
        <v>12</v>
      </c>
      <c r="C189" s="37"/>
      <c r="E189" s="36" t="s">
        <v>13</v>
      </c>
      <c r="F189" s="18"/>
      <c r="G189" s="18"/>
    </row>
    <row r="190" spans="1:7" ht="15.75" x14ac:dyDescent="0.25">
      <c r="A190" s="45"/>
      <c r="B190" s="46" t="s">
        <v>14</v>
      </c>
      <c r="C190" s="47"/>
      <c r="E190" s="36" t="s">
        <v>15</v>
      </c>
      <c r="F190" s="18"/>
      <c r="G190" s="18"/>
    </row>
    <row r="191" spans="1:7" ht="15.75" x14ac:dyDescent="0.25">
      <c r="A191" s="23"/>
      <c r="B191" s="24"/>
      <c r="C191" s="25"/>
      <c r="E191" s="27"/>
      <c r="F191" s="18"/>
      <c r="G191" s="18"/>
    </row>
    <row r="192" spans="1:7" ht="18.75" x14ac:dyDescent="0.3">
      <c r="B192" s="19"/>
      <c r="C192" s="20"/>
      <c r="D192" s="21"/>
      <c r="E192" s="22"/>
      <c r="F192" s="19"/>
      <c r="G192" s="22"/>
    </row>
    <row r="193" spans="1:7" ht="15.75" x14ac:dyDescent="0.25">
      <c r="A193" s="23"/>
      <c r="B193" s="24"/>
      <c r="C193" s="25"/>
      <c r="D193" s="26"/>
      <c r="E193" s="22"/>
      <c r="F193" s="27"/>
      <c r="G193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Page &amp;P de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5"/>
  <sheetViews>
    <sheetView workbookViewId="0">
      <pane ySplit="9" topLeftCell="A10" activePane="bottomLeft" state="frozen"/>
      <selection pane="bottomLeft" activeCell="B4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2242</v>
      </c>
      <c r="C5" s="7"/>
      <c r="D5" s="4"/>
    </row>
    <row r="6" spans="1:7" ht="22.5" customHeight="1" x14ac:dyDescent="0.25">
      <c r="A6" s="6"/>
      <c r="B6" s="8" t="s">
        <v>2343</v>
      </c>
      <c r="C6" s="9"/>
      <c r="D6" s="4"/>
    </row>
    <row r="7" spans="1:7" ht="22.5" customHeight="1" x14ac:dyDescent="0.35">
      <c r="A7" s="4"/>
      <c r="B7" s="10"/>
      <c r="C7" s="11" t="s">
        <v>2344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2286</v>
      </c>
      <c r="B10" s="13">
        <v>700</v>
      </c>
      <c r="C10" s="14" t="str">
        <f>+VLOOKUP(B10,[1]LISTE!$A$1:$D$431,4,FALSE)</f>
        <v>ZORGATI ABDELFATTEH</v>
      </c>
      <c r="D10" s="14" t="s">
        <v>22</v>
      </c>
      <c r="E10" s="15">
        <v>45896</v>
      </c>
      <c r="F10" s="14" t="s">
        <v>23</v>
      </c>
      <c r="G10" s="16">
        <v>25</v>
      </c>
    </row>
    <row r="11" spans="1:7" x14ac:dyDescent="0.25">
      <c r="A11" s="13" t="s">
        <v>2286</v>
      </c>
      <c r="B11" s="13">
        <v>700</v>
      </c>
      <c r="C11" s="14" t="str">
        <f>+VLOOKUP(B11,[1]LISTE!$A$1:$D$431,4,FALSE)</f>
        <v>ZORGATI ABDELFATTEH</v>
      </c>
      <c r="D11" s="15" t="s">
        <v>22</v>
      </c>
      <c r="E11" s="15">
        <v>45896</v>
      </c>
      <c r="F11" s="14" t="s">
        <v>20</v>
      </c>
      <c r="G11" s="16">
        <v>40.073999999999998</v>
      </c>
    </row>
    <row r="12" spans="1:7" x14ac:dyDescent="0.25">
      <c r="A12" s="13" t="s">
        <v>2311</v>
      </c>
      <c r="B12" s="13">
        <v>775</v>
      </c>
      <c r="C12" s="14" t="str">
        <f>+VLOOKUP(B12,[1]LISTE!$A$1:$D$431,4,FALSE)</f>
        <v>ZORGATI MONDHER</v>
      </c>
      <c r="D12" s="15" t="s">
        <v>322</v>
      </c>
      <c r="E12" s="15">
        <v>45885</v>
      </c>
      <c r="F12" s="14" t="s">
        <v>18</v>
      </c>
      <c r="G12" s="16">
        <v>70</v>
      </c>
    </row>
    <row r="13" spans="1:7" x14ac:dyDescent="0.25">
      <c r="A13" s="13" t="s">
        <v>2311</v>
      </c>
      <c r="B13" s="13">
        <v>775</v>
      </c>
      <c r="C13" s="14" t="str">
        <f>+VLOOKUP(B13,[1]LISTE!$A$1:$D$431,4,FALSE)</f>
        <v>ZORGATI MONDHER</v>
      </c>
      <c r="D13" s="14" t="s">
        <v>322</v>
      </c>
      <c r="E13" s="15">
        <v>45885</v>
      </c>
      <c r="F13" s="14" t="s">
        <v>20</v>
      </c>
      <c r="G13" s="16">
        <v>36</v>
      </c>
    </row>
    <row r="14" spans="1:7" x14ac:dyDescent="0.25">
      <c r="A14" s="13" t="s">
        <v>2311</v>
      </c>
      <c r="B14" s="13">
        <v>775</v>
      </c>
      <c r="C14" s="14" t="str">
        <f>+VLOOKUP(B14,[1]LISTE!$A$1:$D$431,4,FALSE)</f>
        <v>ZORGATI MONDHER</v>
      </c>
      <c r="D14" s="15" t="s">
        <v>322</v>
      </c>
      <c r="E14" s="15">
        <v>45889</v>
      </c>
      <c r="F14" s="14" t="s">
        <v>69</v>
      </c>
      <c r="G14" s="16">
        <v>351</v>
      </c>
    </row>
    <row r="15" spans="1:7" x14ac:dyDescent="0.25">
      <c r="A15" s="13" t="s">
        <v>2312</v>
      </c>
      <c r="B15" s="13">
        <v>775</v>
      </c>
      <c r="C15" s="14" t="str">
        <f>+VLOOKUP(B15,[1]LISTE!$A$1:$D$431,4,FALSE)</f>
        <v>ZORGATI MONDHER</v>
      </c>
      <c r="D15" s="14" t="s">
        <v>22</v>
      </c>
      <c r="E15" s="15">
        <v>45901</v>
      </c>
      <c r="F15" s="14" t="s">
        <v>18</v>
      </c>
      <c r="G15" s="16">
        <v>70</v>
      </c>
    </row>
    <row r="16" spans="1:7" x14ac:dyDescent="0.25">
      <c r="A16" s="13" t="s">
        <v>2312</v>
      </c>
      <c r="B16" s="13">
        <v>775</v>
      </c>
      <c r="C16" s="14" t="str">
        <f>+VLOOKUP(B16,[1]LISTE!$A$1:$D$431,4,FALSE)</f>
        <v>ZORGATI MONDHER</v>
      </c>
      <c r="D16" s="15" t="s">
        <v>22</v>
      </c>
      <c r="E16" s="15">
        <v>45901</v>
      </c>
      <c r="F16" s="14" t="s">
        <v>20</v>
      </c>
      <c r="G16" s="16">
        <v>46.743000000000002</v>
      </c>
    </row>
    <row r="17" spans="1:7" x14ac:dyDescent="0.25">
      <c r="A17" s="13" t="s">
        <v>2312</v>
      </c>
      <c r="B17" s="13">
        <v>775</v>
      </c>
      <c r="C17" s="14" t="str">
        <f>+VLOOKUP(B17,[1]LISTE!$A$1:$D$431,4,FALSE)</f>
        <v>ZORGATI MONDHER</v>
      </c>
      <c r="D17" s="14" t="s">
        <v>22</v>
      </c>
      <c r="E17" s="15">
        <v>45903</v>
      </c>
      <c r="F17" s="14" t="s">
        <v>20</v>
      </c>
      <c r="G17" s="16">
        <v>10.210000000000001</v>
      </c>
    </row>
    <row r="18" spans="1:7" x14ac:dyDescent="0.25">
      <c r="A18" s="13" t="s">
        <v>2312</v>
      </c>
      <c r="B18" s="13">
        <v>775</v>
      </c>
      <c r="C18" s="14" t="str">
        <f>+VLOOKUP(B18,[1]LISTE!$A$1:$D$431,4,FALSE)</f>
        <v>ZORGATI MONDHER</v>
      </c>
      <c r="D18" s="14" t="s">
        <v>22</v>
      </c>
      <c r="E18" s="15">
        <v>45901</v>
      </c>
      <c r="F18" s="14" t="s">
        <v>65</v>
      </c>
      <c r="G18" s="16">
        <v>4</v>
      </c>
    </row>
    <row r="19" spans="1:7" x14ac:dyDescent="0.25">
      <c r="A19" s="13" t="s">
        <v>2312</v>
      </c>
      <c r="B19" s="13">
        <v>775</v>
      </c>
      <c r="C19" s="14" t="str">
        <f>+VLOOKUP(B19,[1]LISTE!$A$1:$D$431,4,FALSE)</f>
        <v>ZORGATI MONDHER</v>
      </c>
      <c r="D19" s="14" t="s">
        <v>22</v>
      </c>
      <c r="E19" s="15">
        <v>45903</v>
      </c>
      <c r="F19" s="14" t="s">
        <v>65</v>
      </c>
      <c r="G19" s="16">
        <v>2</v>
      </c>
    </row>
    <row r="20" spans="1:7" x14ac:dyDescent="0.25">
      <c r="A20" s="13" t="s">
        <v>2294</v>
      </c>
      <c r="B20" s="13">
        <v>923</v>
      </c>
      <c r="C20" s="14" t="str">
        <f>+VLOOKUP(B20,[1]LISTE!$A$1:$D$431,4,FALSE)</f>
        <v>BEN AZIZA SLAH</v>
      </c>
      <c r="D20" s="15" t="s">
        <v>22</v>
      </c>
      <c r="E20" s="15">
        <v>45897</v>
      </c>
      <c r="F20" s="14" t="s">
        <v>23</v>
      </c>
      <c r="G20" s="16">
        <v>30</v>
      </c>
    </row>
    <row r="21" spans="1:7" x14ac:dyDescent="0.25">
      <c r="A21" s="13" t="s">
        <v>2294</v>
      </c>
      <c r="B21" s="13">
        <v>923</v>
      </c>
      <c r="C21" s="14" t="str">
        <f>+VLOOKUP(B21,[1]LISTE!$A$1:$D$431,4,FALSE)</f>
        <v>BEN AZIZA SLAH</v>
      </c>
      <c r="D21" s="15" t="s">
        <v>22</v>
      </c>
      <c r="E21" s="15">
        <v>45899</v>
      </c>
      <c r="F21" s="14" t="s">
        <v>20</v>
      </c>
      <c r="G21" s="16">
        <v>80.028000000000006</v>
      </c>
    </row>
    <row r="22" spans="1:7" x14ac:dyDescent="0.25">
      <c r="A22" s="13" t="s">
        <v>2337</v>
      </c>
      <c r="B22" s="13">
        <v>965</v>
      </c>
      <c r="C22" s="14" t="str">
        <f>+VLOOKUP(B22,[1]LISTE!$A$1:$D$431,4,FALSE)</f>
        <v>BEN FREDJ ABDELKARIM</v>
      </c>
      <c r="D22" s="14" t="s">
        <v>22</v>
      </c>
      <c r="E22" s="15">
        <v>45905</v>
      </c>
      <c r="F22" s="14" t="s">
        <v>23</v>
      </c>
      <c r="G22" s="16">
        <v>60</v>
      </c>
    </row>
    <row r="23" spans="1:7" x14ac:dyDescent="0.25">
      <c r="A23" s="13" t="s">
        <v>2337</v>
      </c>
      <c r="B23" s="13">
        <v>965</v>
      </c>
      <c r="C23" s="14" t="str">
        <f>+VLOOKUP(B23,[1]LISTE!$A$1:$D$431,4,FALSE)</f>
        <v>BEN FREDJ ABDELKARIM</v>
      </c>
      <c r="D23" s="14" t="s">
        <v>22</v>
      </c>
      <c r="E23" s="15">
        <v>45905</v>
      </c>
      <c r="F23" s="14" t="s">
        <v>20</v>
      </c>
      <c r="G23" s="16">
        <v>12.815</v>
      </c>
    </row>
    <row r="24" spans="1:7" x14ac:dyDescent="0.25">
      <c r="A24" s="13" t="s">
        <v>2337</v>
      </c>
      <c r="B24" s="13">
        <v>965</v>
      </c>
      <c r="C24" s="14" t="str">
        <f>+VLOOKUP(B24,[1]LISTE!$A$1:$D$431,4,FALSE)</f>
        <v>BEN FREDJ ABDELKARIM</v>
      </c>
      <c r="D24" s="14" t="s">
        <v>22</v>
      </c>
      <c r="E24" s="15">
        <v>45909</v>
      </c>
      <c r="F24" s="14" t="s">
        <v>25</v>
      </c>
      <c r="G24" s="16">
        <v>280</v>
      </c>
    </row>
    <row r="25" spans="1:7" x14ac:dyDescent="0.25">
      <c r="A25" s="13" t="s">
        <v>2302</v>
      </c>
      <c r="B25" s="13">
        <v>978</v>
      </c>
      <c r="C25" s="14" t="str">
        <f>+VLOOKUP(B25,[1]LISTE!$A$1:$D$431,4,FALSE)</f>
        <v>GRAIET ADEL</v>
      </c>
      <c r="D25" s="15" t="s">
        <v>22</v>
      </c>
      <c r="E25" s="15">
        <v>45901</v>
      </c>
      <c r="F25" s="14" t="s">
        <v>23</v>
      </c>
      <c r="G25" s="16">
        <v>50</v>
      </c>
    </row>
    <row r="26" spans="1:7" x14ac:dyDescent="0.25">
      <c r="A26" s="13" t="s">
        <v>2302</v>
      </c>
      <c r="B26" s="13">
        <v>978</v>
      </c>
      <c r="C26" s="14" t="str">
        <f>+VLOOKUP(B26,[1]LISTE!$A$1:$D$431,4,FALSE)</f>
        <v>GRAIET ADEL</v>
      </c>
      <c r="D26" s="14" t="s">
        <v>22</v>
      </c>
      <c r="E26" s="15">
        <v>45901</v>
      </c>
      <c r="F26" s="14" t="s">
        <v>20</v>
      </c>
      <c r="G26" s="16">
        <v>2.605</v>
      </c>
    </row>
    <row r="27" spans="1:7" x14ac:dyDescent="0.25">
      <c r="A27" s="13" t="s">
        <v>2302</v>
      </c>
      <c r="B27" s="13">
        <v>978</v>
      </c>
      <c r="C27" s="14" t="str">
        <f>+VLOOKUP(B27,[1]LISTE!$A$1:$D$431,4,FALSE)</f>
        <v>GRAIET ADEL</v>
      </c>
      <c r="D27" s="14" t="s">
        <v>22</v>
      </c>
      <c r="E27" s="15">
        <v>45901</v>
      </c>
      <c r="F27" s="14" t="s">
        <v>24</v>
      </c>
      <c r="G27" s="16">
        <v>80</v>
      </c>
    </row>
    <row r="28" spans="1:7" x14ac:dyDescent="0.25">
      <c r="A28" s="13" t="s">
        <v>2287</v>
      </c>
      <c r="B28" s="13">
        <v>1510</v>
      </c>
      <c r="C28" s="14" t="str">
        <f>+VLOOKUP(B28,[1]LISTE!$A$1:$D$431,4,FALSE)</f>
        <v>GAALOUL FETHI</v>
      </c>
      <c r="D28" s="14" t="s">
        <v>2232</v>
      </c>
      <c r="E28" s="15">
        <v>45873</v>
      </c>
      <c r="F28" s="14" t="s">
        <v>18</v>
      </c>
      <c r="G28" s="16">
        <v>70</v>
      </c>
    </row>
    <row r="29" spans="1:7" x14ac:dyDescent="0.25">
      <c r="A29" s="13" t="s">
        <v>2287</v>
      </c>
      <c r="B29" s="13">
        <v>1510</v>
      </c>
      <c r="C29" s="14" t="str">
        <f>+VLOOKUP(B29,[1]LISTE!$A$1:$D$431,4,FALSE)</f>
        <v>GAALOUL FETHI</v>
      </c>
      <c r="D29" s="14" t="s">
        <v>2232</v>
      </c>
      <c r="E29" s="15">
        <v>45873</v>
      </c>
      <c r="F29" s="14" t="s">
        <v>20</v>
      </c>
      <c r="G29" s="16">
        <v>43.238999999999997</v>
      </c>
    </row>
    <row r="30" spans="1:7" x14ac:dyDescent="0.25">
      <c r="A30" s="13" t="s">
        <v>2288</v>
      </c>
      <c r="B30" s="13">
        <v>1510</v>
      </c>
      <c r="C30" s="14" t="str">
        <f>+VLOOKUP(B30,[1]LISTE!$A$1:$D$431,4,FALSE)</f>
        <v>GAALOUL FETHI</v>
      </c>
      <c r="D30" s="14" t="s">
        <v>322</v>
      </c>
      <c r="E30" s="15">
        <v>45874</v>
      </c>
      <c r="F30" s="14" t="s">
        <v>18</v>
      </c>
      <c r="G30" s="16">
        <v>70</v>
      </c>
    </row>
    <row r="31" spans="1:7" x14ac:dyDescent="0.25">
      <c r="A31" s="13" t="s">
        <v>2288</v>
      </c>
      <c r="B31" s="13">
        <v>1510</v>
      </c>
      <c r="C31" s="14" t="str">
        <f>+VLOOKUP(B31,[1]LISTE!$A$1:$D$431,4,FALSE)</f>
        <v>GAALOUL FETHI</v>
      </c>
      <c r="D31" s="14" t="s">
        <v>322</v>
      </c>
      <c r="E31" s="15">
        <v>45874</v>
      </c>
      <c r="F31" s="14" t="s">
        <v>20</v>
      </c>
      <c r="G31" s="16">
        <v>184.59</v>
      </c>
    </row>
    <row r="32" spans="1:7" x14ac:dyDescent="0.25">
      <c r="A32" s="13" t="s">
        <v>2289</v>
      </c>
      <c r="B32" s="13">
        <v>1510</v>
      </c>
      <c r="C32" s="14" t="str">
        <f>+VLOOKUP(B32,[1]LISTE!$A$1:$D$431,4,FALSE)</f>
        <v>GAALOUL FETHI</v>
      </c>
      <c r="D32" s="14" t="s">
        <v>22</v>
      </c>
      <c r="E32" s="15">
        <v>45869</v>
      </c>
      <c r="F32" s="14" t="s">
        <v>19</v>
      </c>
      <c r="G32" s="16">
        <v>24</v>
      </c>
    </row>
    <row r="33" spans="1:7" x14ac:dyDescent="0.25">
      <c r="A33" s="13" t="s">
        <v>2248</v>
      </c>
      <c r="B33" s="13">
        <v>1511</v>
      </c>
      <c r="C33" s="14" t="str">
        <f>+VLOOKUP(B33,[1]LISTE!$A$1:$D$431,4,FALSE)</f>
        <v>SOYAH NEJIB</v>
      </c>
      <c r="D33" s="15" t="s">
        <v>22</v>
      </c>
      <c r="E33" s="15">
        <v>45880</v>
      </c>
      <c r="F33" s="14" t="s">
        <v>18</v>
      </c>
      <c r="G33" s="16">
        <v>70</v>
      </c>
    </row>
    <row r="34" spans="1:7" x14ac:dyDescent="0.25">
      <c r="A34" s="13" t="s">
        <v>2248</v>
      </c>
      <c r="B34" s="13">
        <v>1511</v>
      </c>
      <c r="C34" s="14" t="str">
        <f>+VLOOKUP(B34,[1]LISTE!$A$1:$D$431,4,FALSE)</f>
        <v>SOYAH NEJIB</v>
      </c>
      <c r="D34" s="14" t="s">
        <v>22</v>
      </c>
      <c r="E34" s="15">
        <v>45881</v>
      </c>
      <c r="F34" s="14" t="s">
        <v>20</v>
      </c>
      <c r="G34" s="16">
        <v>151.12100000000001</v>
      </c>
    </row>
    <row r="35" spans="1:7" x14ac:dyDescent="0.25">
      <c r="A35" s="13" t="s">
        <v>2248</v>
      </c>
      <c r="B35" s="13">
        <v>1511</v>
      </c>
      <c r="C35" s="14" t="str">
        <f>+VLOOKUP(B35,[1]LISTE!$A$1:$D$431,4,FALSE)</f>
        <v>SOYAH NEJIB</v>
      </c>
      <c r="D35" s="14" t="s">
        <v>22</v>
      </c>
      <c r="E35" s="15">
        <v>45881</v>
      </c>
      <c r="F35" s="14" t="s">
        <v>19</v>
      </c>
      <c r="G35" s="16">
        <v>92</v>
      </c>
    </row>
    <row r="36" spans="1:7" x14ac:dyDescent="0.25">
      <c r="A36" s="13" t="s">
        <v>2249</v>
      </c>
      <c r="B36" s="13">
        <v>1511</v>
      </c>
      <c r="C36" s="14" t="str">
        <f>+VLOOKUP(B36,[1]LISTE!$A$1:$D$431,4,FALSE)</f>
        <v>SOYAH NEJIB</v>
      </c>
      <c r="D36" s="14" t="s">
        <v>22</v>
      </c>
      <c r="E36" s="15">
        <v>45887</v>
      </c>
      <c r="F36" s="14" t="s">
        <v>18</v>
      </c>
      <c r="G36" s="16">
        <v>70</v>
      </c>
    </row>
    <row r="37" spans="1:7" x14ac:dyDescent="0.25">
      <c r="A37" s="13" t="s">
        <v>2249</v>
      </c>
      <c r="B37" s="13">
        <v>1511</v>
      </c>
      <c r="C37" s="14" t="str">
        <f>+VLOOKUP(B37,[1]LISTE!$A$1:$D$431,4,FALSE)</f>
        <v>SOYAH NEJIB</v>
      </c>
      <c r="D37" s="15" t="s">
        <v>22</v>
      </c>
      <c r="E37" s="15">
        <v>45887</v>
      </c>
      <c r="F37" s="14" t="s">
        <v>20</v>
      </c>
      <c r="G37" s="16">
        <v>4.2949999999999999</v>
      </c>
    </row>
    <row r="38" spans="1:7" x14ac:dyDescent="0.25">
      <c r="A38" s="13" t="s">
        <v>2250</v>
      </c>
      <c r="B38" s="13">
        <v>1511</v>
      </c>
      <c r="C38" s="14" t="str">
        <f>+VLOOKUP(B38,[1]LISTE!$A$1:$D$431,4,FALSE)</f>
        <v>SOYAH NEJIB</v>
      </c>
      <c r="D38" s="14" t="s">
        <v>1156</v>
      </c>
      <c r="E38" s="15">
        <v>45894</v>
      </c>
      <c r="F38" s="14" t="s">
        <v>23</v>
      </c>
      <c r="G38" s="16">
        <v>40</v>
      </c>
    </row>
    <row r="39" spans="1:7" x14ac:dyDescent="0.25">
      <c r="A39" s="13" t="s">
        <v>2250</v>
      </c>
      <c r="B39" s="13">
        <v>1511</v>
      </c>
      <c r="C39" s="14" t="str">
        <f>+VLOOKUP(B39,[1]LISTE!$A$1:$D$431,4,FALSE)</f>
        <v>SOYAH NEJIB</v>
      </c>
      <c r="D39" s="14" t="s">
        <v>1156</v>
      </c>
      <c r="E39" s="15">
        <v>45894</v>
      </c>
      <c r="F39" s="14" t="s">
        <v>20</v>
      </c>
      <c r="G39" s="16">
        <v>55.576000000000001</v>
      </c>
    </row>
    <row r="40" spans="1:7" x14ac:dyDescent="0.25">
      <c r="A40" s="13" t="s">
        <v>2257</v>
      </c>
      <c r="B40" s="13">
        <v>1541</v>
      </c>
      <c r="C40" s="14" t="str">
        <f>+VLOOKUP(B40,[1]LISTE!$A$1:$D$431,4,FALSE)</f>
        <v>MAHJOUB MOUNIR</v>
      </c>
      <c r="D40" s="14" t="s">
        <v>22</v>
      </c>
      <c r="E40" s="15">
        <v>45889</v>
      </c>
      <c r="F40" s="14" t="s">
        <v>20</v>
      </c>
      <c r="G40" s="16">
        <v>99.811999999999998</v>
      </c>
    </row>
    <row r="41" spans="1:7" x14ac:dyDescent="0.25">
      <c r="A41" s="13" t="s">
        <v>2247</v>
      </c>
      <c r="B41" s="13">
        <v>1548</v>
      </c>
      <c r="C41" s="14" t="str">
        <f>+VLOOKUP(B41,[1]LISTE!$A$1:$D$431,4,FALSE)</f>
        <v>YOUSSEF WAHID</v>
      </c>
      <c r="D41" s="15" t="s">
        <v>212</v>
      </c>
      <c r="E41" s="15">
        <v>45896</v>
      </c>
      <c r="F41" s="14" t="s">
        <v>18</v>
      </c>
      <c r="G41" s="16">
        <v>60</v>
      </c>
    </row>
    <row r="42" spans="1:7" x14ac:dyDescent="0.25">
      <c r="A42" s="13" t="s">
        <v>2247</v>
      </c>
      <c r="B42" s="13">
        <v>1548</v>
      </c>
      <c r="C42" s="14" t="str">
        <f>+VLOOKUP(B42,[1]LISTE!$A$1:$D$431,4,FALSE)</f>
        <v>YOUSSEF WAHID</v>
      </c>
      <c r="D42" s="14" t="s">
        <v>212</v>
      </c>
      <c r="E42" s="15">
        <v>45896</v>
      </c>
      <c r="F42" s="14" t="s">
        <v>20</v>
      </c>
      <c r="G42" s="16">
        <v>6.57</v>
      </c>
    </row>
    <row r="43" spans="1:7" x14ac:dyDescent="0.25">
      <c r="A43" s="13" t="s">
        <v>2293</v>
      </c>
      <c r="B43" s="13">
        <v>1561</v>
      </c>
      <c r="C43" s="14" t="str">
        <f>+VLOOKUP(B43,[1]LISTE!$A$1:$D$431,4,FALSE)</f>
        <v>JMEGUER SAMI</v>
      </c>
      <c r="D43" s="15" t="s">
        <v>22</v>
      </c>
      <c r="E43" s="15">
        <v>45902</v>
      </c>
      <c r="F43" s="14" t="s">
        <v>23</v>
      </c>
      <c r="G43" s="16">
        <v>40</v>
      </c>
    </row>
    <row r="44" spans="1:7" x14ac:dyDescent="0.25">
      <c r="A44" s="13" t="s">
        <v>2293</v>
      </c>
      <c r="B44" s="13">
        <v>1561</v>
      </c>
      <c r="C44" s="14" t="str">
        <f>+VLOOKUP(B44,[1]LISTE!$A$1:$D$431,4,FALSE)</f>
        <v>JMEGUER SAMI</v>
      </c>
      <c r="D44" s="15" t="s">
        <v>22</v>
      </c>
      <c r="E44" s="15">
        <v>45902</v>
      </c>
      <c r="F44" s="14" t="s">
        <v>20</v>
      </c>
      <c r="G44" s="16">
        <v>20.315000000000001</v>
      </c>
    </row>
    <row r="45" spans="1:7" x14ac:dyDescent="0.25">
      <c r="A45" s="13" t="s">
        <v>2284</v>
      </c>
      <c r="B45" s="13">
        <v>1573</v>
      </c>
      <c r="C45" s="14" t="str">
        <f>+VLOOKUP(B45,[1]LISTE!$A$1:$D$431,4,FALSE)</f>
        <v>SALLAH IMED</v>
      </c>
      <c r="D45" s="14" t="s">
        <v>2232</v>
      </c>
      <c r="E45" s="15">
        <v>45866</v>
      </c>
      <c r="F45" s="14" t="s">
        <v>19</v>
      </c>
      <c r="G45" s="16">
        <v>75.97</v>
      </c>
    </row>
    <row r="46" spans="1:7" x14ac:dyDescent="0.25">
      <c r="A46" s="13" t="s">
        <v>2339</v>
      </c>
      <c r="B46" s="13">
        <v>1576</v>
      </c>
      <c r="C46" s="14" t="s">
        <v>1667</v>
      </c>
      <c r="D46" s="14" t="s">
        <v>22</v>
      </c>
      <c r="E46" s="15">
        <v>45903</v>
      </c>
      <c r="F46" s="14" t="s">
        <v>21</v>
      </c>
      <c r="G46" s="16">
        <v>120</v>
      </c>
    </row>
    <row r="47" spans="1:7" x14ac:dyDescent="0.25">
      <c r="A47" s="13" t="s">
        <v>2271</v>
      </c>
      <c r="B47" s="13">
        <v>1616</v>
      </c>
      <c r="C47" s="14" t="str">
        <f>+VLOOKUP(B47,[1]LISTE!$A$1:$D$431,4,FALSE)</f>
        <v>MOUSSA FETHI</v>
      </c>
      <c r="D47" s="14" t="s">
        <v>2232</v>
      </c>
      <c r="E47" s="15">
        <v>45885</v>
      </c>
      <c r="F47" s="14" t="s">
        <v>18</v>
      </c>
      <c r="G47" s="16">
        <v>80</v>
      </c>
    </row>
    <row r="48" spans="1:7" x14ac:dyDescent="0.25">
      <c r="A48" s="13" t="s">
        <v>2271</v>
      </c>
      <c r="B48" s="13">
        <v>1616</v>
      </c>
      <c r="C48" s="14" t="str">
        <f>+VLOOKUP(B48,[1]LISTE!$A$1:$D$431,4,FALSE)</f>
        <v>MOUSSA FETHI</v>
      </c>
      <c r="D48" s="15" t="s">
        <v>2232</v>
      </c>
      <c r="E48" s="15">
        <v>45885</v>
      </c>
      <c r="F48" s="14" t="s">
        <v>20</v>
      </c>
      <c r="G48" s="16">
        <v>121.49</v>
      </c>
    </row>
    <row r="49" spans="1:7" x14ac:dyDescent="0.25">
      <c r="A49" s="13" t="s">
        <v>2272</v>
      </c>
      <c r="B49" s="13">
        <v>1616</v>
      </c>
      <c r="C49" s="14" t="str">
        <f>+VLOOKUP(B49,[1]LISTE!$A$1:$D$431,4,FALSE)</f>
        <v>MOUSSA FETHI</v>
      </c>
      <c r="D49" s="14" t="s">
        <v>22</v>
      </c>
      <c r="E49" s="15">
        <v>45897</v>
      </c>
      <c r="F49" s="14" t="s">
        <v>23</v>
      </c>
      <c r="G49" s="16">
        <v>45</v>
      </c>
    </row>
    <row r="50" spans="1:7" x14ac:dyDescent="0.25">
      <c r="A50" s="13" t="s">
        <v>2272</v>
      </c>
      <c r="B50" s="13">
        <v>1616</v>
      </c>
      <c r="C50" s="14" t="str">
        <f>+VLOOKUP(B50,[1]LISTE!$A$1:$D$431,4,FALSE)</f>
        <v>MOUSSA FETHI</v>
      </c>
      <c r="D50" s="14" t="s">
        <v>22</v>
      </c>
      <c r="E50" s="15">
        <v>45897</v>
      </c>
      <c r="F50" s="14" t="s">
        <v>20</v>
      </c>
      <c r="G50" s="16">
        <v>20.47</v>
      </c>
    </row>
    <row r="51" spans="1:7" x14ac:dyDescent="0.25">
      <c r="A51" s="13" t="s">
        <v>2338</v>
      </c>
      <c r="B51" s="13">
        <v>1616</v>
      </c>
      <c r="C51" s="14" t="str">
        <f>+VLOOKUP(B51,[1]LISTE!$A$1:$D$431,4,FALSE)</f>
        <v>MOUSSA FETHI</v>
      </c>
      <c r="D51" s="14" t="s">
        <v>180</v>
      </c>
      <c r="E51" s="15">
        <v>45890</v>
      </c>
      <c r="F51" s="14" t="s">
        <v>23</v>
      </c>
      <c r="G51" s="16">
        <v>45</v>
      </c>
    </row>
    <row r="52" spans="1:7" x14ac:dyDescent="0.25">
      <c r="A52" s="13" t="s">
        <v>2338</v>
      </c>
      <c r="B52" s="13">
        <v>1616</v>
      </c>
      <c r="C52" s="14" t="str">
        <f>+VLOOKUP(B52,[1]LISTE!$A$1:$D$431,4,FALSE)</f>
        <v>MOUSSA FETHI</v>
      </c>
      <c r="D52" s="14" t="s">
        <v>180</v>
      </c>
      <c r="E52" s="15">
        <v>45890</v>
      </c>
      <c r="F52" s="14" t="s">
        <v>20</v>
      </c>
      <c r="G52" s="16">
        <v>46.844999999999999</v>
      </c>
    </row>
    <row r="53" spans="1:7" x14ac:dyDescent="0.25">
      <c r="A53" s="13" t="s">
        <v>2273</v>
      </c>
      <c r="B53" s="13">
        <v>1618</v>
      </c>
      <c r="C53" s="14" t="str">
        <f>+VLOOKUP(B53,[1]LISTE!$A$1:$D$431,4,FALSE)</f>
        <v>SLAMA MAHER</v>
      </c>
      <c r="D53" s="14" t="s">
        <v>22</v>
      </c>
      <c r="E53" s="15">
        <v>45890</v>
      </c>
      <c r="F53" s="14" t="s">
        <v>18</v>
      </c>
      <c r="G53" s="16">
        <v>70</v>
      </c>
    </row>
    <row r="54" spans="1:7" x14ac:dyDescent="0.25">
      <c r="A54" s="13" t="s">
        <v>2273</v>
      </c>
      <c r="B54" s="13">
        <v>1618</v>
      </c>
      <c r="C54" s="14" t="str">
        <f>+VLOOKUP(B54,[1]LISTE!$A$1:$D$431,4,FALSE)</f>
        <v>SLAMA MAHER</v>
      </c>
      <c r="D54" s="14" t="s">
        <v>22</v>
      </c>
      <c r="E54" s="15">
        <v>45891</v>
      </c>
      <c r="F54" s="14" t="s">
        <v>69</v>
      </c>
      <c r="G54" s="16">
        <v>190</v>
      </c>
    </row>
    <row r="55" spans="1:7" x14ac:dyDescent="0.25">
      <c r="A55" s="13" t="s">
        <v>2332</v>
      </c>
      <c r="B55" s="13">
        <v>1626</v>
      </c>
      <c r="C55" s="14" t="str">
        <f>+VLOOKUP(B55,[1]LISTE!$A$1:$D$431,4,FALSE)</f>
        <v>CHAARANA MOHAMED</v>
      </c>
      <c r="D55" s="14" t="s">
        <v>1900</v>
      </c>
      <c r="E55" s="15">
        <v>45901</v>
      </c>
      <c r="F55" s="14" t="s">
        <v>18</v>
      </c>
      <c r="G55" s="16">
        <v>70</v>
      </c>
    </row>
    <row r="56" spans="1:7" x14ac:dyDescent="0.25">
      <c r="A56" s="13" t="s">
        <v>2332</v>
      </c>
      <c r="B56" s="13">
        <v>1626</v>
      </c>
      <c r="C56" s="14" t="str">
        <f>+VLOOKUP(B56,[1]LISTE!$A$1:$D$431,4,FALSE)</f>
        <v>CHAARANA MOHAMED</v>
      </c>
      <c r="D56" s="14" t="s">
        <v>1900</v>
      </c>
      <c r="E56" s="15">
        <v>45901</v>
      </c>
      <c r="F56" s="14" t="s">
        <v>20</v>
      </c>
      <c r="G56" s="16">
        <v>67.954999999999998</v>
      </c>
    </row>
    <row r="57" spans="1:7" x14ac:dyDescent="0.25">
      <c r="A57" s="13" t="s">
        <v>2259</v>
      </c>
      <c r="B57" s="13">
        <v>1643</v>
      </c>
      <c r="C57" s="14" t="str">
        <f>+VLOOKUP(B57,[1]LISTE!$A$1:$D$431,4,FALSE)</f>
        <v>HALLEB SALAH</v>
      </c>
      <c r="D57" s="14" t="s">
        <v>1369</v>
      </c>
      <c r="E57" s="15">
        <v>45895</v>
      </c>
      <c r="F57" s="14" t="s">
        <v>23</v>
      </c>
      <c r="G57" s="16">
        <v>50</v>
      </c>
    </row>
    <row r="58" spans="1:7" x14ac:dyDescent="0.25">
      <c r="A58" s="13" t="s">
        <v>2259</v>
      </c>
      <c r="B58" s="13">
        <v>1643</v>
      </c>
      <c r="C58" s="14" t="str">
        <f>+VLOOKUP(B58,[1]LISTE!$A$1:$D$431,4,FALSE)</f>
        <v>HALLEB SALAH</v>
      </c>
      <c r="D58" s="14" t="s">
        <v>1369</v>
      </c>
      <c r="E58" s="15">
        <v>45895</v>
      </c>
      <c r="F58" s="14" t="s">
        <v>20</v>
      </c>
      <c r="G58" s="16">
        <v>2.605</v>
      </c>
    </row>
    <row r="59" spans="1:7" x14ac:dyDescent="0.25">
      <c r="A59" s="13" t="s">
        <v>2325</v>
      </c>
      <c r="B59" s="13">
        <v>1666</v>
      </c>
      <c r="C59" s="14" t="str">
        <f>+VLOOKUP(B59,[1]LISTE!$A$1:$D$431,4,FALSE)</f>
        <v>BOUZIR SAHBI</v>
      </c>
      <c r="D59" s="14" t="s">
        <v>200</v>
      </c>
      <c r="E59" s="15">
        <v>45906</v>
      </c>
      <c r="F59" s="14" t="s">
        <v>18</v>
      </c>
      <c r="G59" s="16">
        <v>100</v>
      </c>
    </row>
    <row r="60" spans="1:7" x14ac:dyDescent="0.25">
      <c r="A60" s="13" t="s">
        <v>2325</v>
      </c>
      <c r="B60" s="13">
        <v>1666</v>
      </c>
      <c r="C60" s="14" t="str">
        <f>+VLOOKUP(B60,[1]LISTE!$A$1:$D$431,4,FALSE)</f>
        <v>BOUZIR SAHBI</v>
      </c>
      <c r="D60" s="14" t="s">
        <v>200</v>
      </c>
      <c r="E60" s="15">
        <v>45906</v>
      </c>
      <c r="F60" s="14" t="s">
        <v>20</v>
      </c>
      <c r="G60" s="16">
        <v>4.33</v>
      </c>
    </row>
    <row r="61" spans="1:7" x14ac:dyDescent="0.25">
      <c r="A61" s="13" t="s">
        <v>2325</v>
      </c>
      <c r="B61" s="13">
        <v>1666</v>
      </c>
      <c r="C61" s="14" t="str">
        <f>+VLOOKUP(B61,[1]LISTE!$A$1:$D$431,4,FALSE)</f>
        <v>BOUZIR SAHBI</v>
      </c>
      <c r="D61" s="14" t="s">
        <v>200</v>
      </c>
      <c r="E61" s="15">
        <v>45906</v>
      </c>
      <c r="F61" s="14" t="s">
        <v>363</v>
      </c>
      <c r="G61" s="16">
        <v>200</v>
      </c>
    </row>
    <row r="62" spans="1:7" x14ac:dyDescent="0.25">
      <c r="A62" s="13" t="s">
        <v>2325</v>
      </c>
      <c r="B62" s="13">
        <v>1666</v>
      </c>
      <c r="C62" s="14" t="str">
        <f>+VLOOKUP(B62,[1]LISTE!$A$1:$D$431,4,FALSE)</f>
        <v>BOUZIR SAHBI</v>
      </c>
      <c r="D62" s="14" t="s">
        <v>200</v>
      </c>
      <c r="E62" s="15">
        <v>45906</v>
      </c>
      <c r="F62" s="14" t="s">
        <v>363</v>
      </c>
      <c r="G62" s="16">
        <v>80</v>
      </c>
    </row>
    <row r="63" spans="1:7" x14ac:dyDescent="0.25">
      <c r="A63" s="13" t="s">
        <v>2325</v>
      </c>
      <c r="B63" s="13">
        <v>1666</v>
      </c>
      <c r="C63" s="14" t="str">
        <f>+VLOOKUP(B63,[1]LISTE!$A$1:$D$431,4,FALSE)</f>
        <v>BOUZIR SAHBI</v>
      </c>
      <c r="D63" s="14" t="s">
        <v>200</v>
      </c>
      <c r="E63" s="15">
        <v>45906</v>
      </c>
      <c r="F63" s="14" t="s">
        <v>364</v>
      </c>
      <c r="G63" s="16">
        <v>426.16699999999997</v>
      </c>
    </row>
    <row r="64" spans="1:7" x14ac:dyDescent="0.25">
      <c r="A64" s="13" t="s">
        <v>2252</v>
      </c>
      <c r="B64" s="13">
        <v>1671</v>
      </c>
      <c r="C64" s="14" t="str">
        <f>+VLOOKUP(B64,[1]LISTE!$A$1:$D$431,4,FALSE)</f>
        <v>EL BACH ADEL</v>
      </c>
      <c r="D64" s="14" t="s">
        <v>22</v>
      </c>
      <c r="E64" s="15">
        <v>45892</v>
      </c>
      <c r="F64" s="14" t="s">
        <v>20</v>
      </c>
      <c r="G64" s="16">
        <v>87.724000000000004</v>
      </c>
    </row>
    <row r="65" spans="1:7" x14ac:dyDescent="0.25">
      <c r="A65" s="13" t="s">
        <v>2258</v>
      </c>
      <c r="B65" s="13">
        <v>1677</v>
      </c>
      <c r="C65" s="14" t="str">
        <f>+VLOOKUP(B65,[1]LISTE!$A$1:$D$431,4,FALSE)</f>
        <v>HADJ AMMAR BRAHIM</v>
      </c>
      <c r="D65" s="14" t="s">
        <v>677</v>
      </c>
      <c r="E65" s="15">
        <v>45892</v>
      </c>
      <c r="F65" s="14" t="s">
        <v>65</v>
      </c>
      <c r="G65" s="16">
        <v>144</v>
      </c>
    </row>
    <row r="66" spans="1:7" x14ac:dyDescent="0.25">
      <c r="A66" s="13" t="s">
        <v>2324</v>
      </c>
      <c r="B66" s="13">
        <v>1687</v>
      </c>
      <c r="C66" s="14" t="str">
        <f>+VLOOKUP(B66,[1]LISTE!$A$1:$D$431,4,FALSE)</f>
        <v>LACHHAB SAHBI</v>
      </c>
      <c r="D66" s="14" t="s">
        <v>26</v>
      </c>
      <c r="E66" s="15">
        <v>45909</v>
      </c>
      <c r="F66" s="14" t="s">
        <v>23</v>
      </c>
      <c r="G66" s="16">
        <v>3</v>
      </c>
    </row>
    <row r="67" spans="1:7" x14ac:dyDescent="0.25">
      <c r="A67" s="13" t="s">
        <v>2324</v>
      </c>
      <c r="B67" s="13">
        <v>1687</v>
      </c>
      <c r="C67" s="14" t="str">
        <f>+VLOOKUP(B67,[1]LISTE!$A$1:$D$431,4,FALSE)</f>
        <v>LACHHAB SAHBI</v>
      </c>
      <c r="D67" s="14" t="s">
        <v>26</v>
      </c>
      <c r="E67" s="15">
        <v>45909</v>
      </c>
      <c r="F67" s="14" t="s">
        <v>20</v>
      </c>
      <c r="G67" s="16">
        <v>47.04</v>
      </c>
    </row>
    <row r="68" spans="1:7" x14ac:dyDescent="0.25">
      <c r="A68" s="13" t="s">
        <v>2303</v>
      </c>
      <c r="B68" s="13">
        <v>1689</v>
      </c>
      <c r="C68" s="14" t="str">
        <f>+VLOOKUP(B68,[1]LISTE!$A$1:$D$431,4,FALSE)</f>
        <v>GRAA SKANDER</v>
      </c>
      <c r="D68" s="14" t="s">
        <v>200</v>
      </c>
      <c r="E68" s="15">
        <v>45873</v>
      </c>
      <c r="F68" s="14" t="s">
        <v>23</v>
      </c>
      <c r="G68" s="16">
        <v>50</v>
      </c>
    </row>
    <row r="69" spans="1:7" x14ac:dyDescent="0.25">
      <c r="A69" s="13" t="s">
        <v>2303</v>
      </c>
      <c r="B69" s="13">
        <v>1689</v>
      </c>
      <c r="C69" s="14" t="str">
        <f>+VLOOKUP(B69,[1]LISTE!$A$1:$D$431,4,FALSE)</f>
        <v>GRAA SKANDER</v>
      </c>
      <c r="D69" s="14" t="s">
        <v>200</v>
      </c>
      <c r="E69" s="15">
        <v>45873</v>
      </c>
      <c r="F69" s="14" t="s">
        <v>20</v>
      </c>
      <c r="G69" s="16">
        <v>2.2149999999999999</v>
      </c>
    </row>
    <row r="70" spans="1:7" x14ac:dyDescent="0.25">
      <c r="A70" s="13" t="s">
        <v>2253</v>
      </c>
      <c r="B70" s="13">
        <v>1702</v>
      </c>
      <c r="C70" s="14" t="str">
        <f>+VLOOKUP(B70,[1]LISTE!$A$1:$D$431,4,FALSE)</f>
        <v>JAIET WALID</v>
      </c>
      <c r="D70" s="14" t="s">
        <v>47</v>
      </c>
      <c r="E70" s="15">
        <v>45884</v>
      </c>
      <c r="F70" s="14" t="s">
        <v>18</v>
      </c>
      <c r="G70" s="16">
        <v>70</v>
      </c>
    </row>
    <row r="71" spans="1:7" x14ac:dyDescent="0.25">
      <c r="A71" s="13" t="s">
        <v>2253</v>
      </c>
      <c r="B71" s="13">
        <v>1702</v>
      </c>
      <c r="C71" s="14" t="str">
        <f>+VLOOKUP(B71,[1]LISTE!$A$1:$D$431,4,FALSE)</f>
        <v>JAIET WALID</v>
      </c>
      <c r="D71" s="14" t="s">
        <v>47</v>
      </c>
      <c r="E71" s="15">
        <v>45885</v>
      </c>
      <c r="F71" s="14" t="s">
        <v>20</v>
      </c>
      <c r="G71" s="16">
        <v>18.195</v>
      </c>
    </row>
    <row r="72" spans="1:7" x14ac:dyDescent="0.25">
      <c r="A72" s="13" t="s">
        <v>2253</v>
      </c>
      <c r="B72" s="13">
        <v>1702</v>
      </c>
      <c r="C72" s="14" t="str">
        <f>+VLOOKUP(B72,[1]LISTE!$A$1:$D$431,4,FALSE)</f>
        <v>JAIET WALID</v>
      </c>
      <c r="D72" s="15" t="s">
        <v>47</v>
      </c>
      <c r="E72" s="15">
        <v>45890</v>
      </c>
      <c r="F72" s="14" t="s">
        <v>19</v>
      </c>
      <c r="G72" s="16">
        <v>28.69</v>
      </c>
    </row>
    <row r="73" spans="1:7" x14ac:dyDescent="0.25">
      <c r="A73" s="13" t="s">
        <v>2327</v>
      </c>
      <c r="B73" s="13">
        <v>1702</v>
      </c>
      <c r="C73" s="14" t="str">
        <f>+VLOOKUP(B73,[1]LISTE!$A$1:$D$431,4,FALSE)</f>
        <v>JAIET WALID</v>
      </c>
      <c r="D73" s="14" t="s">
        <v>298</v>
      </c>
      <c r="E73" s="15">
        <v>45899</v>
      </c>
      <c r="F73" s="14" t="s">
        <v>23</v>
      </c>
      <c r="G73" s="16">
        <v>45</v>
      </c>
    </row>
    <row r="74" spans="1:7" x14ac:dyDescent="0.25">
      <c r="A74" s="13" t="s">
        <v>2327</v>
      </c>
      <c r="B74" s="13">
        <v>1702</v>
      </c>
      <c r="C74" s="14" t="str">
        <f>+VLOOKUP(B74,[1]LISTE!$A$1:$D$431,4,FALSE)</f>
        <v>JAIET WALID</v>
      </c>
      <c r="D74" s="14" t="s">
        <v>298</v>
      </c>
      <c r="E74" s="15">
        <v>45899</v>
      </c>
      <c r="F74" s="14" t="s">
        <v>20</v>
      </c>
      <c r="G74" s="16">
        <v>71.519000000000005</v>
      </c>
    </row>
    <row r="75" spans="1:7" x14ac:dyDescent="0.25">
      <c r="A75" s="13" t="s">
        <v>2328</v>
      </c>
      <c r="B75" s="13">
        <v>1702</v>
      </c>
      <c r="C75" s="14" t="str">
        <f>+VLOOKUP(B75,[1]LISTE!$A$1:$D$431,4,FALSE)</f>
        <v>JAIET WALID</v>
      </c>
      <c r="D75" s="14" t="s">
        <v>22</v>
      </c>
      <c r="E75" s="15">
        <v>45894</v>
      </c>
      <c r="F75" s="14" t="s">
        <v>23</v>
      </c>
      <c r="G75" s="16">
        <v>45</v>
      </c>
    </row>
    <row r="76" spans="1:7" x14ac:dyDescent="0.25">
      <c r="A76" s="13" t="s">
        <v>2328</v>
      </c>
      <c r="B76" s="13">
        <v>1702</v>
      </c>
      <c r="C76" s="14" t="str">
        <f>+VLOOKUP(B76,[1]LISTE!$A$1:$D$431,4,FALSE)</f>
        <v>JAIET WALID</v>
      </c>
      <c r="D76" s="14" t="s">
        <v>22</v>
      </c>
      <c r="E76" s="15">
        <v>45894</v>
      </c>
      <c r="F76" s="14" t="s">
        <v>20</v>
      </c>
      <c r="G76" s="16">
        <v>80.759</v>
      </c>
    </row>
    <row r="77" spans="1:7" x14ac:dyDescent="0.25">
      <c r="A77" s="13" t="s">
        <v>2307</v>
      </c>
      <c r="B77" s="13">
        <v>1706</v>
      </c>
      <c r="C77" s="14" t="str">
        <f>+VLOOKUP(B77,[1]LISTE!$A$1:$D$431,4,FALSE)</f>
        <v>GRIRA LOKHDHIRI FREDJ</v>
      </c>
      <c r="D77" s="15" t="s">
        <v>186</v>
      </c>
      <c r="E77" s="15">
        <v>45887</v>
      </c>
      <c r="F77" s="14" t="s">
        <v>23</v>
      </c>
      <c r="G77" s="16">
        <v>50</v>
      </c>
    </row>
    <row r="78" spans="1:7" x14ac:dyDescent="0.25">
      <c r="A78" s="13" t="s">
        <v>2307</v>
      </c>
      <c r="B78" s="13">
        <v>1706</v>
      </c>
      <c r="C78" s="14" t="str">
        <f>+VLOOKUP(B78,[1]LISTE!$A$1:$D$431,4,FALSE)</f>
        <v>GRIRA LOKHDHIRI FREDJ</v>
      </c>
      <c r="D78" s="14" t="s">
        <v>186</v>
      </c>
      <c r="E78" s="15">
        <v>45887</v>
      </c>
      <c r="F78" s="14" t="s">
        <v>20</v>
      </c>
      <c r="G78" s="16">
        <v>41.582000000000001</v>
      </c>
    </row>
    <row r="79" spans="1:7" x14ac:dyDescent="0.25">
      <c r="A79" s="13" t="s">
        <v>2309</v>
      </c>
      <c r="B79" s="13">
        <v>1728</v>
      </c>
      <c r="C79" s="14" t="str">
        <f>+VLOOKUP(B79,[1]LISTE!$A$1:$D$431,4,FALSE)</f>
        <v>SLAMA DHAFER</v>
      </c>
      <c r="D79" s="15" t="s">
        <v>163</v>
      </c>
      <c r="E79" s="15">
        <v>45903</v>
      </c>
      <c r="F79" s="14" t="s">
        <v>23</v>
      </c>
      <c r="G79" s="16">
        <v>50</v>
      </c>
    </row>
    <row r="80" spans="1:7" x14ac:dyDescent="0.25">
      <c r="A80" s="13" t="s">
        <v>2309</v>
      </c>
      <c r="B80" s="13">
        <v>1728</v>
      </c>
      <c r="C80" s="14" t="str">
        <f>+VLOOKUP(B80,[1]LISTE!$A$1:$D$431,4,FALSE)</f>
        <v>SLAMA DHAFER</v>
      </c>
      <c r="D80" s="14" t="s">
        <v>163</v>
      </c>
      <c r="E80" s="15">
        <v>45903</v>
      </c>
      <c r="F80" s="14" t="s">
        <v>20</v>
      </c>
      <c r="G80" s="16">
        <v>89.36</v>
      </c>
    </row>
    <row r="81" spans="1:7" x14ac:dyDescent="0.25">
      <c r="A81" s="13" t="s">
        <v>2275</v>
      </c>
      <c r="B81" s="13">
        <v>1740</v>
      </c>
      <c r="C81" s="14" t="str">
        <f>+VLOOKUP(B81,[1]LISTE!$A$1:$D$431,4,FALSE)</f>
        <v>YOUSSEF LOTFI</v>
      </c>
      <c r="D81" s="14" t="s">
        <v>144</v>
      </c>
      <c r="E81" s="15">
        <v>45896</v>
      </c>
      <c r="F81" s="14" t="s">
        <v>23</v>
      </c>
      <c r="G81" s="16">
        <v>1.5</v>
      </c>
    </row>
    <row r="82" spans="1:7" x14ac:dyDescent="0.25">
      <c r="A82" s="13" t="s">
        <v>2275</v>
      </c>
      <c r="B82" s="13">
        <v>1740</v>
      </c>
      <c r="C82" s="14" t="str">
        <f>+VLOOKUP(B82,[1]LISTE!$A$1:$D$431,4,FALSE)</f>
        <v>YOUSSEF LOTFI</v>
      </c>
      <c r="D82" s="14" t="s">
        <v>144</v>
      </c>
      <c r="E82" s="15">
        <v>45896</v>
      </c>
      <c r="F82" s="14" t="s">
        <v>20</v>
      </c>
      <c r="G82" s="16">
        <v>49.274999999999999</v>
      </c>
    </row>
    <row r="83" spans="1:7" x14ac:dyDescent="0.25">
      <c r="A83" s="13" t="s">
        <v>2267</v>
      </c>
      <c r="B83" s="13">
        <v>1741</v>
      </c>
      <c r="C83" s="14" t="str">
        <f>+VLOOKUP(B83,[1]LISTE!$A$1:$D$431,4,FALSE)</f>
        <v>HACHICHA ZIED</v>
      </c>
      <c r="D83" s="14" t="s">
        <v>1994</v>
      </c>
      <c r="E83" s="15">
        <v>45895</v>
      </c>
      <c r="F83" s="14" t="s">
        <v>18</v>
      </c>
      <c r="G83" s="16">
        <v>60</v>
      </c>
    </row>
    <row r="84" spans="1:7" x14ac:dyDescent="0.25">
      <c r="A84" s="13" t="s">
        <v>2267</v>
      </c>
      <c r="B84" s="13">
        <v>1741</v>
      </c>
      <c r="C84" s="14" t="str">
        <f>+VLOOKUP(B84,[1]LISTE!$A$1:$D$431,4,FALSE)</f>
        <v>HACHICHA ZIED</v>
      </c>
      <c r="D84" s="14" t="s">
        <v>1994</v>
      </c>
      <c r="E84" s="15">
        <v>45895</v>
      </c>
      <c r="F84" s="14" t="s">
        <v>20</v>
      </c>
      <c r="G84" s="16">
        <v>21.28</v>
      </c>
    </row>
    <row r="85" spans="1:7" x14ac:dyDescent="0.25">
      <c r="A85" s="13" t="s">
        <v>2335</v>
      </c>
      <c r="B85" s="13">
        <v>1741</v>
      </c>
      <c r="C85" s="14" t="str">
        <f>+VLOOKUP(B85,[1]LISTE!$A$1:$D$431,4,FALSE)</f>
        <v>HACHICHA ZIED</v>
      </c>
      <c r="D85" s="14" t="s">
        <v>22</v>
      </c>
      <c r="E85" s="15">
        <v>45906</v>
      </c>
      <c r="F85" s="14" t="s">
        <v>18</v>
      </c>
      <c r="G85" s="16">
        <v>70</v>
      </c>
    </row>
    <row r="86" spans="1:7" x14ac:dyDescent="0.25">
      <c r="A86" s="13" t="s">
        <v>2335</v>
      </c>
      <c r="B86" s="13">
        <v>1741</v>
      </c>
      <c r="C86" s="14" t="str">
        <f>+VLOOKUP(B86,[1]LISTE!$A$1:$D$431,4,FALSE)</f>
        <v>HACHICHA ZIED</v>
      </c>
      <c r="D86" s="14" t="s">
        <v>22</v>
      </c>
      <c r="E86" s="15">
        <v>45906</v>
      </c>
      <c r="F86" s="14" t="s">
        <v>20</v>
      </c>
      <c r="G86" s="16">
        <v>13.465</v>
      </c>
    </row>
    <row r="87" spans="1:7" x14ac:dyDescent="0.25">
      <c r="A87" s="13" t="s">
        <v>2334</v>
      </c>
      <c r="B87" s="13">
        <v>1767</v>
      </c>
      <c r="C87" s="14" t="str">
        <f>+VLOOKUP(B87,[1]LISTE!$A$1:$D$431,4,FALSE)</f>
        <v>B.H.SGHAIER NAOUFEL</v>
      </c>
      <c r="D87" s="14" t="s">
        <v>63</v>
      </c>
      <c r="E87" s="15">
        <v>45905</v>
      </c>
      <c r="F87" s="14" t="s">
        <v>23</v>
      </c>
      <c r="G87" s="16">
        <v>1.5</v>
      </c>
    </row>
    <row r="88" spans="1:7" x14ac:dyDescent="0.25">
      <c r="A88" s="13" t="s">
        <v>2334</v>
      </c>
      <c r="B88" s="13">
        <v>1767</v>
      </c>
      <c r="C88" s="14" t="str">
        <f>+VLOOKUP(B88,[1]LISTE!$A$1:$D$431,4,FALSE)</f>
        <v>B.H.SGHAIER NAOUFEL</v>
      </c>
      <c r="D88" s="14" t="s">
        <v>63</v>
      </c>
      <c r="E88" s="15">
        <v>45905</v>
      </c>
      <c r="F88" s="14" t="s">
        <v>20</v>
      </c>
      <c r="G88" s="16">
        <v>19.82</v>
      </c>
    </row>
    <row r="89" spans="1:7" x14ac:dyDescent="0.25">
      <c r="A89" s="13" t="s">
        <v>2292</v>
      </c>
      <c r="B89" s="13">
        <v>1773</v>
      </c>
      <c r="C89" s="14" t="str">
        <f>+VLOOKUP(B89,[1]LISTE!$A$1:$D$431,4,FALSE)</f>
        <v>GAIEB SAMI</v>
      </c>
      <c r="D89" s="14" t="s">
        <v>50</v>
      </c>
      <c r="E89" s="15">
        <v>45846</v>
      </c>
      <c r="F89" s="14" t="s">
        <v>18</v>
      </c>
      <c r="G89" s="16">
        <v>60</v>
      </c>
    </row>
    <row r="90" spans="1:7" x14ac:dyDescent="0.25">
      <c r="A90" s="13" t="s">
        <v>2292</v>
      </c>
      <c r="B90" s="13">
        <v>1773</v>
      </c>
      <c r="C90" s="14" t="str">
        <f>+VLOOKUP(B90,[1]LISTE!$A$1:$D$431,4,FALSE)</f>
        <v>GAIEB SAMI</v>
      </c>
      <c r="D90" s="14" t="s">
        <v>50</v>
      </c>
      <c r="E90" s="15">
        <v>45846</v>
      </c>
      <c r="F90" s="14" t="s">
        <v>20</v>
      </c>
      <c r="G90" s="16">
        <v>14.545</v>
      </c>
    </row>
    <row r="91" spans="1:7" x14ac:dyDescent="0.25">
      <c r="A91" s="13" t="s">
        <v>2283</v>
      </c>
      <c r="B91" s="13">
        <v>1774</v>
      </c>
      <c r="C91" s="14" t="str">
        <f>+VLOOKUP(B91,[1]LISTE!$A$1:$D$431,4,FALSE)</f>
        <v>BEN SALEM FAOUZI</v>
      </c>
      <c r="D91" s="14" t="s">
        <v>22</v>
      </c>
      <c r="E91" s="15">
        <v>45896</v>
      </c>
      <c r="F91" s="14" t="s">
        <v>23</v>
      </c>
      <c r="G91" s="16">
        <v>20</v>
      </c>
    </row>
    <row r="92" spans="1:7" x14ac:dyDescent="0.25">
      <c r="A92" s="13" t="s">
        <v>2283</v>
      </c>
      <c r="B92" s="13">
        <v>1774</v>
      </c>
      <c r="C92" s="14" t="str">
        <f>+VLOOKUP(B92,[1]LISTE!$A$1:$D$431,4,FALSE)</f>
        <v>BEN SALEM FAOUZI</v>
      </c>
      <c r="D92" s="14" t="s">
        <v>22</v>
      </c>
      <c r="E92" s="15">
        <v>45897</v>
      </c>
      <c r="F92" s="14" t="s">
        <v>20</v>
      </c>
      <c r="G92" s="16">
        <v>178.44499999999999</v>
      </c>
    </row>
    <row r="93" spans="1:7" x14ac:dyDescent="0.25">
      <c r="A93" s="13" t="s">
        <v>2315</v>
      </c>
      <c r="B93" s="13">
        <v>1781</v>
      </c>
      <c r="C93" s="14" t="str">
        <f>+VLOOKUP(B93,[1]LISTE!$A$1:$D$431,4,FALSE)</f>
        <v>KEMIMECH MOHAMED</v>
      </c>
      <c r="D93" s="15" t="s">
        <v>1634</v>
      </c>
      <c r="E93" s="15">
        <v>45897</v>
      </c>
      <c r="F93" s="14" t="s">
        <v>23</v>
      </c>
      <c r="G93" s="16">
        <v>50</v>
      </c>
    </row>
    <row r="94" spans="1:7" x14ac:dyDescent="0.25">
      <c r="A94" s="13" t="s">
        <v>2315</v>
      </c>
      <c r="B94" s="13">
        <v>1781</v>
      </c>
      <c r="C94" s="14" t="str">
        <f>+VLOOKUP(B94,[1]LISTE!$A$1:$D$431,4,FALSE)</f>
        <v>KEMIMECH MOHAMED</v>
      </c>
      <c r="D94" s="14" t="s">
        <v>1634</v>
      </c>
      <c r="E94" s="15">
        <v>45897</v>
      </c>
      <c r="F94" s="14" t="s">
        <v>20</v>
      </c>
      <c r="G94" s="16">
        <v>25.954000000000001</v>
      </c>
    </row>
    <row r="95" spans="1:7" x14ac:dyDescent="0.25">
      <c r="A95" s="13" t="s">
        <v>2297</v>
      </c>
      <c r="B95" s="13">
        <v>1786</v>
      </c>
      <c r="C95" s="14" t="str">
        <f>+VLOOKUP(B95,[1]LISTE!$A$1:$D$431,4,FALSE)</f>
        <v>GUIZANI MOHAMED</v>
      </c>
      <c r="D95" s="14" t="s">
        <v>1534</v>
      </c>
      <c r="E95" s="15">
        <v>45899</v>
      </c>
      <c r="F95" s="14" t="s">
        <v>23</v>
      </c>
      <c r="G95" s="16">
        <v>1.5</v>
      </c>
    </row>
    <row r="96" spans="1:7" x14ac:dyDescent="0.25">
      <c r="A96" s="13" t="s">
        <v>2297</v>
      </c>
      <c r="B96" s="13">
        <v>1786</v>
      </c>
      <c r="C96" s="14" t="str">
        <f>+VLOOKUP(B96,[1]LISTE!$A$1:$D$431,4,FALSE)</f>
        <v>GUIZANI MOHAMED</v>
      </c>
      <c r="D96" s="15" t="s">
        <v>1534</v>
      </c>
      <c r="E96" s="15">
        <v>45899</v>
      </c>
      <c r="F96" s="14" t="s">
        <v>20</v>
      </c>
      <c r="G96" s="16">
        <v>48.695</v>
      </c>
    </row>
    <row r="97" spans="1:7" x14ac:dyDescent="0.25">
      <c r="A97" s="13" t="s">
        <v>2295</v>
      </c>
      <c r="B97" s="13">
        <v>1787</v>
      </c>
      <c r="C97" s="14" t="str">
        <f>+VLOOKUP(B97,[1]LISTE!$A$1:$D$431,4,FALSE)</f>
        <v>BEN ALITA NEBIL</v>
      </c>
      <c r="D97" s="15" t="s">
        <v>22</v>
      </c>
      <c r="E97" s="15">
        <v>45873</v>
      </c>
      <c r="F97" s="14" t="s">
        <v>23</v>
      </c>
      <c r="G97" s="16">
        <v>10</v>
      </c>
    </row>
    <row r="98" spans="1:7" x14ac:dyDescent="0.25">
      <c r="A98" s="13" t="s">
        <v>2295</v>
      </c>
      <c r="B98" s="13">
        <v>1787</v>
      </c>
      <c r="C98" s="14" t="str">
        <f>+VLOOKUP(B98,[1]LISTE!$A$1:$D$431,4,FALSE)</f>
        <v>BEN ALITA NEBIL</v>
      </c>
      <c r="D98" s="14" t="s">
        <v>22</v>
      </c>
      <c r="E98" s="15">
        <v>45888</v>
      </c>
      <c r="F98" s="14" t="s">
        <v>18</v>
      </c>
      <c r="G98" s="16">
        <v>70</v>
      </c>
    </row>
    <row r="99" spans="1:7" x14ac:dyDescent="0.25">
      <c r="A99" s="13" t="s">
        <v>2295</v>
      </c>
      <c r="B99" s="13">
        <v>1787</v>
      </c>
      <c r="C99" s="14" t="str">
        <f>+VLOOKUP(B99,[1]LISTE!$A$1:$D$431,4,FALSE)</f>
        <v>BEN ALITA NEBIL</v>
      </c>
      <c r="D99" s="14" t="s">
        <v>22</v>
      </c>
      <c r="E99" s="15">
        <v>45888</v>
      </c>
      <c r="F99" s="14" t="s">
        <v>20</v>
      </c>
      <c r="G99" s="16">
        <v>5.4029999999999996</v>
      </c>
    </row>
    <row r="100" spans="1:7" x14ac:dyDescent="0.25">
      <c r="A100" s="13" t="s">
        <v>2295</v>
      </c>
      <c r="B100" s="13">
        <v>1787</v>
      </c>
      <c r="C100" s="14" t="str">
        <f>+VLOOKUP(B100,[1]LISTE!$A$1:$D$431,4,FALSE)</f>
        <v>BEN ALITA NEBIL</v>
      </c>
      <c r="D100" s="15" t="s">
        <v>22</v>
      </c>
      <c r="E100" s="15">
        <v>45888</v>
      </c>
      <c r="F100" s="14" t="s">
        <v>69</v>
      </c>
      <c r="G100" s="16">
        <v>427</v>
      </c>
    </row>
    <row r="101" spans="1:7" x14ac:dyDescent="0.25">
      <c r="A101" s="13" t="s">
        <v>2301</v>
      </c>
      <c r="B101" s="13">
        <v>1796</v>
      </c>
      <c r="C101" s="14" t="str">
        <f>+VLOOKUP(B101,[1]LISTE!$A$1:$D$431,4,FALSE)</f>
        <v>BEL HADJ HASSINE IMED</v>
      </c>
      <c r="D101" s="14" t="s">
        <v>22</v>
      </c>
      <c r="E101" s="15">
        <v>45880</v>
      </c>
      <c r="F101" s="14" t="s">
        <v>18</v>
      </c>
      <c r="G101" s="16">
        <v>70</v>
      </c>
    </row>
    <row r="102" spans="1:7" x14ac:dyDescent="0.25">
      <c r="A102" s="13" t="s">
        <v>2301</v>
      </c>
      <c r="B102" s="13">
        <v>1796</v>
      </c>
      <c r="C102" s="14" t="str">
        <f>+VLOOKUP(B102,[1]LISTE!$A$1:$D$431,4,FALSE)</f>
        <v>BEL HADJ HASSINE IMED</v>
      </c>
      <c r="D102" s="14" t="s">
        <v>22</v>
      </c>
      <c r="E102" s="15">
        <v>45899</v>
      </c>
      <c r="F102" s="14" t="s">
        <v>20</v>
      </c>
      <c r="G102" s="16">
        <v>24.771000000000001</v>
      </c>
    </row>
    <row r="103" spans="1:7" x14ac:dyDescent="0.25">
      <c r="A103" s="13" t="s">
        <v>2243</v>
      </c>
      <c r="B103" s="13">
        <v>1803</v>
      </c>
      <c r="C103" s="14" t="str">
        <f>+VLOOKUP(B103,[1]LISTE!$A$1:$D$431,4,FALSE)</f>
        <v>GAM HAMDI</v>
      </c>
      <c r="D103" s="14" t="s">
        <v>186</v>
      </c>
      <c r="E103" s="15">
        <v>45889</v>
      </c>
      <c r="F103" s="14" t="s">
        <v>23</v>
      </c>
      <c r="G103" s="16">
        <v>3</v>
      </c>
    </row>
    <row r="104" spans="1:7" x14ac:dyDescent="0.25">
      <c r="A104" s="13" t="s">
        <v>2243</v>
      </c>
      <c r="B104" s="13">
        <v>1803</v>
      </c>
      <c r="C104" s="14" t="str">
        <f>+VLOOKUP(B104,[1]LISTE!$A$1:$D$431,4,FALSE)</f>
        <v>GAM HAMDI</v>
      </c>
      <c r="D104" s="15" t="s">
        <v>186</v>
      </c>
      <c r="E104" s="15">
        <v>45889</v>
      </c>
      <c r="F104" s="14" t="s">
        <v>19</v>
      </c>
      <c r="G104" s="16">
        <v>6.48</v>
      </c>
    </row>
    <row r="105" spans="1:7" x14ac:dyDescent="0.25">
      <c r="A105" s="13" t="s">
        <v>2243</v>
      </c>
      <c r="B105" s="13">
        <v>1803</v>
      </c>
      <c r="C105" s="14" t="str">
        <f>+VLOOKUP(B105,[1]LISTE!$A$1:$D$431,4,FALSE)</f>
        <v>GAM HAMDI</v>
      </c>
      <c r="D105" s="14" t="s">
        <v>186</v>
      </c>
      <c r="E105" s="15">
        <v>45889</v>
      </c>
      <c r="F105" s="14" t="s">
        <v>20</v>
      </c>
      <c r="G105" s="16">
        <v>23.77</v>
      </c>
    </row>
    <row r="106" spans="1:7" x14ac:dyDescent="0.25">
      <c r="A106" s="13" t="s">
        <v>2244</v>
      </c>
      <c r="B106" s="13">
        <v>1803</v>
      </c>
      <c r="C106" s="14" t="str">
        <f>+VLOOKUP(B106,[1]LISTE!$A$1:$D$431,4,FALSE)</f>
        <v>GAM HAMDI</v>
      </c>
      <c r="D106" s="14" t="s">
        <v>22</v>
      </c>
      <c r="E106" s="15">
        <v>45864</v>
      </c>
      <c r="F106" s="14" t="s">
        <v>23</v>
      </c>
      <c r="G106" s="16">
        <v>3</v>
      </c>
    </row>
    <row r="107" spans="1:7" x14ac:dyDescent="0.25">
      <c r="A107" s="13" t="s">
        <v>2244</v>
      </c>
      <c r="B107" s="13">
        <v>1803</v>
      </c>
      <c r="C107" s="14" t="str">
        <f>+VLOOKUP(B107,[1]LISTE!$A$1:$D$431,4,FALSE)</f>
        <v>GAM HAMDI</v>
      </c>
      <c r="D107" s="14" t="s">
        <v>22</v>
      </c>
      <c r="E107" s="15">
        <v>45864</v>
      </c>
      <c r="F107" s="14" t="s">
        <v>20</v>
      </c>
      <c r="G107" s="16">
        <v>18.05</v>
      </c>
    </row>
    <row r="108" spans="1:7" x14ac:dyDescent="0.25">
      <c r="A108" s="13" t="s">
        <v>2326</v>
      </c>
      <c r="B108" s="13">
        <v>1833</v>
      </c>
      <c r="C108" s="14" t="str">
        <f>+VLOOKUP(B108,[1]LISTE!$A$1:$D$431,4,FALSE)</f>
        <v>BOUZAABIA MOHAMED</v>
      </c>
      <c r="D108" s="14" t="s">
        <v>22</v>
      </c>
      <c r="E108" s="15">
        <v>45908</v>
      </c>
      <c r="F108" s="14" t="s">
        <v>23</v>
      </c>
      <c r="G108" s="16">
        <v>40</v>
      </c>
    </row>
    <row r="109" spans="1:7" x14ac:dyDescent="0.25">
      <c r="A109" s="13" t="s">
        <v>2326</v>
      </c>
      <c r="B109" s="13">
        <v>1833</v>
      </c>
      <c r="C109" s="14" t="str">
        <f>+VLOOKUP(B109,[1]LISTE!$A$1:$D$431,4,FALSE)</f>
        <v>BOUZAABIA MOHAMED</v>
      </c>
      <c r="D109" s="14" t="s">
        <v>22</v>
      </c>
      <c r="E109" s="15">
        <v>45908</v>
      </c>
      <c r="F109" s="14" t="s">
        <v>20</v>
      </c>
      <c r="G109" s="16">
        <v>29.634</v>
      </c>
    </row>
    <row r="110" spans="1:7" x14ac:dyDescent="0.25">
      <c r="A110" s="13" t="s">
        <v>2254</v>
      </c>
      <c r="B110" s="13">
        <v>1836</v>
      </c>
      <c r="C110" s="14" t="str">
        <f>+VLOOKUP(B110,[1]LISTE!$A$1:$D$431,4,FALSE)</f>
        <v>BEN KALIA LOTFI</v>
      </c>
      <c r="D110" s="15" t="s">
        <v>22</v>
      </c>
      <c r="E110" s="15">
        <v>45883</v>
      </c>
      <c r="F110" s="14" t="s">
        <v>23</v>
      </c>
      <c r="G110" s="16">
        <v>50</v>
      </c>
    </row>
    <row r="111" spans="1:7" x14ac:dyDescent="0.25">
      <c r="A111" s="13" t="s">
        <v>2254</v>
      </c>
      <c r="B111" s="13">
        <v>1836</v>
      </c>
      <c r="C111" s="14" t="str">
        <f>+VLOOKUP(B111,[1]LISTE!$A$1:$D$431,4,FALSE)</f>
        <v>BEN KALIA LOTFI</v>
      </c>
      <c r="D111" s="15" t="s">
        <v>22</v>
      </c>
      <c r="E111" s="15">
        <v>45883</v>
      </c>
      <c r="F111" s="14" t="s">
        <v>20</v>
      </c>
      <c r="G111" s="16">
        <v>10.651999999999999</v>
      </c>
    </row>
    <row r="112" spans="1:7" x14ac:dyDescent="0.25">
      <c r="A112" s="13" t="s">
        <v>2254</v>
      </c>
      <c r="B112" s="13">
        <v>1836</v>
      </c>
      <c r="C112" s="14" t="str">
        <f>+VLOOKUP(B112,[1]LISTE!$A$1:$D$431,4,FALSE)</f>
        <v>BEN KALIA LOTFI</v>
      </c>
      <c r="D112" s="15" t="s">
        <v>22</v>
      </c>
      <c r="E112" s="15">
        <v>45889</v>
      </c>
      <c r="F112" s="14" t="s">
        <v>20</v>
      </c>
      <c r="G112" s="16">
        <v>14.83</v>
      </c>
    </row>
    <row r="113" spans="1:7" x14ac:dyDescent="0.25">
      <c r="A113" s="13" t="s">
        <v>2254</v>
      </c>
      <c r="B113" s="13">
        <v>1836</v>
      </c>
      <c r="C113" s="14" t="str">
        <f>+VLOOKUP(B113,[1]LISTE!$A$1:$D$431,4,FALSE)</f>
        <v>BEN KALIA LOTFI</v>
      </c>
      <c r="D113" s="15" t="s">
        <v>22</v>
      </c>
      <c r="E113" s="15">
        <v>45889</v>
      </c>
      <c r="F113" s="14" t="s">
        <v>65</v>
      </c>
      <c r="G113" s="16">
        <v>6</v>
      </c>
    </row>
    <row r="114" spans="1:7" x14ac:dyDescent="0.25">
      <c r="A114" s="13" t="s">
        <v>2254</v>
      </c>
      <c r="B114" s="13">
        <v>1836</v>
      </c>
      <c r="C114" s="14" t="str">
        <f>+VLOOKUP(B114,[1]LISTE!$A$1:$D$431,4,FALSE)</f>
        <v>BEN KALIA LOTFI</v>
      </c>
      <c r="D114" s="15" t="s">
        <v>22</v>
      </c>
      <c r="E114" s="15">
        <v>45889</v>
      </c>
      <c r="F114" s="14" t="s">
        <v>24</v>
      </c>
      <c r="G114" s="16">
        <v>150</v>
      </c>
    </row>
    <row r="115" spans="1:7" x14ac:dyDescent="0.25">
      <c r="A115" s="13" t="s">
        <v>2323</v>
      </c>
      <c r="B115" s="13">
        <v>1836</v>
      </c>
      <c r="C115" s="14" t="str">
        <f>+VLOOKUP(B115,[1]LISTE!$A$1:$D$431,4,FALSE)</f>
        <v>BEN KALIA LOTFI</v>
      </c>
      <c r="D115" s="14" t="s">
        <v>119</v>
      </c>
      <c r="E115" s="15">
        <v>45902</v>
      </c>
      <c r="F115" s="14" t="s">
        <v>23</v>
      </c>
      <c r="G115" s="16">
        <v>20</v>
      </c>
    </row>
    <row r="116" spans="1:7" x14ac:dyDescent="0.25">
      <c r="A116" s="13" t="s">
        <v>2323</v>
      </c>
      <c r="B116" s="13">
        <v>1836</v>
      </c>
      <c r="C116" s="14" t="str">
        <f>+VLOOKUP(B116,[1]LISTE!$A$1:$D$431,4,FALSE)</f>
        <v>BEN KALIA LOTFI</v>
      </c>
      <c r="D116" s="14" t="s">
        <v>119</v>
      </c>
      <c r="E116" s="15">
        <v>45902</v>
      </c>
      <c r="F116" s="14" t="s">
        <v>20</v>
      </c>
      <c r="G116" s="16">
        <v>14.664999999999999</v>
      </c>
    </row>
    <row r="117" spans="1:7" x14ac:dyDescent="0.25">
      <c r="A117" s="13" t="s">
        <v>2323</v>
      </c>
      <c r="B117" s="13">
        <v>1836</v>
      </c>
      <c r="C117" s="14" t="str">
        <f>+VLOOKUP(B117,[1]LISTE!$A$1:$D$431,4,FALSE)</f>
        <v>BEN KALIA LOTFI</v>
      </c>
      <c r="D117" s="15" t="s">
        <v>119</v>
      </c>
      <c r="E117" s="15">
        <v>45903</v>
      </c>
      <c r="F117" s="14" t="s">
        <v>19</v>
      </c>
      <c r="G117" s="16">
        <v>74.540000000000006</v>
      </c>
    </row>
    <row r="118" spans="1:7" x14ac:dyDescent="0.25">
      <c r="A118" s="13" t="s">
        <v>2330</v>
      </c>
      <c r="B118" s="13">
        <v>1856</v>
      </c>
      <c r="C118" s="14" t="str">
        <f>+VLOOKUP(B118,[1]LISTE!$A$1:$D$431,4,FALSE)</f>
        <v>ABDELLATIF MOHAMED ALI</v>
      </c>
      <c r="D118" s="14" t="s">
        <v>329</v>
      </c>
      <c r="E118" s="15">
        <v>45894</v>
      </c>
      <c r="F118" s="14" t="s">
        <v>23</v>
      </c>
      <c r="G118" s="16">
        <v>45</v>
      </c>
    </row>
    <row r="119" spans="1:7" x14ac:dyDescent="0.25">
      <c r="A119" s="13" t="s">
        <v>2330</v>
      </c>
      <c r="B119" s="13">
        <v>1856</v>
      </c>
      <c r="C119" s="14" t="str">
        <f>+VLOOKUP(B119,[1]LISTE!$A$1:$D$431,4,FALSE)</f>
        <v>ABDELLATIF MOHAMED ALI</v>
      </c>
      <c r="D119" s="14" t="s">
        <v>329</v>
      </c>
      <c r="E119" s="15">
        <v>45894</v>
      </c>
      <c r="F119" s="14" t="s">
        <v>20</v>
      </c>
      <c r="G119" s="16">
        <v>61.41</v>
      </c>
    </row>
    <row r="120" spans="1:7" x14ac:dyDescent="0.25">
      <c r="A120" s="13" t="s">
        <v>2331</v>
      </c>
      <c r="B120" s="13">
        <v>1856</v>
      </c>
      <c r="C120" s="14" t="str">
        <f>+VLOOKUP(B120,[1]LISTE!$A$1:$D$431,4,FALSE)</f>
        <v>ABDELLATIF MOHAMED ALI</v>
      </c>
      <c r="D120" s="14" t="s">
        <v>75</v>
      </c>
      <c r="E120" s="15">
        <v>45897</v>
      </c>
      <c r="F120" s="14" t="s">
        <v>23</v>
      </c>
      <c r="G120" s="16">
        <v>45</v>
      </c>
    </row>
    <row r="121" spans="1:7" x14ac:dyDescent="0.25">
      <c r="A121" s="13" t="s">
        <v>2331</v>
      </c>
      <c r="B121" s="13">
        <v>1856</v>
      </c>
      <c r="C121" s="14" t="str">
        <f>+VLOOKUP(B121,[1]LISTE!$A$1:$D$431,4,FALSE)</f>
        <v>ABDELLATIF MOHAMED ALI</v>
      </c>
      <c r="D121" s="14" t="s">
        <v>75</v>
      </c>
      <c r="E121" s="15">
        <v>45897</v>
      </c>
      <c r="F121" s="14" t="s">
        <v>20</v>
      </c>
      <c r="G121" s="16">
        <v>73.84</v>
      </c>
    </row>
    <row r="122" spans="1:7" x14ac:dyDescent="0.25">
      <c r="A122" s="13" t="s">
        <v>2298</v>
      </c>
      <c r="B122" s="13">
        <v>1882</v>
      </c>
      <c r="C122" s="14" t="str">
        <f>+VLOOKUP(B122,[1]LISTE!$A$1:$D$431,4,FALSE)</f>
        <v>AMARA SOFIANE</v>
      </c>
      <c r="D122" s="15" t="s">
        <v>2299</v>
      </c>
      <c r="E122" s="15">
        <v>45897</v>
      </c>
      <c r="F122" s="14" t="s">
        <v>18</v>
      </c>
      <c r="G122" s="16">
        <v>70</v>
      </c>
    </row>
    <row r="123" spans="1:7" x14ac:dyDescent="0.25">
      <c r="A123" s="13" t="s">
        <v>2298</v>
      </c>
      <c r="B123" s="13">
        <v>1882</v>
      </c>
      <c r="C123" s="14" t="str">
        <f>+VLOOKUP(B123,[1]LISTE!$A$1:$D$431,4,FALSE)</f>
        <v>AMARA SOFIANE</v>
      </c>
      <c r="D123" s="14" t="s">
        <v>2299</v>
      </c>
      <c r="E123" s="15">
        <v>45898</v>
      </c>
      <c r="F123" s="14" t="s">
        <v>69</v>
      </c>
      <c r="G123" s="16">
        <v>320</v>
      </c>
    </row>
    <row r="124" spans="1:7" x14ac:dyDescent="0.25">
      <c r="A124" s="13" t="s">
        <v>2300</v>
      </c>
      <c r="B124" s="13">
        <v>1882</v>
      </c>
      <c r="C124" s="14" t="str">
        <f>+VLOOKUP(B124,[1]LISTE!$A$1:$D$431,4,FALSE)</f>
        <v>AMARA SOFIANE</v>
      </c>
      <c r="D124" s="14" t="s">
        <v>277</v>
      </c>
      <c r="E124" s="15">
        <v>45897</v>
      </c>
      <c r="F124" s="14" t="s">
        <v>18</v>
      </c>
      <c r="G124" s="16">
        <v>70</v>
      </c>
    </row>
    <row r="125" spans="1:7" x14ac:dyDescent="0.25">
      <c r="A125" s="13" t="s">
        <v>2300</v>
      </c>
      <c r="B125" s="13">
        <v>1882</v>
      </c>
      <c r="C125" s="14" t="str">
        <f>+VLOOKUP(B125,[1]LISTE!$A$1:$D$431,4,FALSE)</f>
        <v>AMARA SOFIANE</v>
      </c>
      <c r="D125" s="14" t="s">
        <v>277</v>
      </c>
      <c r="E125" s="15">
        <v>45898</v>
      </c>
      <c r="F125" s="14" t="s">
        <v>20</v>
      </c>
      <c r="G125" s="16">
        <v>75.072000000000003</v>
      </c>
    </row>
    <row r="126" spans="1:7" x14ac:dyDescent="0.25">
      <c r="A126" s="13" t="s">
        <v>2300</v>
      </c>
      <c r="B126" s="13">
        <v>1882</v>
      </c>
      <c r="C126" s="14" t="str">
        <f>+VLOOKUP(B126,[1]LISTE!$A$1:$D$431,4,FALSE)</f>
        <v>AMARA SOFIANE</v>
      </c>
      <c r="D126" s="14" t="s">
        <v>277</v>
      </c>
      <c r="E126" s="15">
        <v>45898</v>
      </c>
      <c r="F126" s="14" t="s">
        <v>69</v>
      </c>
      <c r="G126" s="16">
        <v>390</v>
      </c>
    </row>
    <row r="127" spans="1:7" x14ac:dyDescent="0.25">
      <c r="A127" s="13" t="s">
        <v>2276</v>
      </c>
      <c r="B127" s="13">
        <v>1887</v>
      </c>
      <c r="C127" s="14" t="str">
        <f>+VLOOKUP(B127,[1]LISTE!$A$1:$D$431,4,FALSE)</f>
        <v>BEN SALAH HATEM</v>
      </c>
      <c r="D127" s="14" t="s">
        <v>2277</v>
      </c>
      <c r="E127" s="15">
        <v>45887</v>
      </c>
      <c r="F127" s="14" t="s">
        <v>18</v>
      </c>
      <c r="G127" s="16">
        <v>70</v>
      </c>
    </row>
    <row r="128" spans="1:7" x14ac:dyDescent="0.25">
      <c r="A128" s="13" t="s">
        <v>2276</v>
      </c>
      <c r="B128" s="13">
        <v>1887</v>
      </c>
      <c r="C128" s="14" t="str">
        <f>+VLOOKUP(B128,[1]LISTE!$A$1:$D$431,4,FALSE)</f>
        <v>BEN SALAH HATEM</v>
      </c>
      <c r="D128" s="14" t="s">
        <v>2277</v>
      </c>
      <c r="E128" s="15">
        <v>45887</v>
      </c>
      <c r="F128" s="14" t="s">
        <v>20</v>
      </c>
      <c r="G128" s="16">
        <v>16.736999999999998</v>
      </c>
    </row>
    <row r="129" spans="1:7" x14ac:dyDescent="0.25">
      <c r="A129" s="13" t="s">
        <v>2268</v>
      </c>
      <c r="B129" s="13">
        <v>1901</v>
      </c>
      <c r="C129" s="14" t="str">
        <f>+VLOOKUP(B129,[1]LISTE!$A$1:$D$431,4,FALSE)</f>
        <v>BACH ZOUHAIER</v>
      </c>
      <c r="D129" s="14" t="s">
        <v>792</v>
      </c>
      <c r="E129" s="15">
        <v>45881</v>
      </c>
      <c r="F129" s="14" t="s">
        <v>20</v>
      </c>
      <c r="G129" s="16">
        <v>24.495000000000001</v>
      </c>
    </row>
    <row r="130" spans="1:7" x14ac:dyDescent="0.25">
      <c r="A130" s="13" t="s">
        <v>2333</v>
      </c>
      <c r="B130" s="13">
        <v>1905</v>
      </c>
      <c r="C130" s="14" t="str">
        <f>+VLOOKUP(B130,[1]LISTE!$A$1:$D$431,4,FALSE)</f>
        <v>LADHARI MOHAMED</v>
      </c>
      <c r="D130" s="14" t="s">
        <v>200</v>
      </c>
      <c r="E130" s="15">
        <v>45901</v>
      </c>
      <c r="F130" s="14" t="s">
        <v>18</v>
      </c>
      <c r="G130" s="16">
        <v>70</v>
      </c>
    </row>
    <row r="131" spans="1:7" x14ac:dyDescent="0.25">
      <c r="A131" s="13" t="s">
        <v>2333</v>
      </c>
      <c r="B131" s="13">
        <v>1905</v>
      </c>
      <c r="C131" s="14" t="str">
        <f>+VLOOKUP(B131,[1]LISTE!$A$1:$D$431,4,FALSE)</f>
        <v>LADHARI MOHAMED</v>
      </c>
      <c r="D131" s="14" t="s">
        <v>200</v>
      </c>
      <c r="E131" s="15">
        <v>45901</v>
      </c>
      <c r="F131" s="14" t="s">
        <v>69</v>
      </c>
      <c r="G131" s="16">
        <v>81</v>
      </c>
    </row>
    <row r="132" spans="1:7" x14ac:dyDescent="0.25">
      <c r="A132" s="13" t="s">
        <v>2246</v>
      </c>
      <c r="B132" s="13">
        <v>1907</v>
      </c>
      <c r="C132" s="14" t="str">
        <f>+VLOOKUP(B132,[1]LISTE!$A$1:$D$431,4,FALSE)</f>
        <v>MAMIA NEJMEDDINE</v>
      </c>
      <c r="D132" s="15" t="s">
        <v>22</v>
      </c>
      <c r="E132" s="15">
        <v>45895</v>
      </c>
      <c r="F132" s="14" t="s">
        <v>18</v>
      </c>
      <c r="G132" s="16">
        <v>80</v>
      </c>
    </row>
    <row r="133" spans="1:7" x14ac:dyDescent="0.25">
      <c r="A133" s="13" t="s">
        <v>2246</v>
      </c>
      <c r="B133" s="13">
        <v>1907</v>
      </c>
      <c r="C133" s="14" t="str">
        <f>+VLOOKUP(B133,[1]LISTE!$A$1:$D$431,4,FALSE)</f>
        <v>MAMIA NEJMEDDINE</v>
      </c>
      <c r="D133" s="14" t="s">
        <v>22</v>
      </c>
      <c r="E133" s="15">
        <v>45895</v>
      </c>
      <c r="F133" s="14" t="s">
        <v>20</v>
      </c>
      <c r="G133" s="16">
        <v>10.54</v>
      </c>
    </row>
    <row r="134" spans="1:7" x14ac:dyDescent="0.25">
      <c r="A134" s="13" t="s">
        <v>2304</v>
      </c>
      <c r="B134" s="13">
        <v>1911</v>
      </c>
      <c r="C134" s="14" t="str">
        <f>+VLOOKUP(B134,[1]LISTE!$A$1:$D$431,4,FALSE)</f>
        <v>MEJRI KHELIL</v>
      </c>
      <c r="D134" s="14" t="s">
        <v>1165</v>
      </c>
      <c r="E134" s="15">
        <v>45902</v>
      </c>
      <c r="F134" s="14" t="s">
        <v>18</v>
      </c>
      <c r="G134" s="16">
        <v>70</v>
      </c>
    </row>
    <row r="135" spans="1:7" x14ac:dyDescent="0.25">
      <c r="A135" s="13" t="s">
        <v>2304</v>
      </c>
      <c r="B135" s="13">
        <v>1911</v>
      </c>
      <c r="C135" s="14" t="str">
        <f>+VLOOKUP(B135,[1]LISTE!$A$1:$D$431,4,FALSE)</f>
        <v>MEJRI KHELIL</v>
      </c>
      <c r="D135" s="15" t="s">
        <v>1165</v>
      </c>
      <c r="E135" s="15">
        <v>45902</v>
      </c>
      <c r="F135" s="14" t="s">
        <v>65</v>
      </c>
      <c r="G135" s="16">
        <v>30</v>
      </c>
    </row>
    <row r="136" spans="1:7" x14ac:dyDescent="0.25">
      <c r="A136" s="13" t="s">
        <v>2304</v>
      </c>
      <c r="B136" s="13">
        <v>1911</v>
      </c>
      <c r="C136" s="14" t="str">
        <f>+VLOOKUP(B136,[1]LISTE!$A$1:$D$431,4,FALSE)</f>
        <v>MEJRI KHELIL</v>
      </c>
      <c r="D136" s="15" t="s">
        <v>1165</v>
      </c>
      <c r="E136" s="15">
        <v>45902</v>
      </c>
      <c r="F136" s="14" t="s">
        <v>20</v>
      </c>
      <c r="G136" s="16">
        <v>5.55</v>
      </c>
    </row>
    <row r="137" spans="1:7" x14ac:dyDescent="0.25">
      <c r="A137" s="13" t="s">
        <v>2310</v>
      </c>
      <c r="B137" s="13">
        <v>1922</v>
      </c>
      <c r="C137" s="14" t="str">
        <f>+VLOOKUP(B137,[1]LISTE!$A$1:$D$431,4,FALSE)</f>
        <v>MAHJOUB FAKER</v>
      </c>
      <c r="D137" s="15" t="s">
        <v>22</v>
      </c>
      <c r="E137" s="15">
        <v>45881</v>
      </c>
      <c r="F137" s="14" t="s">
        <v>18</v>
      </c>
      <c r="G137" s="16">
        <v>70</v>
      </c>
    </row>
    <row r="138" spans="1:7" x14ac:dyDescent="0.25">
      <c r="A138" s="13" t="s">
        <v>2310</v>
      </c>
      <c r="B138" s="13">
        <v>1922</v>
      </c>
      <c r="C138" s="14" t="str">
        <f>+VLOOKUP(B138,[1]LISTE!$A$1:$D$431,4,FALSE)</f>
        <v>MAHJOUB FAKER</v>
      </c>
      <c r="D138" s="14" t="s">
        <v>22</v>
      </c>
      <c r="E138" s="15">
        <v>45881</v>
      </c>
      <c r="F138" s="14" t="s">
        <v>20</v>
      </c>
      <c r="G138" s="16">
        <v>114.432</v>
      </c>
    </row>
    <row r="139" spans="1:7" x14ac:dyDescent="0.25">
      <c r="A139" s="13" t="s">
        <v>2263</v>
      </c>
      <c r="B139" s="13">
        <v>1928</v>
      </c>
      <c r="C139" s="14" t="str">
        <f>+VLOOKUP(B139,[1]LISTE!$A$1:$D$431,4,FALSE)</f>
        <v>ZAGGAR JAMEL</v>
      </c>
      <c r="D139" s="14" t="s">
        <v>513</v>
      </c>
      <c r="E139" s="15">
        <v>45896</v>
      </c>
      <c r="F139" s="14" t="s">
        <v>20</v>
      </c>
      <c r="G139" s="16">
        <v>30.881</v>
      </c>
    </row>
    <row r="140" spans="1:7" x14ac:dyDescent="0.25">
      <c r="A140" s="13" t="s">
        <v>2291</v>
      </c>
      <c r="B140" s="13">
        <v>1936</v>
      </c>
      <c r="C140" s="14" t="str">
        <f>+VLOOKUP(B140,[1]LISTE!$A$1:$D$431,4,FALSE)</f>
        <v>JLASSI KHALED</v>
      </c>
      <c r="D140" s="14" t="s">
        <v>349</v>
      </c>
      <c r="E140" s="15">
        <v>45882</v>
      </c>
      <c r="F140" s="14" t="s">
        <v>18</v>
      </c>
      <c r="G140" s="16">
        <v>60</v>
      </c>
    </row>
    <row r="141" spans="1:7" x14ac:dyDescent="0.25">
      <c r="A141" s="13" t="s">
        <v>2291</v>
      </c>
      <c r="B141" s="13">
        <v>1936</v>
      </c>
      <c r="C141" s="14" t="str">
        <f>+VLOOKUP(B141,[1]LISTE!$A$1:$D$431,4,FALSE)</f>
        <v>JLASSI KHALED</v>
      </c>
      <c r="D141" s="14" t="s">
        <v>349</v>
      </c>
      <c r="E141" s="15">
        <v>45885</v>
      </c>
      <c r="F141" s="14" t="s">
        <v>19</v>
      </c>
      <c r="G141" s="16">
        <v>67.87</v>
      </c>
    </row>
    <row r="142" spans="1:7" x14ac:dyDescent="0.25">
      <c r="A142" s="13" t="s">
        <v>2291</v>
      </c>
      <c r="B142" s="13">
        <v>1936</v>
      </c>
      <c r="C142" s="14" t="str">
        <f>+VLOOKUP(B142,[1]LISTE!$A$1:$D$431,4,FALSE)</f>
        <v>JLASSI KHALED</v>
      </c>
      <c r="D142" s="14" t="s">
        <v>349</v>
      </c>
      <c r="E142" s="15">
        <v>45890</v>
      </c>
      <c r="F142" s="14" t="s">
        <v>20</v>
      </c>
      <c r="G142" s="16">
        <v>55.078000000000003</v>
      </c>
    </row>
    <row r="143" spans="1:7" x14ac:dyDescent="0.25">
      <c r="A143" s="13" t="s">
        <v>2291</v>
      </c>
      <c r="B143" s="13">
        <v>1936</v>
      </c>
      <c r="C143" s="14" t="str">
        <f>+VLOOKUP(B143,[1]LISTE!$A$1:$D$431,4,FALSE)</f>
        <v>JLASSI KHALED</v>
      </c>
      <c r="D143" s="14" t="s">
        <v>349</v>
      </c>
      <c r="E143" s="15">
        <v>45890</v>
      </c>
      <c r="F143" s="14" t="s">
        <v>20</v>
      </c>
      <c r="G143" s="16">
        <v>97.692999999999998</v>
      </c>
    </row>
    <row r="144" spans="1:7" x14ac:dyDescent="0.25">
      <c r="A144" s="13" t="s">
        <v>2329</v>
      </c>
      <c r="B144" s="13">
        <v>1969</v>
      </c>
      <c r="C144" s="14" t="str">
        <f>+VLOOKUP(B144,[1]LISTE!$A$1:$D$431,4,FALSE)</f>
        <v>BOUKADDIDA MEHREZ</v>
      </c>
      <c r="D144" s="14" t="s">
        <v>186</v>
      </c>
      <c r="E144" s="15">
        <v>45888</v>
      </c>
      <c r="F144" s="14" t="s">
        <v>20</v>
      </c>
      <c r="G144" s="16">
        <v>7.96</v>
      </c>
    </row>
    <row r="145" spans="1:7" x14ac:dyDescent="0.25">
      <c r="A145" s="13" t="s">
        <v>2329</v>
      </c>
      <c r="B145" s="13">
        <v>1969</v>
      </c>
      <c r="C145" s="14" t="str">
        <f>+VLOOKUP(B145,[1]LISTE!$A$1:$D$431,4,FALSE)</f>
        <v>BOUKADDIDA MEHREZ</v>
      </c>
      <c r="D145" s="14" t="s">
        <v>186</v>
      </c>
      <c r="E145" s="15">
        <v>45888</v>
      </c>
      <c r="F145" s="14" t="s">
        <v>24</v>
      </c>
      <c r="G145" s="16">
        <v>180</v>
      </c>
    </row>
    <row r="146" spans="1:7" x14ac:dyDescent="0.25">
      <c r="A146" s="13" t="s">
        <v>2261</v>
      </c>
      <c r="B146" s="13">
        <v>1980</v>
      </c>
      <c r="C146" s="14" t="str">
        <f>+VLOOKUP(B146,[1]LISTE!$A$1:$D$431,4,FALSE)</f>
        <v>MLAYEH YOUSSEF</v>
      </c>
      <c r="D146" s="15" t="s">
        <v>2262</v>
      </c>
      <c r="E146" s="15">
        <v>45895</v>
      </c>
      <c r="F146" s="14" t="s">
        <v>23</v>
      </c>
      <c r="G146" s="16">
        <v>45</v>
      </c>
    </row>
    <row r="147" spans="1:7" x14ac:dyDescent="0.25">
      <c r="A147" s="13" t="s">
        <v>2261</v>
      </c>
      <c r="B147" s="13">
        <v>1980</v>
      </c>
      <c r="C147" s="14" t="str">
        <f>+VLOOKUP(B147,[1]LISTE!$A$1:$D$431,4,FALSE)</f>
        <v>MLAYEH YOUSSEF</v>
      </c>
      <c r="D147" s="14" t="s">
        <v>2262</v>
      </c>
      <c r="E147" s="15">
        <v>45895</v>
      </c>
      <c r="F147" s="14" t="s">
        <v>20</v>
      </c>
      <c r="G147" s="16">
        <v>11.98</v>
      </c>
    </row>
    <row r="148" spans="1:7" x14ac:dyDescent="0.25">
      <c r="A148" s="13" t="s">
        <v>2320</v>
      </c>
      <c r="B148" s="13">
        <v>2013</v>
      </c>
      <c r="C148" s="14" t="str">
        <f>+VLOOKUP(B148,[1]LISTE!$A$1:$D$431,4,FALSE)</f>
        <v>BEL HADJ ALI MOHAMED ALI</v>
      </c>
      <c r="D148" s="14" t="s">
        <v>160</v>
      </c>
      <c r="E148" s="15">
        <v>45897</v>
      </c>
      <c r="F148" s="14" t="s">
        <v>65</v>
      </c>
      <c r="G148" s="16">
        <v>450</v>
      </c>
    </row>
    <row r="149" spans="1:7" x14ac:dyDescent="0.25">
      <c r="A149" s="13" t="s">
        <v>2321</v>
      </c>
      <c r="B149" s="13">
        <v>2013</v>
      </c>
      <c r="C149" s="14" t="str">
        <f>+VLOOKUP(B149,[1]LISTE!$A$1:$D$431,4,FALSE)</f>
        <v>BEL HADJ ALI MOHAMED ALI</v>
      </c>
      <c r="D149" s="15" t="s">
        <v>22</v>
      </c>
      <c r="E149" s="15">
        <v>45908</v>
      </c>
      <c r="F149" s="14" t="s">
        <v>25</v>
      </c>
      <c r="G149" s="16">
        <v>600</v>
      </c>
    </row>
    <row r="150" spans="1:7" x14ac:dyDescent="0.25">
      <c r="A150" s="13" t="s">
        <v>2278</v>
      </c>
      <c r="B150" s="13">
        <v>2014</v>
      </c>
      <c r="C150" s="14" t="str">
        <f>+VLOOKUP(B150,[1]LISTE!$A$1:$D$431,4,FALSE)</f>
        <v>JARRAR MEHDI</v>
      </c>
      <c r="D150" s="14" t="s">
        <v>22</v>
      </c>
      <c r="E150" s="15">
        <v>45896</v>
      </c>
      <c r="F150" s="14" t="s">
        <v>23</v>
      </c>
      <c r="G150" s="16">
        <v>55</v>
      </c>
    </row>
    <row r="151" spans="1:7" x14ac:dyDescent="0.25">
      <c r="A151" s="13" t="s">
        <v>2278</v>
      </c>
      <c r="B151" s="13">
        <v>2014</v>
      </c>
      <c r="C151" s="14" t="str">
        <f>+VLOOKUP(B151,[1]LISTE!$A$1:$D$431,4,FALSE)</f>
        <v>JARRAR MEHDI</v>
      </c>
      <c r="D151" s="14" t="s">
        <v>22</v>
      </c>
      <c r="E151" s="15">
        <v>45897</v>
      </c>
      <c r="F151" s="14" t="s">
        <v>20</v>
      </c>
      <c r="G151" s="16">
        <v>115.99</v>
      </c>
    </row>
    <row r="152" spans="1:7" x14ac:dyDescent="0.25">
      <c r="A152" s="13" t="s">
        <v>2260</v>
      </c>
      <c r="B152" s="13">
        <v>2048</v>
      </c>
      <c r="C152" s="14" t="str">
        <f>+VLOOKUP(B152,[1]LISTE!$A$1:$D$431,4,FALSE)</f>
        <v>BEL HADJ FREDJ NOUREDDINE</v>
      </c>
      <c r="D152" s="14" t="s">
        <v>22</v>
      </c>
      <c r="E152" s="15">
        <v>45896</v>
      </c>
      <c r="F152" s="14" t="s">
        <v>18</v>
      </c>
      <c r="G152" s="16">
        <v>90</v>
      </c>
    </row>
    <row r="153" spans="1:7" x14ac:dyDescent="0.25">
      <c r="A153" s="13" t="s">
        <v>2260</v>
      </c>
      <c r="B153" s="13">
        <v>2048</v>
      </c>
      <c r="C153" s="14" t="str">
        <f>+VLOOKUP(B153,[1]LISTE!$A$1:$D$431,4,FALSE)</f>
        <v>BEL HADJ FREDJ NOUREDDINE</v>
      </c>
      <c r="D153" s="14" t="s">
        <v>22</v>
      </c>
      <c r="E153" s="15">
        <v>45897</v>
      </c>
      <c r="F153" s="14" t="s">
        <v>20</v>
      </c>
      <c r="G153" s="16">
        <v>75.22</v>
      </c>
    </row>
    <row r="154" spans="1:7" x14ac:dyDescent="0.25">
      <c r="A154" s="13" t="s">
        <v>2260</v>
      </c>
      <c r="B154" s="13">
        <v>2048</v>
      </c>
      <c r="C154" s="14" t="str">
        <f>+VLOOKUP(B154,[1]LISTE!$A$1:$D$431,4,FALSE)</f>
        <v>BEL HADJ FREDJ NOUREDDINE</v>
      </c>
      <c r="D154" s="15" t="s">
        <v>22</v>
      </c>
      <c r="E154" s="15">
        <v>45896</v>
      </c>
      <c r="F154" s="14" t="s">
        <v>525</v>
      </c>
      <c r="G154" s="16">
        <v>130</v>
      </c>
    </row>
    <row r="155" spans="1:7" x14ac:dyDescent="0.25">
      <c r="A155" s="13" t="s">
        <v>2285</v>
      </c>
      <c r="B155" s="13">
        <v>2055</v>
      </c>
      <c r="C155" s="14" t="str">
        <f>+VLOOKUP(B155,[1]LISTE!$A$1:$D$431,4,FALSE)</f>
        <v>BEN YAHIA AHMED</v>
      </c>
      <c r="D155" s="15" t="s">
        <v>306</v>
      </c>
      <c r="E155" s="15">
        <v>45892</v>
      </c>
      <c r="F155" s="14" t="s">
        <v>18</v>
      </c>
      <c r="G155" s="16">
        <v>70</v>
      </c>
    </row>
    <row r="156" spans="1:7" x14ac:dyDescent="0.25">
      <c r="A156" s="13" t="s">
        <v>2285</v>
      </c>
      <c r="B156" s="13">
        <v>2055</v>
      </c>
      <c r="C156" s="14" t="str">
        <f>+VLOOKUP(B156,[1]LISTE!$A$1:$D$431,4,FALSE)</f>
        <v>BEN YAHIA AHMED</v>
      </c>
      <c r="D156" s="15" t="s">
        <v>306</v>
      </c>
      <c r="E156" s="15">
        <v>45892</v>
      </c>
      <c r="F156" s="14" t="s">
        <v>20</v>
      </c>
      <c r="G156" s="16">
        <v>4.8250000000000002</v>
      </c>
    </row>
    <row r="157" spans="1:7" x14ac:dyDescent="0.25">
      <c r="A157" s="13" t="s">
        <v>2245</v>
      </c>
      <c r="B157" s="13">
        <v>2102</v>
      </c>
      <c r="C157" s="14" t="str">
        <f>+VLOOKUP(B157,[1]LISTE!$A$1:$D$431,4,FALSE)</f>
        <v>BENAMER MARWA</v>
      </c>
      <c r="D157" s="14" t="s">
        <v>22</v>
      </c>
      <c r="E157" s="15">
        <v>45896</v>
      </c>
      <c r="F157" s="14" t="s">
        <v>65</v>
      </c>
      <c r="G157" s="16">
        <v>150</v>
      </c>
    </row>
    <row r="158" spans="1:7" x14ac:dyDescent="0.25">
      <c r="A158" s="13" t="s">
        <v>2316</v>
      </c>
      <c r="B158" s="13">
        <v>2102</v>
      </c>
      <c r="C158" s="14" t="str">
        <f>+VLOOKUP(B158,[1]LISTE!$A$1:$D$431,4,FALSE)</f>
        <v>BENAMER MARWA</v>
      </c>
      <c r="D158" s="14" t="s">
        <v>645</v>
      </c>
      <c r="E158" s="15">
        <v>45902</v>
      </c>
      <c r="F158" s="14" t="s">
        <v>18</v>
      </c>
      <c r="G158" s="16">
        <v>70</v>
      </c>
    </row>
    <row r="159" spans="1:7" x14ac:dyDescent="0.25">
      <c r="A159" s="13" t="s">
        <v>2316</v>
      </c>
      <c r="B159" s="13">
        <v>2102</v>
      </c>
      <c r="C159" s="14" t="str">
        <f>+VLOOKUP(B159,[1]LISTE!$A$1:$D$431,4,FALSE)</f>
        <v>BENAMER MARWA</v>
      </c>
      <c r="D159" s="14" t="s">
        <v>645</v>
      </c>
      <c r="E159" s="15">
        <v>45904</v>
      </c>
      <c r="F159" s="14" t="s">
        <v>69</v>
      </c>
      <c r="G159" s="16">
        <v>450</v>
      </c>
    </row>
    <row r="160" spans="1:7" x14ac:dyDescent="0.25">
      <c r="A160" s="13" t="s">
        <v>2245</v>
      </c>
      <c r="B160" s="13">
        <v>2102</v>
      </c>
      <c r="C160" s="14" t="str">
        <f>+VLOOKUP(B160,[1]LISTE!$A$1:$D$431,4,FALSE)</f>
        <v>BENAMER MARWA</v>
      </c>
      <c r="D160" s="15" t="s">
        <v>22</v>
      </c>
      <c r="E160" s="15">
        <v>45896</v>
      </c>
      <c r="F160" s="14" t="s">
        <v>65</v>
      </c>
      <c r="G160" s="16">
        <v>150</v>
      </c>
    </row>
    <row r="161" spans="1:7" x14ac:dyDescent="0.25">
      <c r="A161" s="13" t="s">
        <v>2317</v>
      </c>
      <c r="B161" s="13">
        <v>2145</v>
      </c>
      <c r="C161" s="14" t="str">
        <f>+VLOOKUP(B161,[1]LISTE!$A$1:$D$431,4,FALSE)</f>
        <v>MRIBAH HAMZA</v>
      </c>
      <c r="D161" s="14" t="s">
        <v>44</v>
      </c>
      <c r="E161" s="15">
        <v>45902</v>
      </c>
      <c r="F161" s="14" t="s">
        <v>18</v>
      </c>
      <c r="G161" s="16">
        <v>70</v>
      </c>
    </row>
    <row r="162" spans="1:7" x14ac:dyDescent="0.25">
      <c r="A162" s="13" t="s">
        <v>2317</v>
      </c>
      <c r="B162" s="13">
        <v>2145</v>
      </c>
      <c r="C162" s="14" t="str">
        <f>+VLOOKUP(B162,[1]LISTE!$A$1:$D$431,4,FALSE)</f>
        <v>MRIBAH HAMZA</v>
      </c>
      <c r="D162" s="15" t="s">
        <v>44</v>
      </c>
      <c r="E162" s="15">
        <v>45902</v>
      </c>
      <c r="F162" s="14" t="s">
        <v>20</v>
      </c>
      <c r="G162" s="16">
        <v>107</v>
      </c>
    </row>
    <row r="163" spans="1:7" x14ac:dyDescent="0.25">
      <c r="A163" s="13" t="s">
        <v>2296</v>
      </c>
      <c r="B163" s="13">
        <v>2148</v>
      </c>
      <c r="C163" s="14" t="str">
        <f>+VLOOKUP(B163,[1]LISTE!$A$1:$D$431,4,FALSE)</f>
        <v>CHIHI HOUSSEM</v>
      </c>
      <c r="D163" s="14" t="s">
        <v>22</v>
      </c>
      <c r="E163" s="15">
        <v>45902</v>
      </c>
      <c r="F163" s="14" t="s">
        <v>18</v>
      </c>
      <c r="G163" s="16">
        <v>70</v>
      </c>
    </row>
    <row r="164" spans="1:7" x14ac:dyDescent="0.25">
      <c r="A164" s="13" t="s">
        <v>2296</v>
      </c>
      <c r="B164" s="13">
        <v>2148</v>
      </c>
      <c r="C164" s="14" t="str">
        <f>+VLOOKUP(B164,[1]LISTE!$A$1:$D$431,4,FALSE)</f>
        <v>CHIHI HOUSSEM</v>
      </c>
      <c r="D164" s="14" t="s">
        <v>22</v>
      </c>
      <c r="E164" s="15">
        <v>45902</v>
      </c>
      <c r="F164" s="14" t="s">
        <v>20</v>
      </c>
      <c r="G164" s="16">
        <v>55.481999999999999</v>
      </c>
    </row>
    <row r="165" spans="1:7" x14ac:dyDescent="0.25">
      <c r="A165" s="13" t="s">
        <v>2313</v>
      </c>
      <c r="B165" s="13">
        <v>2148</v>
      </c>
      <c r="C165" s="14" t="str">
        <f>+VLOOKUP(B165,[1]LISTE!$A$1:$D$431,4,FALSE)</f>
        <v>CHIHI HOUSSEM</v>
      </c>
      <c r="D165" s="14" t="s">
        <v>327</v>
      </c>
      <c r="E165" s="15">
        <v>45875</v>
      </c>
      <c r="F165" s="14" t="s">
        <v>18</v>
      </c>
      <c r="G165" s="16">
        <v>70</v>
      </c>
    </row>
    <row r="166" spans="1:7" x14ac:dyDescent="0.25">
      <c r="A166" s="13" t="s">
        <v>2313</v>
      </c>
      <c r="B166" s="13">
        <v>2148</v>
      </c>
      <c r="C166" s="14" t="str">
        <f>+VLOOKUP(B166,[1]LISTE!$A$1:$D$431,4,FALSE)</f>
        <v>CHIHI HOUSSEM</v>
      </c>
      <c r="D166" s="14" t="s">
        <v>327</v>
      </c>
      <c r="E166" s="15">
        <v>45875</v>
      </c>
      <c r="F166" s="14" t="s">
        <v>19</v>
      </c>
      <c r="G166" s="16">
        <v>195.1</v>
      </c>
    </row>
    <row r="167" spans="1:7" x14ac:dyDescent="0.25">
      <c r="A167" s="13" t="s">
        <v>2313</v>
      </c>
      <c r="B167" s="13">
        <v>2148</v>
      </c>
      <c r="C167" s="14" t="str">
        <f>+VLOOKUP(B167,[1]LISTE!$A$1:$D$431,4,FALSE)</f>
        <v>CHIHI HOUSSEM</v>
      </c>
      <c r="D167" s="14" t="s">
        <v>327</v>
      </c>
      <c r="E167" s="15">
        <v>45875</v>
      </c>
      <c r="F167" s="14" t="s">
        <v>20</v>
      </c>
      <c r="G167" s="16">
        <v>23.948</v>
      </c>
    </row>
    <row r="168" spans="1:7" x14ac:dyDescent="0.25">
      <c r="A168" s="13" t="s">
        <v>2314</v>
      </c>
      <c r="B168" s="13">
        <v>2148</v>
      </c>
      <c r="C168" s="14" t="str">
        <f>+VLOOKUP(B168,[1]LISTE!$A$1:$D$431,4,FALSE)</f>
        <v>CHIHI HOUSSEM</v>
      </c>
      <c r="D168" s="14" t="s">
        <v>327</v>
      </c>
      <c r="E168" s="15">
        <v>45902</v>
      </c>
      <c r="F168" s="14" t="s">
        <v>18</v>
      </c>
      <c r="G168" s="16">
        <v>70</v>
      </c>
    </row>
    <row r="169" spans="1:7" x14ac:dyDescent="0.25">
      <c r="A169" s="13" t="s">
        <v>2314</v>
      </c>
      <c r="B169" s="13">
        <v>2148</v>
      </c>
      <c r="C169" s="14" t="str">
        <f>+VLOOKUP(B169,[1]LISTE!$A$1:$D$431,4,FALSE)</f>
        <v>CHIHI HOUSSEM</v>
      </c>
      <c r="D169" s="14" t="s">
        <v>327</v>
      </c>
      <c r="E169" s="15">
        <v>45903</v>
      </c>
      <c r="F169" s="14" t="s">
        <v>19</v>
      </c>
      <c r="G169" s="16">
        <v>112.35</v>
      </c>
    </row>
    <row r="170" spans="1:7" x14ac:dyDescent="0.25">
      <c r="A170" s="13" t="s">
        <v>2314</v>
      </c>
      <c r="B170" s="13">
        <v>2148</v>
      </c>
      <c r="C170" s="14" t="str">
        <f>+VLOOKUP(B170,[1]LISTE!$A$1:$D$431,4,FALSE)</f>
        <v>CHIHI HOUSSEM</v>
      </c>
      <c r="D170" s="14" t="s">
        <v>327</v>
      </c>
      <c r="E170" s="15">
        <v>45902</v>
      </c>
      <c r="F170" s="14" t="s">
        <v>20</v>
      </c>
      <c r="G170" s="16">
        <v>24.614000000000001</v>
      </c>
    </row>
    <row r="171" spans="1:7" x14ac:dyDescent="0.25">
      <c r="A171" s="13" t="s">
        <v>2318</v>
      </c>
      <c r="B171" s="13">
        <v>2160</v>
      </c>
      <c r="C171" s="14" t="str">
        <f>+VLOOKUP(B171,[1]LISTE!$A$1:$D$431,4,FALSE)</f>
        <v>BEN HASSAN MAROUANE</v>
      </c>
      <c r="D171" s="15" t="s">
        <v>22</v>
      </c>
      <c r="E171" s="15">
        <v>45903</v>
      </c>
      <c r="F171" s="14" t="s">
        <v>23</v>
      </c>
      <c r="G171" s="16">
        <v>35</v>
      </c>
    </row>
    <row r="172" spans="1:7" x14ac:dyDescent="0.25">
      <c r="A172" s="13" t="s">
        <v>2318</v>
      </c>
      <c r="B172" s="13">
        <v>2160</v>
      </c>
      <c r="C172" s="14" t="str">
        <f>+VLOOKUP(B172,[1]LISTE!$A$1:$D$431,4,FALSE)</f>
        <v>BEN HASSAN MAROUANE</v>
      </c>
      <c r="D172" s="15" t="s">
        <v>22</v>
      </c>
      <c r="E172" s="15">
        <v>45903</v>
      </c>
      <c r="F172" s="14" t="s">
        <v>20</v>
      </c>
      <c r="G172" s="16">
        <v>23.044</v>
      </c>
    </row>
    <row r="173" spans="1:7" x14ac:dyDescent="0.25">
      <c r="A173" s="13" t="s">
        <v>2308</v>
      </c>
      <c r="B173" s="13">
        <v>2184</v>
      </c>
      <c r="C173" s="14" t="s">
        <v>386</v>
      </c>
      <c r="D173" s="15" t="s">
        <v>387</v>
      </c>
      <c r="E173" s="15">
        <v>45898</v>
      </c>
      <c r="F173" s="14" t="s">
        <v>65</v>
      </c>
      <c r="G173" s="16">
        <v>12</v>
      </c>
    </row>
    <row r="174" spans="1:7" x14ac:dyDescent="0.25">
      <c r="A174" s="13" t="s">
        <v>2274</v>
      </c>
      <c r="B174" s="13">
        <v>2185</v>
      </c>
      <c r="C174" s="14" t="str">
        <f>+VLOOKUP(B174,[1]LISTE!$A$1:$D$431,4,FALSE)</f>
        <v>BENYOUSSEF MOHAMED</v>
      </c>
      <c r="D174" s="15" t="s">
        <v>22</v>
      </c>
      <c r="E174" s="15">
        <v>45890</v>
      </c>
      <c r="F174" s="14" t="s">
        <v>23</v>
      </c>
      <c r="G174" s="16">
        <v>50</v>
      </c>
    </row>
    <row r="175" spans="1:7" x14ac:dyDescent="0.25">
      <c r="A175" s="13" t="s">
        <v>2274</v>
      </c>
      <c r="B175" s="13">
        <v>2185</v>
      </c>
      <c r="C175" s="14" t="str">
        <f>+VLOOKUP(B175,[1]LISTE!$A$1:$D$431,4,FALSE)</f>
        <v>BENYOUSSEF MOHAMED</v>
      </c>
      <c r="D175" s="15" t="s">
        <v>22</v>
      </c>
      <c r="E175" s="15">
        <v>45898</v>
      </c>
      <c r="F175" s="14" t="s">
        <v>20</v>
      </c>
      <c r="G175" s="16">
        <v>29.908999999999999</v>
      </c>
    </row>
    <row r="176" spans="1:7" x14ac:dyDescent="0.25">
      <c r="A176" s="13" t="s">
        <v>2274</v>
      </c>
      <c r="B176" s="13">
        <v>2185</v>
      </c>
      <c r="C176" s="14" t="str">
        <f>+VLOOKUP(B176,[1]LISTE!$A$1:$D$431,4,FALSE)</f>
        <v>BENYOUSSEF MOHAMED</v>
      </c>
      <c r="D176" s="15" t="s">
        <v>22</v>
      </c>
      <c r="E176" s="15">
        <v>45890</v>
      </c>
      <c r="F176" s="14" t="s">
        <v>21</v>
      </c>
      <c r="G176" s="16">
        <v>60</v>
      </c>
    </row>
    <row r="177" spans="1:7" x14ac:dyDescent="0.25">
      <c r="A177" s="13" t="s">
        <v>2306</v>
      </c>
      <c r="B177" s="13">
        <v>2213</v>
      </c>
      <c r="C177" s="14" t="s">
        <v>1523</v>
      </c>
      <c r="D177" s="15" t="s">
        <v>687</v>
      </c>
      <c r="E177" s="15">
        <v>45901</v>
      </c>
      <c r="F177" s="14" t="s">
        <v>23</v>
      </c>
      <c r="G177" s="16">
        <v>50</v>
      </c>
    </row>
    <row r="178" spans="1:7" x14ac:dyDescent="0.25">
      <c r="A178" s="13" t="s">
        <v>2306</v>
      </c>
      <c r="B178" s="13">
        <v>2213</v>
      </c>
      <c r="C178" s="14" t="s">
        <v>1523</v>
      </c>
      <c r="D178" s="15" t="s">
        <v>687</v>
      </c>
      <c r="E178" s="15">
        <v>45901</v>
      </c>
      <c r="F178" s="14" t="s">
        <v>20</v>
      </c>
      <c r="G178" s="16">
        <v>61.258000000000003</v>
      </c>
    </row>
    <row r="179" spans="1:7" x14ac:dyDescent="0.25">
      <c r="A179" s="13" t="s">
        <v>2279</v>
      </c>
      <c r="B179" s="13">
        <v>2270</v>
      </c>
      <c r="C179" s="14" t="s">
        <v>573</v>
      </c>
      <c r="D179" s="14" t="s">
        <v>75</v>
      </c>
      <c r="E179" s="15">
        <v>45897</v>
      </c>
      <c r="F179" s="14" t="s">
        <v>20</v>
      </c>
      <c r="G179" s="16">
        <v>52.905999999999999</v>
      </c>
    </row>
    <row r="180" spans="1:7" x14ac:dyDescent="0.25">
      <c r="A180" s="13" t="s">
        <v>2340</v>
      </c>
      <c r="B180" s="13">
        <v>2271</v>
      </c>
      <c r="C180" s="14" t="s">
        <v>27</v>
      </c>
      <c r="D180" s="14" t="s">
        <v>483</v>
      </c>
      <c r="E180" s="15">
        <v>45908</v>
      </c>
      <c r="F180" s="14" t="s">
        <v>18</v>
      </c>
      <c r="G180" s="16">
        <v>70</v>
      </c>
    </row>
    <row r="181" spans="1:7" x14ac:dyDescent="0.25">
      <c r="A181" s="13" t="s">
        <v>2340</v>
      </c>
      <c r="B181" s="13">
        <v>2271</v>
      </c>
      <c r="C181" s="14" t="s">
        <v>27</v>
      </c>
      <c r="D181" s="14" t="s">
        <v>483</v>
      </c>
      <c r="E181" s="15">
        <v>45908</v>
      </c>
      <c r="F181" s="14" t="s">
        <v>20</v>
      </c>
      <c r="G181" s="16">
        <v>30.824999999999999</v>
      </c>
    </row>
    <row r="182" spans="1:7" x14ac:dyDescent="0.25">
      <c r="A182" s="13" t="s">
        <v>2280</v>
      </c>
      <c r="B182" s="13">
        <v>2312</v>
      </c>
      <c r="C182" s="14" t="s">
        <v>398</v>
      </c>
      <c r="D182" s="15" t="s">
        <v>606</v>
      </c>
      <c r="E182" s="15">
        <v>45899</v>
      </c>
      <c r="F182" s="14" t="s">
        <v>1889</v>
      </c>
      <c r="G182" s="16">
        <v>150</v>
      </c>
    </row>
    <row r="183" spans="1:7" x14ac:dyDescent="0.25">
      <c r="A183" s="13" t="s">
        <v>2280</v>
      </c>
      <c r="B183" s="13">
        <v>2312</v>
      </c>
      <c r="C183" s="14" t="s">
        <v>398</v>
      </c>
      <c r="D183" s="15" t="s">
        <v>606</v>
      </c>
      <c r="E183" s="15">
        <v>45899</v>
      </c>
      <c r="F183" s="14" t="s">
        <v>20</v>
      </c>
      <c r="G183" s="16">
        <v>33.365000000000002</v>
      </c>
    </row>
    <row r="184" spans="1:7" x14ac:dyDescent="0.25">
      <c r="A184" s="13" t="s">
        <v>2282</v>
      </c>
      <c r="B184" s="13">
        <v>2414</v>
      </c>
      <c r="C184" s="14" t="s">
        <v>256</v>
      </c>
      <c r="D184" s="15" t="s">
        <v>22</v>
      </c>
      <c r="E184" s="15">
        <v>45892</v>
      </c>
      <c r="F184" s="14" t="s">
        <v>23</v>
      </c>
      <c r="G184" s="16">
        <v>40</v>
      </c>
    </row>
    <row r="185" spans="1:7" x14ac:dyDescent="0.25">
      <c r="A185" s="13" t="s">
        <v>2282</v>
      </c>
      <c r="B185" s="13">
        <v>2414</v>
      </c>
      <c r="C185" s="14" t="s">
        <v>256</v>
      </c>
      <c r="D185" s="14" t="s">
        <v>22</v>
      </c>
      <c r="E185" s="15">
        <v>45892</v>
      </c>
      <c r="F185" s="14" t="s">
        <v>20</v>
      </c>
      <c r="G185" s="16">
        <v>34.279000000000003</v>
      </c>
    </row>
    <row r="186" spans="1:7" x14ac:dyDescent="0.25">
      <c r="A186" s="13" t="s">
        <v>2255</v>
      </c>
      <c r="B186" s="13">
        <v>2442</v>
      </c>
      <c r="C186" s="14" t="s">
        <v>817</v>
      </c>
      <c r="D186" s="14" t="s">
        <v>22</v>
      </c>
      <c r="E186" s="15">
        <v>45892</v>
      </c>
      <c r="F186" s="14" t="s">
        <v>23</v>
      </c>
      <c r="G186" s="16">
        <v>45</v>
      </c>
    </row>
    <row r="187" spans="1:7" x14ac:dyDescent="0.25">
      <c r="A187" s="13" t="s">
        <v>2255</v>
      </c>
      <c r="B187" s="13">
        <v>2442</v>
      </c>
      <c r="C187" s="14" t="s">
        <v>817</v>
      </c>
      <c r="D187" s="14" t="s">
        <v>22</v>
      </c>
      <c r="E187" s="15">
        <v>45892</v>
      </c>
      <c r="F187" s="14" t="s">
        <v>20</v>
      </c>
      <c r="G187" s="16">
        <v>54.378999999999998</v>
      </c>
    </row>
    <row r="188" spans="1:7" x14ac:dyDescent="0.25">
      <c r="A188" s="13" t="s">
        <v>2256</v>
      </c>
      <c r="B188" s="13">
        <v>2442</v>
      </c>
      <c r="C188" s="14" t="s">
        <v>817</v>
      </c>
      <c r="D188" s="15" t="s">
        <v>22</v>
      </c>
      <c r="E188" s="15">
        <v>45895</v>
      </c>
      <c r="F188" s="14" t="s">
        <v>23</v>
      </c>
      <c r="G188" s="16">
        <v>4.5</v>
      </c>
    </row>
    <row r="189" spans="1:7" x14ac:dyDescent="0.25">
      <c r="A189" s="13" t="s">
        <v>2256</v>
      </c>
      <c r="B189" s="13">
        <v>2442</v>
      </c>
      <c r="C189" s="14" t="s">
        <v>817</v>
      </c>
      <c r="D189" s="14" t="s">
        <v>22</v>
      </c>
      <c r="E189" s="15">
        <v>45895</v>
      </c>
      <c r="F189" s="14" t="s">
        <v>21</v>
      </c>
      <c r="G189" s="16">
        <v>7</v>
      </c>
    </row>
    <row r="190" spans="1:7" x14ac:dyDescent="0.25">
      <c r="A190" s="13" t="s">
        <v>2256</v>
      </c>
      <c r="B190" s="13">
        <v>2442</v>
      </c>
      <c r="C190" s="14" t="s">
        <v>817</v>
      </c>
      <c r="D190" s="15" t="s">
        <v>22</v>
      </c>
      <c r="E190" s="15">
        <v>45896</v>
      </c>
      <c r="F190" s="14" t="s">
        <v>20</v>
      </c>
      <c r="G190" s="16">
        <v>24.594999999999999</v>
      </c>
    </row>
    <row r="191" spans="1:7" x14ac:dyDescent="0.25">
      <c r="A191" s="13" t="s">
        <v>2256</v>
      </c>
      <c r="B191" s="13">
        <v>2442</v>
      </c>
      <c r="C191" s="14" t="s">
        <v>817</v>
      </c>
      <c r="D191" s="14" t="s">
        <v>22</v>
      </c>
      <c r="E191" s="15">
        <v>45896</v>
      </c>
      <c r="F191" s="14" t="s">
        <v>587</v>
      </c>
      <c r="G191" s="16">
        <v>51</v>
      </c>
    </row>
    <row r="192" spans="1:7" x14ac:dyDescent="0.25">
      <c r="A192" s="13" t="s">
        <v>2305</v>
      </c>
      <c r="B192" s="13">
        <v>2456</v>
      </c>
      <c r="C192" s="14" t="s">
        <v>155</v>
      </c>
      <c r="D192" s="14" t="s">
        <v>22</v>
      </c>
      <c r="E192" s="15">
        <v>45895</v>
      </c>
      <c r="F192" s="14" t="s">
        <v>18</v>
      </c>
      <c r="G192" s="16">
        <v>70</v>
      </c>
    </row>
    <row r="193" spans="1:7" x14ac:dyDescent="0.25">
      <c r="A193" s="13" t="s">
        <v>2305</v>
      </c>
      <c r="B193" s="13">
        <v>2456</v>
      </c>
      <c r="C193" s="14" t="s">
        <v>155</v>
      </c>
      <c r="D193" s="15" t="s">
        <v>22</v>
      </c>
      <c r="E193" s="15">
        <v>45895</v>
      </c>
      <c r="F193" s="14" t="s">
        <v>20</v>
      </c>
      <c r="G193" s="16">
        <v>117.218</v>
      </c>
    </row>
    <row r="194" spans="1:7" x14ac:dyDescent="0.25">
      <c r="A194" s="13" t="s">
        <v>2290</v>
      </c>
      <c r="B194" s="13">
        <v>2479</v>
      </c>
      <c r="C194" s="14" t="s">
        <v>1712</v>
      </c>
      <c r="D194" s="14" t="s">
        <v>1713</v>
      </c>
      <c r="E194" s="15">
        <v>45902</v>
      </c>
      <c r="F194" s="14" t="s">
        <v>18</v>
      </c>
      <c r="G194" s="16">
        <v>70</v>
      </c>
    </row>
    <row r="195" spans="1:7" x14ac:dyDescent="0.25">
      <c r="A195" s="13" t="s">
        <v>2290</v>
      </c>
      <c r="B195" s="13">
        <v>2479</v>
      </c>
      <c r="C195" s="14" t="s">
        <v>1712</v>
      </c>
      <c r="D195" s="14" t="s">
        <v>1713</v>
      </c>
      <c r="E195" s="15">
        <v>45902</v>
      </c>
      <c r="F195" s="14" t="s">
        <v>20</v>
      </c>
      <c r="G195" s="16">
        <v>16.72</v>
      </c>
    </row>
    <row r="196" spans="1:7" x14ac:dyDescent="0.25">
      <c r="A196" s="13" t="s">
        <v>2270</v>
      </c>
      <c r="B196" s="13">
        <v>2515</v>
      </c>
      <c r="C196" s="14" t="s">
        <v>247</v>
      </c>
      <c r="D196" s="15" t="s">
        <v>171</v>
      </c>
      <c r="E196" s="15">
        <v>45899</v>
      </c>
      <c r="F196" s="14" t="s">
        <v>23</v>
      </c>
      <c r="G196" s="16">
        <v>50</v>
      </c>
    </row>
    <row r="197" spans="1:7" x14ac:dyDescent="0.25">
      <c r="A197" s="13" t="s">
        <v>2270</v>
      </c>
      <c r="B197" s="13">
        <v>2515</v>
      </c>
      <c r="C197" s="14" t="s">
        <v>247</v>
      </c>
      <c r="D197" s="14" t="s">
        <v>171</v>
      </c>
      <c r="E197" s="15">
        <v>45899</v>
      </c>
      <c r="F197" s="14" t="s">
        <v>20</v>
      </c>
      <c r="G197" s="16">
        <v>8.2200000000000006</v>
      </c>
    </row>
    <row r="198" spans="1:7" x14ac:dyDescent="0.25">
      <c r="A198" s="13" t="s">
        <v>2270</v>
      </c>
      <c r="B198" s="13">
        <v>2515</v>
      </c>
      <c r="C198" s="14" t="s">
        <v>247</v>
      </c>
      <c r="D198" s="15" t="s">
        <v>171</v>
      </c>
      <c r="E198" s="15">
        <v>45899</v>
      </c>
      <c r="F198" s="14" t="s">
        <v>21</v>
      </c>
      <c r="G198" s="16">
        <v>60</v>
      </c>
    </row>
    <row r="199" spans="1:7" x14ac:dyDescent="0.25">
      <c r="A199" s="13" t="s">
        <v>2190</v>
      </c>
      <c r="B199" s="13">
        <v>2517</v>
      </c>
      <c r="C199" s="14" t="s">
        <v>97</v>
      </c>
      <c r="D199" s="14" t="s">
        <v>200</v>
      </c>
      <c r="E199" s="15">
        <v>45893</v>
      </c>
      <c r="F199" s="14" t="s">
        <v>1889</v>
      </c>
      <c r="G199" s="16">
        <v>150</v>
      </c>
    </row>
    <row r="200" spans="1:7" x14ac:dyDescent="0.25">
      <c r="A200" s="13" t="s">
        <v>2336</v>
      </c>
      <c r="B200" s="13">
        <v>2517</v>
      </c>
      <c r="C200" s="14" t="s">
        <v>97</v>
      </c>
      <c r="D200" s="14" t="s">
        <v>98</v>
      </c>
      <c r="E200" s="15">
        <v>45902</v>
      </c>
      <c r="F200" s="14" t="s">
        <v>18</v>
      </c>
      <c r="G200" s="16">
        <v>70</v>
      </c>
    </row>
    <row r="201" spans="1:7" x14ac:dyDescent="0.25">
      <c r="A201" s="13" t="s">
        <v>2336</v>
      </c>
      <c r="B201" s="13">
        <v>2517</v>
      </c>
      <c r="C201" s="14" t="s">
        <v>97</v>
      </c>
      <c r="D201" s="14" t="s">
        <v>98</v>
      </c>
      <c r="E201" s="15">
        <v>45902</v>
      </c>
      <c r="F201" s="14" t="s">
        <v>19</v>
      </c>
      <c r="G201" s="16">
        <v>6.0949999999999998</v>
      </c>
    </row>
    <row r="202" spans="1:7" x14ac:dyDescent="0.25">
      <c r="A202" s="13" t="s">
        <v>2251</v>
      </c>
      <c r="B202" s="13">
        <v>2525</v>
      </c>
      <c r="C202" s="14" t="s">
        <v>224</v>
      </c>
      <c r="D202" s="14" t="s">
        <v>1593</v>
      </c>
      <c r="E202" s="15">
        <v>45882</v>
      </c>
      <c r="F202" s="14" t="s">
        <v>18</v>
      </c>
      <c r="G202" s="16">
        <v>70</v>
      </c>
    </row>
    <row r="203" spans="1:7" x14ac:dyDescent="0.25">
      <c r="A203" s="13" t="s">
        <v>2251</v>
      </c>
      <c r="B203" s="13">
        <v>2525</v>
      </c>
      <c r="C203" s="14" t="s">
        <v>224</v>
      </c>
      <c r="D203" s="14" t="s">
        <v>1593</v>
      </c>
      <c r="E203" s="15">
        <v>45894</v>
      </c>
      <c r="F203" s="14" t="s">
        <v>69</v>
      </c>
      <c r="G203" s="16">
        <v>330</v>
      </c>
    </row>
    <row r="204" spans="1:7" x14ac:dyDescent="0.25">
      <c r="A204" s="13" t="s">
        <v>2269</v>
      </c>
      <c r="B204" s="13">
        <v>2535</v>
      </c>
      <c r="C204" s="14" t="s">
        <v>30</v>
      </c>
      <c r="D204" s="14" t="s">
        <v>306</v>
      </c>
      <c r="E204" s="15">
        <v>45891</v>
      </c>
      <c r="F204" s="14" t="s">
        <v>312</v>
      </c>
      <c r="G204" s="16">
        <v>250</v>
      </c>
    </row>
    <row r="205" spans="1:7" x14ac:dyDescent="0.25">
      <c r="A205" s="13" t="s">
        <v>2319</v>
      </c>
      <c r="B205" s="13">
        <v>2535</v>
      </c>
      <c r="C205" s="14" t="s">
        <v>30</v>
      </c>
      <c r="D205" s="14" t="s">
        <v>22</v>
      </c>
      <c r="E205" s="15">
        <v>45899</v>
      </c>
      <c r="F205" s="14" t="s">
        <v>18</v>
      </c>
      <c r="G205" s="16">
        <v>70</v>
      </c>
    </row>
    <row r="206" spans="1:7" x14ac:dyDescent="0.25">
      <c r="A206" s="13" t="s">
        <v>2319</v>
      </c>
      <c r="B206" s="13">
        <v>2535</v>
      </c>
      <c r="C206" s="14" t="s">
        <v>30</v>
      </c>
      <c r="D206" s="14" t="s">
        <v>22</v>
      </c>
      <c r="E206" s="15">
        <v>45899</v>
      </c>
      <c r="F206" s="14" t="s">
        <v>20</v>
      </c>
      <c r="G206" s="16">
        <v>74.314999999999998</v>
      </c>
    </row>
    <row r="207" spans="1:7" x14ac:dyDescent="0.25">
      <c r="A207" s="13" t="s">
        <v>2264</v>
      </c>
      <c r="B207" s="13">
        <v>2592</v>
      </c>
      <c r="C207" s="14" t="s">
        <v>2265</v>
      </c>
      <c r="D207" s="14" t="s">
        <v>2266</v>
      </c>
      <c r="E207" s="15">
        <v>45895</v>
      </c>
      <c r="F207" s="14" t="s">
        <v>18</v>
      </c>
      <c r="G207" s="16">
        <v>60</v>
      </c>
    </row>
    <row r="208" spans="1:7" x14ac:dyDescent="0.25">
      <c r="A208" s="13" t="s">
        <v>2264</v>
      </c>
      <c r="B208" s="13">
        <v>2592</v>
      </c>
      <c r="C208" s="14" t="s">
        <v>2265</v>
      </c>
      <c r="D208" s="15" t="s">
        <v>2266</v>
      </c>
      <c r="E208" s="15">
        <v>45895</v>
      </c>
      <c r="F208" s="14" t="s">
        <v>20</v>
      </c>
      <c r="G208" s="16">
        <v>6.7249999999999996</v>
      </c>
    </row>
    <row r="209" spans="1:7" x14ac:dyDescent="0.25">
      <c r="A209" s="13" t="s">
        <v>2264</v>
      </c>
      <c r="B209" s="13">
        <v>2592</v>
      </c>
      <c r="C209" s="14" t="s">
        <v>2265</v>
      </c>
      <c r="D209" s="15" t="s">
        <v>2266</v>
      </c>
      <c r="E209" s="15">
        <v>45895</v>
      </c>
      <c r="F209" s="14" t="s">
        <v>21</v>
      </c>
      <c r="G209" s="16">
        <v>50</v>
      </c>
    </row>
    <row r="210" spans="1:7" x14ac:dyDescent="0.25">
      <c r="A210" s="13" t="s">
        <v>2341</v>
      </c>
      <c r="B210" s="13">
        <v>2595</v>
      </c>
      <c r="C210" s="14" t="s">
        <v>290</v>
      </c>
      <c r="D210" s="14" t="s">
        <v>22</v>
      </c>
      <c r="E210" s="15">
        <v>45901</v>
      </c>
      <c r="F210" s="14" t="s">
        <v>23</v>
      </c>
      <c r="G210" s="16">
        <v>50</v>
      </c>
    </row>
    <row r="211" spans="1:7" x14ac:dyDescent="0.25">
      <c r="A211" s="13" t="s">
        <v>2341</v>
      </c>
      <c r="B211" s="13">
        <v>2595</v>
      </c>
      <c r="C211" s="14" t="s">
        <v>290</v>
      </c>
      <c r="D211" s="14" t="s">
        <v>22</v>
      </c>
      <c r="E211" s="15">
        <v>45901</v>
      </c>
      <c r="F211" s="14" t="s">
        <v>20</v>
      </c>
      <c r="G211" s="16">
        <v>18.914999999999999</v>
      </c>
    </row>
    <row r="212" spans="1:7" x14ac:dyDescent="0.25">
      <c r="A212" s="13" t="s">
        <v>2341</v>
      </c>
      <c r="B212" s="13">
        <v>2595</v>
      </c>
      <c r="C212" s="14" t="s">
        <v>290</v>
      </c>
      <c r="D212" s="14" t="s">
        <v>22</v>
      </c>
      <c r="E212" s="15">
        <v>45901</v>
      </c>
      <c r="F212" s="14" t="s">
        <v>21</v>
      </c>
      <c r="G212" s="16">
        <v>60</v>
      </c>
    </row>
    <row r="213" spans="1:7" x14ac:dyDescent="0.25">
      <c r="A213" s="13" t="s">
        <v>2342</v>
      </c>
      <c r="B213" s="13">
        <v>2631</v>
      </c>
      <c r="C213" s="14" t="s">
        <v>533</v>
      </c>
      <c r="D213" s="14" t="s">
        <v>2092</v>
      </c>
      <c r="E213" s="15">
        <v>45898</v>
      </c>
      <c r="F213" s="14" t="s">
        <v>18</v>
      </c>
      <c r="G213" s="16">
        <v>60</v>
      </c>
    </row>
    <row r="214" spans="1:7" x14ac:dyDescent="0.25">
      <c r="A214" s="13" t="s">
        <v>2342</v>
      </c>
      <c r="B214" s="13">
        <v>2631</v>
      </c>
      <c r="C214" s="14" t="s">
        <v>533</v>
      </c>
      <c r="D214" s="14" t="s">
        <v>2092</v>
      </c>
      <c r="E214" s="15">
        <v>45898</v>
      </c>
      <c r="F214" s="14" t="s">
        <v>20</v>
      </c>
      <c r="G214" s="16">
        <v>31.888000000000002</v>
      </c>
    </row>
    <row r="215" spans="1:7" x14ac:dyDescent="0.25">
      <c r="A215" s="13" t="s">
        <v>2322</v>
      </c>
      <c r="B215" s="13">
        <v>2633</v>
      </c>
      <c r="C215" s="14" t="s">
        <v>157</v>
      </c>
      <c r="D215" s="14" t="s">
        <v>158</v>
      </c>
      <c r="E215" s="15">
        <v>45891</v>
      </c>
      <c r="F215" s="14" t="s">
        <v>19</v>
      </c>
      <c r="G215" s="16">
        <v>42.8</v>
      </c>
    </row>
    <row r="216" spans="1:7" x14ac:dyDescent="0.25">
      <c r="A216" s="13" t="s">
        <v>2281</v>
      </c>
      <c r="B216" s="13">
        <v>2714</v>
      </c>
      <c r="C216" s="14" t="s">
        <v>2083</v>
      </c>
      <c r="D216" s="15" t="s">
        <v>22</v>
      </c>
      <c r="E216" s="15">
        <v>45838</v>
      </c>
      <c r="F216" s="14" t="s">
        <v>18</v>
      </c>
      <c r="G216" s="16">
        <v>80</v>
      </c>
    </row>
    <row r="217" spans="1:7" x14ac:dyDescent="0.25">
      <c r="A217" s="13" t="s">
        <v>2281</v>
      </c>
      <c r="B217" s="13">
        <v>2714</v>
      </c>
      <c r="C217" s="14" t="s">
        <v>2083</v>
      </c>
      <c r="D217" s="15" t="s">
        <v>22</v>
      </c>
      <c r="E217" s="15">
        <v>45899</v>
      </c>
      <c r="F217" s="14" t="s">
        <v>20</v>
      </c>
      <c r="G217" s="16">
        <v>40.643999999999998</v>
      </c>
    </row>
    <row r="218" spans="1:7" ht="18.75" x14ac:dyDescent="0.3">
      <c r="A218" s="14"/>
      <c r="B218" s="28"/>
      <c r="C218" s="29"/>
      <c r="D218" s="14"/>
      <c r="E218" s="28"/>
      <c r="F218" s="17" t="s">
        <v>11</v>
      </c>
      <c r="G218" s="17">
        <f>SUM(G10:G217)</f>
        <v>15191.349999999999</v>
      </c>
    </row>
    <row r="219" spans="1:7" ht="18.75" x14ac:dyDescent="0.3">
      <c r="A219" s="38"/>
      <c r="B219" s="39"/>
      <c r="C219" s="40"/>
      <c r="D219" s="41"/>
      <c r="E219" s="19"/>
      <c r="F219" s="18"/>
      <c r="G219" s="34"/>
    </row>
    <row r="220" spans="1:7" ht="18.75" x14ac:dyDescent="0.3">
      <c r="A220" s="35"/>
      <c r="B220" s="36"/>
      <c r="C220" s="37"/>
      <c r="D220" s="42"/>
      <c r="E220" s="43"/>
      <c r="F220" s="44"/>
      <c r="G220" s="44"/>
    </row>
    <row r="221" spans="1:7" ht="15.75" x14ac:dyDescent="0.25">
      <c r="A221" s="35"/>
      <c r="B221" s="36" t="s">
        <v>12</v>
      </c>
      <c r="C221" s="37"/>
      <c r="E221" s="36" t="s">
        <v>13</v>
      </c>
      <c r="F221" s="18"/>
      <c r="G221" s="18"/>
    </row>
    <row r="222" spans="1:7" ht="15.75" x14ac:dyDescent="0.25">
      <c r="A222" s="45"/>
      <c r="B222" s="46" t="s">
        <v>14</v>
      </c>
      <c r="C222" s="47"/>
      <c r="E222" s="36" t="s">
        <v>15</v>
      </c>
      <c r="F222" s="18"/>
      <c r="G222" s="18"/>
    </row>
    <row r="223" spans="1:7" ht="15.75" x14ac:dyDescent="0.25">
      <c r="A223" s="23"/>
      <c r="B223" s="24"/>
      <c r="C223" s="25"/>
      <c r="E223" s="27"/>
      <c r="F223" s="18"/>
      <c r="G223" s="18"/>
    </row>
    <row r="224" spans="1:7" ht="18.75" x14ac:dyDescent="0.3">
      <c r="B224" s="19"/>
      <c r="C224" s="20"/>
      <c r="D224" s="21"/>
      <c r="E224" s="22"/>
      <c r="F224" s="19"/>
      <c r="G224" s="22"/>
    </row>
    <row r="225" spans="1:7" ht="15.75" x14ac:dyDescent="0.25">
      <c r="A225" s="23"/>
      <c r="B225" s="24"/>
      <c r="C225" s="25"/>
      <c r="D225" s="26"/>
      <c r="E225" s="22"/>
      <c r="F225" s="27"/>
      <c r="G225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>
      <pane ySplit="9" topLeftCell="A10" activePane="bottomLeft" state="frozen"/>
      <selection pane="bottomLeft" sqref="A1:A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2345</v>
      </c>
      <c r="C5" s="7"/>
      <c r="D5" s="4"/>
    </row>
    <row r="6" spans="1:7" ht="22.5" customHeight="1" x14ac:dyDescent="0.25">
      <c r="A6" s="6"/>
      <c r="B6" s="8" t="s">
        <v>2478</v>
      </c>
      <c r="C6" s="9"/>
      <c r="D6" s="4"/>
    </row>
    <row r="7" spans="1:7" ht="22.5" customHeight="1" x14ac:dyDescent="0.35">
      <c r="A7" s="4"/>
      <c r="B7" s="10"/>
      <c r="C7" s="11" t="s">
        <v>2477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2366</v>
      </c>
      <c r="B10" s="13">
        <v>480</v>
      </c>
      <c r="C10" s="14" t="str">
        <f>+VLOOKUP(B10,[1]LISTE!$A$1:$D$431,4,FALSE)</f>
        <v>TOUMI CHOKRI</v>
      </c>
      <c r="D10" s="14" t="s">
        <v>37</v>
      </c>
      <c r="E10" s="15">
        <v>45906</v>
      </c>
      <c r="F10" s="14" t="s">
        <v>23</v>
      </c>
      <c r="G10" s="16">
        <v>70</v>
      </c>
    </row>
    <row r="11" spans="1:7" x14ac:dyDescent="0.25">
      <c r="A11" s="13" t="s">
        <v>2366</v>
      </c>
      <c r="B11" s="13">
        <v>480</v>
      </c>
      <c r="C11" s="14" t="str">
        <f>+VLOOKUP(B11,[1]LISTE!$A$1:$D$431,4,FALSE)</f>
        <v>TOUMI CHOKRI</v>
      </c>
      <c r="D11" s="14" t="s">
        <v>37</v>
      </c>
      <c r="E11" s="15">
        <v>45906</v>
      </c>
      <c r="F11" s="14" t="s">
        <v>20</v>
      </c>
      <c r="G11" s="16">
        <v>29.823</v>
      </c>
    </row>
    <row r="12" spans="1:7" x14ac:dyDescent="0.25">
      <c r="A12" s="13" t="s">
        <v>2404</v>
      </c>
      <c r="B12" s="13">
        <v>590</v>
      </c>
      <c r="C12" s="14" t="str">
        <f>+VLOOKUP(B12,[1]LISTE!$A$1:$D$431,4,FALSE)</f>
        <v>KHALFALLAH ABDELAZIZ</v>
      </c>
      <c r="D12" s="14" t="s">
        <v>22</v>
      </c>
      <c r="E12" s="15">
        <v>45898</v>
      </c>
      <c r="F12" s="14" t="s">
        <v>23</v>
      </c>
      <c r="G12" s="16">
        <v>40</v>
      </c>
    </row>
    <row r="13" spans="1:7" x14ac:dyDescent="0.25">
      <c r="A13" s="13" t="s">
        <v>2404</v>
      </c>
      <c r="B13" s="13">
        <v>590</v>
      </c>
      <c r="C13" s="14" t="str">
        <f>+VLOOKUP(B13,[1]LISTE!$A$1:$D$431,4,FALSE)</f>
        <v>KHALFALLAH ABDELAZIZ</v>
      </c>
      <c r="D13" s="14" t="s">
        <v>22</v>
      </c>
      <c r="E13" s="15">
        <v>45898</v>
      </c>
      <c r="F13" s="14" t="s">
        <v>20</v>
      </c>
      <c r="G13" s="16">
        <v>53</v>
      </c>
    </row>
    <row r="14" spans="1:7" x14ac:dyDescent="0.25">
      <c r="A14" s="13" t="s">
        <v>2374</v>
      </c>
      <c r="B14" s="13">
        <v>656</v>
      </c>
      <c r="C14" s="14" t="str">
        <f>+VLOOKUP(B14,[1]LISTE!$A$1:$D$431,4,FALSE)</f>
        <v>CHEBIL MOHAMED MONCEF</v>
      </c>
      <c r="D14" s="14" t="s">
        <v>2375</v>
      </c>
      <c r="E14" s="15">
        <v>45910</v>
      </c>
      <c r="F14" s="14" t="s">
        <v>18</v>
      </c>
      <c r="G14" s="16">
        <v>70</v>
      </c>
    </row>
    <row r="15" spans="1:7" x14ac:dyDescent="0.25">
      <c r="A15" s="13" t="s">
        <v>2374</v>
      </c>
      <c r="B15" s="13">
        <v>656</v>
      </c>
      <c r="C15" s="14" t="str">
        <f>+VLOOKUP(B15,[1]LISTE!$A$1:$D$431,4,FALSE)</f>
        <v>CHEBIL MOHAMED MONCEF</v>
      </c>
      <c r="D15" s="15" t="s">
        <v>2375</v>
      </c>
      <c r="E15" s="15">
        <v>45910</v>
      </c>
      <c r="F15" s="14" t="s">
        <v>20</v>
      </c>
      <c r="G15" s="16">
        <v>4.2450000000000001</v>
      </c>
    </row>
    <row r="16" spans="1:7" x14ac:dyDescent="0.25">
      <c r="A16" s="13" t="s">
        <v>2390</v>
      </c>
      <c r="B16" s="13">
        <v>695</v>
      </c>
      <c r="C16" s="14" t="str">
        <f>+VLOOKUP(B16,[1]LISTE!$A$1:$D$431,4,FALSE)</f>
        <v>LAAJILI ABDELHAMID</v>
      </c>
      <c r="D16" s="14" t="s">
        <v>22</v>
      </c>
      <c r="E16" s="15">
        <v>45908</v>
      </c>
      <c r="F16" s="14" t="s">
        <v>23</v>
      </c>
      <c r="G16" s="16">
        <v>45</v>
      </c>
    </row>
    <row r="17" spans="1:7" x14ac:dyDescent="0.25">
      <c r="A17" s="13" t="s">
        <v>2390</v>
      </c>
      <c r="B17" s="13">
        <v>695</v>
      </c>
      <c r="C17" s="14" t="str">
        <f>+VLOOKUP(B17,[1]LISTE!$A$1:$D$431,4,FALSE)</f>
        <v>LAAJILI ABDELHAMID</v>
      </c>
      <c r="D17" s="15" t="s">
        <v>22</v>
      </c>
      <c r="E17" s="15">
        <v>45908</v>
      </c>
      <c r="F17" s="14" t="s">
        <v>19</v>
      </c>
      <c r="G17" s="16">
        <v>45.046999999999997</v>
      </c>
    </row>
    <row r="18" spans="1:7" x14ac:dyDescent="0.25">
      <c r="A18" s="13" t="s">
        <v>2390</v>
      </c>
      <c r="B18" s="13">
        <v>695</v>
      </c>
      <c r="C18" s="14" t="str">
        <f>+VLOOKUP(B18,[1]LISTE!$A$1:$D$431,4,FALSE)</f>
        <v>LAAJILI ABDELHAMID</v>
      </c>
      <c r="D18" s="14" t="s">
        <v>22</v>
      </c>
      <c r="E18" s="15">
        <v>45908</v>
      </c>
      <c r="F18" s="14" t="s">
        <v>20</v>
      </c>
      <c r="G18" s="16">
        <v>26.43</v>
      </c>
    </row>
    <row r="19" spans="1:7" x14ac:dyDescent="0.25">
      <c r="A19" s="13" t="s">
        <v>2418</v>
      </c>
      <c r="B19" s="13">
        <v>700</v>
      </c>
      <c r="C19" s="14" t="str">
        <f>+VLOOKUP(B19,[1]LISTE!$A$1:$D$431,4,FALSE)</f>
        <v>ZORGATI ABDELFATTEH</v>
      </c>
      <c r="D19" s="14" t="s">
        <v>22</v>
      </c>
      <c r="E19" s="15">
        <v>45916</v>
      </c>
      <c r="F19" s="14" t="s">
        <v>23</v>
      </c>
      <c r="G19" s="16">
        <v>25</v>
      </c>
    </row>
    <row r="20" spans="1:7" x14ac:dyDescent="0.25">
      <c r="A20" s="13" t="s">
        <v>2418</v>
      </c>
      <c r="B20" s="13">
        <v>700</v>
      </c>
      <c r="C20" s="14" t="str">
        <f>+VLOOKUP(B20,[1]LISTE!$A$1:$D$431,4,FALSE)</f>
        <v>ZORGATI ABDELFATTEH</v>
      </c>
      <c r="D20" s="14" t="s">
        <v>22</v>
      </c>
      <c r="E20" s="15">
        <v>45917</v>
      </c>
      <c r="F20" s="14" t="s">
        <v>20</v>
      </c>
      <c r="G20" s="16">
        <v>11.968999999999999</v>
      </c>
    </row>
    <row r="21" spans="1:7" x14ac:dyDescent="0.25">
      <c r="A21" s="13" t="s">
        <v>2395</v>
      </c>
      <c r="B21" s="13">
        <v>832</v>
      </c>
      <c r="C21" s="14" t="str">
        <f>+VLOOKUP(B21,[1]LISTE!$A$1:$D$431,4,FALSE)</f>
        <v>ABBASSI LOTFI</v>
      </c>
      <c r="D21" s="15" t="s">
        <v>284</v>
      </c>
      <c r="E21" s="15">
        <v>45908</v>
      </c>
      <c r="F21" s="14" t="s">
        <v>23</v>
      </c>
      <c r="G21" s="16">
        <v>50</v>
      </c>
    </row>
    <row r="22" spans="1:7" x14ac:dyDescent="0.25">
      <c r="A22" s="13" t="s">
        <v>2395</v>
      </c>
      <c r="B22" s="13">
        <v>832</v>
      </c>
      <c r="C22" s="14" t="str">
        <f>+VLOOKUP(B22,[1]LISTE!$A$1:$D$431,4,FALSE)</f>
        <v>ABBASSI LOTFI</v>
      </c>
      <c r="D22" s="15" t="s">
        <v>284</v>
      </c>
      <c r="E22" s="15">
        <v>45908</v>
      </c>
      <c r="F22" s="14" t="s">
        <v>20</v>
      </c>
      <c r="G22" s="16">
        <v>5.125</v>
      </c>
    </row>
    <row r="23" spans="1:7" x14ac:dyDescent="0.25">
      <c r="A23" s="13" t="s">
        <v>2395</v>
      </c>
      <c r="B23" s="13">
        <v>832</v>
      </c>
      <c r="C23" s="14" t="str">
        <f>+VLOOKUP(B23,[1]LISTE!$A$1:$D$431,4,FALSE)</f>
        <v>ABBASSI LOTFI</v>
      </c>
      <c r="D23" s="15" t="s">
        <v>284</v>
      </c>
      <c r="E23" s="15">
        <v>45912</v>
      </c>
      <c r="F23" s="14" t="s">
        <v>24</v>
      </c>
      <c r="G23" s="16">
        <v>60</v>
      </c>
    </row>
    <row r="24" spans="1:7" x14ac:dyDescent="0.25">
      <c r="A24" s="13" t="s">
        <v>2474</v>
      </c>
      <c r="B24" s="13">
        <v>859</v>
      </c>
      <c r="C24" s="14" t="str">
        <f>+VLOOKUP(B24,[1]LISTE!$A$1:$D$431,4,FALSE)</f>
        <v>ZRELLI MOHAMED</v>
      </c>
      <c r="D24" s="14" t="s">
        <v>22</v>
      </c>
      <c r="E24" s="15">
        <v>45922</v>
      </c>
      <c r="F24" s="14" t="s">
        <v>23</v>
      </c>
      <c r="G24" s="16">
        <v>45</v>
      </c>
    </row>
    <row r="25" spans="1:7" x14ac:dyDescent="0.25">
      <c r="A25" s="13" t="s">
        <v>2474</v>
      </c>
      <c r="B25" s="13">
        <v>859</v>
      </c>
      <c r="C25" s="14" t="str">
        <f>+VLOOKUP(B25,[1]LISTE!$A$1:$D$431,4,FALSE)</f>
        <v>ZRELLI MOHAMED</v>
      </c>
      <c r="D25" s="14" t="s">
        <v>22</v>
      </c>
      <c r="E25" s="15">
        <v>45922</v>
      </c>
      <c r="F25" s="14" t="s">
        <v>20</v>
      </c>
      <c r="G25" s="16">
        <v>26.047999999999998</v>
      </c>
    </row>
    <row r="26" spans="1:7" x14ac:dyDescent="0.25">
      <c r="A26" s="13" t="s">
        <v>2365</v>
      </c>
      <c r="B26" s="13">
        <v>879</v>
      </c>
      <c r="C26" s="14" t="str">
        <f>+VLOOKUP(B26,[1]LISTE!$A$1:$D$431,4,FALSE)</f>
        <v>MOUSSA ABDERRAZEK</v>
      </c>
      <c r="D26" s="14" t="s">
        <v>79</v>
      </c>
      <c r="E26" s="15">
        <v>45908</v>
      </c>
      <c r="F26" s="14" t="s">
        <v>18</v>
      </c>
      <c r="G26" s="16">
        <v>70</v>
      </c>
    </row>
    <row r="27" spans="1:7" x14ac:dyDescent="0.25">
      <c r="A27" s="13" t="s">
        <v>2365</v>
      </c>
      <c r="B27" s="13">
        <v>879</v>
      </c>
      <c r="C27" s="14" t="str">
        <f>+VLOOKUP(B27,[1]LISTE!$A$1:$D$431,4,FALSE)</f>
        <v>MOUSSA ABDERRAZEK</v>
      </c>
      <c r="D27" s="14" t="s">
        <v>79</v>
      </c>
      <c r="E27" s="15">
        <v>45908</v>
      </c>
      <c r="F27" s="14" t="s">
        <v>20</v>
      </c>
      <c r="G27" s="16">
        <v>202.10400000000001</v>
      </c>
    </row>
    <row r="28" spans="1:7" x14ac:dyDescent="0.25">
      <c r="A28" s="13" t="s">
        <v>2452</v>
      </c>
      <c r="B28" s="13">
        <v>923</v>
      </c>
      <c r="C28" s="14" t="str">
        <f>+VLOOKUP(B28,[1]LISTE!$A$1:$D$431,4,FALSE)</f>
        <v>BEN AZIZA SLAH</v>
      </c>
      <c r="D28" s="14" t="s">
        <v>22</v>
      </c>
      <c r="E28" s="15">
        <v>45916</v>
      </c>
      <c r="F28" s="14" t="s">
        <v>23</v>
      </c>
      <c r="G28" s="16">
        <v>50</v>
      </c>
    </row>
    <row r="29" spans="1:7" x14ac:dyDescent="0.25">
      <c r="A29" s="13" t="s">
        <v>2452</v>
      </c>
      <c r="B29" s="13">
        <v>923</v>
      </c>
      <c r="C29" s="14" t="str">
        <f>+VLOOKUP(B29,[1]LISTE!$A$1:$D$431,4,FALSE)</f>
        <v>BEN AZIZA SLAH</v>
      </c>
      <c r="D29" s="14" t="s">
        <v>22</v>
      </c>
      <c r="E29" s="15">
        <v>45917</v>
      </c>
      <c r="F29" s="14" t="s">
        <v>20</v>
      </c>
      <c r="G29" s="16">
        <v>29.425000000000001</v>
      </c>
    </row>
    <row r="30" spans="1:7" x14ac:dyDescent="0.25">
      <c r="A30" s="13" t="s">
        <v>2452</v>
      </c>
      <c r="B30" s="13">
        <v>923</v>
      </c>
      <c r="C30" s="14" t="str">
        <f>+VLOOKUP(B30,[1]LISTE!$A$1:$D$431,4,FALSE)</f>
        <v>BEN AZIZA SLAH</v>
      </c>
      <c r="D30" s="14" t="s">
        <v>22</v>
      </c>
      <c r="E30" s="15">
        <v>45917</v>
      </c>
      <c r="F30" s="14" t="s">
        <v>24</v>
      </c>
      <c r="G30" s="16">
        <v>155</v>
      </c>
    </row>
    <row r="31" spans="1:7" x14ac:dyDescent="0.25">
      <c r="A31" s="13" t="s">
        <v>2452</v>
      </c>
      <c r="B31" s="13">
        <v>923</v>
      </c>
      <c r="C31" s="14" t="str">
        <f>+VLOOKUP(B31,[1]LISTE!$A$1:$D$431,4,FALSE)</f>
        <v>BEN AZIZA SLAH</v>
      </c>
      <c r="D31" s="14" t="s">
        <v>22</v>
      </c>
      <c r="E31" s="15">
        <v>45919</v>
      </c>
      <c r="F31" s="14" t="s">
        <v>25</v>
      </c>
      <c r="G31" s="16">
        <v>180</v>
      </c>
    </row>
    <row r="32" spans="1:7" x14ac:dyDescent="0.25">
      <c r="A32" s="13" t="s">
        <v>2445</v>
      </c>
      <c r="B32" s="13">
        <v>957</v>
      </c>
      <c r="C32" s="14" t="str">
        <f>+VLOOKUP(B32,[1]LISTE!$A$1:$D$431,4,FALSE)</f>
        <v>GAZZAH NIZAR</v>
      </c>
      <c r="D32" s="14" t="s">
        <v>374</v>
      </c>
      <c r="E32" s="15">
        <v>45894</v>
      </c>
      <c r="F32" s="14" t="s">
        <v>18</v>
      </c>
      <c r="G32" s="16">
        <v>60</v>
      </c>
    </row>
    <row r="33" spans="1:7" x14ac:dyDescent="0.25">
      <c r="A33" s="13" t="s">
        <v>2445</v>
      </c>
      <c r="B33" s="13">
        <v>957</v>
      </c>
      <c r="C33" s="14" t="str">
        <f>+VLOOKUP(B33,[1]LISTE!$A$1:$D$431,4,FALSE)</f>
        <v>GAZZAH NIZAR</v>
      </c>
      <c r="D33" s="14" t="s">
        <v>374</v>
      </c>
      <c r="E33" s="15">
        <v>45894</v>
      </c>
      <c r="F33" s="14" t="s">
        <v>19</v>
      </c>
      <c r="G33" s="16">
        <v>42.051000000000002</v>
      </c>
    </row>
    <row r="34" spans="1:7" x14ac:dyDescent="0.25">
      <c r="A34" s="13" t="s">
        <v>2445</v>
      </c>
      <c r="B34" s="13">
        <v>957</v>
      </c>
      <c r="C34" s="14" t="str">
        <f>+VLOOKUP(B34,[1]LISTE!$A$1:$D$431,4,FALSE)</f>
        <v>GAZZAH NIZAR</v>
      </c>
      <c r="D34" s="14" t="s">
        <v>374</v>
      </c>
      <c r="E34" s="15">
        <v>45895</v>
      </c>
      <c r="F34" s="14" t="s">
        <v>20</v>
      </c>
      <c r="G34" s="16">
        <v>38.26</v>
      </c>
    </row>
    <row r="35" spans="1:7" x14ac:dyDescent="0.25">
      <c r="A35" s="13" t="s">
        <v>2400</v>
      </c>
      <c r="B35" s="13">
        <v>1596</v>
      </c>
      <c r="C35" s="14" t="str">
        <f>+VLOOKUP(B35,[1]LISTE!$A$1:$D$431,4,FALSE)</f>
        <v>GORCHENE NOUREDDINE</v>
      </c>
      <c r="D35" s="14" t="s">
        <v>511</v>
      </c>
      <c r="E35" s="15">
        <v>45916</v>
      </c>
      <c r="F35" s="14" t="s">
        <v>18</v>
      </c>
      <c r="G35" s="16">
        <v>70</v>
      </c>
    </row>
    <row r="36" spans="1:7" x14ac:dyDescent="0.25">
      <c r="A36" s="13" t="s">
        <v>2400</v>
      </c>
      <c r="B36" s="13">
        <v>1596</v>
      </c>
      <c r="C36" s="14" t="str">
        <f>+VLOOKUP(B36,[1]LISTE!$A$1:$D$431,4,FALSE)</f>
        <v>GORCHENE NOUREDDINE</v>
      </c>
      <c r="D36" s="15" t="s">
        <v>511</v>
      </c>
      <c r="E36" s="15">
        <v>45915</v>
      </c>
      <c r="F36" s="14" t="s">
        <v>19</v>
      </c>
      <c r="G36" s="16">
        <v>79.608000000000004</v>
      </c>
    </row>
    <row r="37" spans="1:7" x14ac:dyDescent="0.25">
      <c r="A37" s="13" t="s">
        <v>2400</v>
      </c>
      <c r="B37" s="13">
        <v>1596</v>
      </c>
      <c r="C37" s="14" t="str">
        <f>+VLOOKUP(B37,[1]LISTE!$A$1:$D$431,4,FALSE)</f>
        <v>GORCHENE NOUREDDINE</v>
      </c>
      <c r="D37" s="14" t="s">
        <v>511</v>
      </c>
      <c r="E37" s="15">
        <v>45916</v>
      </c>
      <c r="F37" s="14" t="s">
        <v>20</v>
      </c>
      <c r="G37" s="16">
        <v>100.35599999999999</v>
      </c>
    </row>
    <row r="38" spans="1:7" x14ac:dyDescent="0.25">
      <c r="A38" s="13" t="s">
        <v>2425</v>
      </c>
      <c r="B38" s="13">
        <v>1596</v>
      </c>
      <c r="C38" s="14" t="str">
        <f>+VLOOKUP(B38,[1]LISTE!$A$1:$D$431,4,FALSE)</f>
        <v>GORCHENE NOUREDDINE</v>
      </c>
      <c r="D38" s="14" t="s">
        <v>322</v>
      </c>
      <c r="E38" s="15">
        <v>45905</v>
      </c>
      <c r="F38" s="14" t="s">
        <v>23</v>
      </c>
      <c r="G38" s="16">
        <v>3</v>
      </c>
    </row>
    <row r="39" spans="1:7" x14ac:dyDescent="0.25">
      <c r="A39" s="13" t="s">
        <v>2425</v>
      </c>
      <c r="B39" s="13">
        <v>1596</v>
      </c>
      <c r="C39" s="14" t="str">
        <f>+VLOOKUP(B39,[1]LISTE!$A$1:$D$431,4,FALSE)</f>
        <v>GORCHENE NOUREDDINE</v>
      </c>
      <c r="D39" s="14" t="s">
        <v>322</v>
      </c>
      <c r="E39" s="15">
        <v>45917</v>
      </c>
      <c r="F39" s="14" t="s">
        <v>20</v>
      </c>
      <c r="G39" s="16">
        <v>14.24</v>
      </c>
    </row>
    <row r="40" spans="1:7" x14ac:dyDescent="0.25">
      <c r="A40" s="13" t="s">
        <v>2377</v>
      </c>
      <c r="B40" s="13">
        <v>1597</v>
      </c>
      <c r="C40" s="14" t="str">
        <f>+VLOOKUP(B40,[1]LISTE!$A$1:$D$431,4,FALSE)</f>
        <v>AMARA KARIM</v>
      </c>
      <c r="D40" s="14" t="s">
        <v>2378</v>
      </c>
      <c r="E40" s="15">
        <v>45889</v>
      </c>
      <c r="F40" s="14" t="s">
        <v>23</v>
      </c>
      <c r="G40" s="16">
        <v>20</v>
      </c>
    </row>
    <row r="41" spans="1:7" x14ac:dyDescent="0.25">
      <c r="A41" s="13" t="s">
        <v>2377</v>
      </c>
      <c r="B41" s="13">
        <v>1597</v>
      </c>
      <c r="C41" s="14" t="str">
        <f>+VLOOKUP(B41,[1]LISTE!$A$1:$D$431,4,FALSE)</f>
        <v>AMARA KARIM</v>
      </c>
      <c r="D41" s="14" t="s">
        <v>2378</v>
      </c>
      <c r="E41" s="15">
        <v>45889</v>
      </c>
      <c r="F41" s="14" t="s">
        <v>19</v>
      </c>
      <c r="G41" s="16">
        <v>28.68</v>
      </c>
    </row>
    <row r="42" spans="1:7" x14ac:dyDescent="0.25">
      <c r="A42" s="13" t="s">
        <v>2377</v>
      </c>
      <c r="B42" s="13">
        <v>1597</v>
      </c>
      <c r="C42" s="14" t="str">
        <f>+VLOOKUP(B42,[1]LISTE!$A$1:$D$431,4,FALSE)</f>
        <v>AMARA KARIM</v>
      </c>
      <c r="D42" s="14" t="s">
        <v>2378</v>
      </c>
      <c r="E42" s="15">
        <v>45889</v>
      </c>
      <c r="F42" s="14" t="s">
        <v>20</v>
      </c>
      <c r="G42" s="16">
        <v>44.274999999999999</v>
      </c>
    </row>
    <row r="43" spans="1:7" x14ac:dyDescent="0.25">
      <c r="A43" s="13" t="s">
        <v>2388</v>
      </c>
      <c r="B43" s="13">
        <v>1597</v>
      </c>
      <c r="C43" s="14" t="str">
        <f>+VLOOKUP(B43,[1]LISTE!$A$1:$D$431,4,FALSE)</f>
        <v>AMARA KARIM</v>
      </c>
      <c r="D43" s="14" t="s">
        <v>182</v>
      </c>
      <c r="E43" s="15">
        <v>45901</v>
      </c>
      <c r="F43" s="14" t="s">
        <v>23</v>
      </c>
      <c r="G43" s="16">
        <v>50</v>
      </c>
    </row>
    <row r="44" spans="1:7" x14ac:dyDescent="0.25">
      <c r="A44" s="13" t="s">
        <v>2388</v>
      </c>
      <c r="B44" s="13">
        <v>1597</v>
      </c>
      <c r="C44" s="14" t="str">
        <f>+VLOOKUP(B44,[1]LISTE!$A$1:$D$431,4,FALSE)</f>
        <v>AMARA KARIM</v>
      </c>
      <c r="D44" s="15" t="s">
        <v>182</v>
      </c>
      <c r="E44" s="15">
        <v>45901</v>
      </c>
      <c r="F44" s="14" t="s">
        <v>20</v>
      </c>
      <c r="G44" s="16">
        <v>24.044</v>
      </c>
    </row>
    <row r="45" spans="1:7" x14ac:dyDescent="0.25">
      <c r="A45" s="13" t="s">
        <v>2393</v>
      </c>
      <c r="B45" s="13">
        <v>1603</v>
      </c>
      <c r="C45" s="14" t="str">
        <f>+VLOOKUP(B45,[1]LISTE!$A$1:$D$431,4,FALSE)</f>
        <v>MANSOUR SALHA</v>
      </c>
      <c r="D45" s="14" t="s">
        <v>22</v>
      </c>
      <c r="E45" s="15">
        <v>45897</v>
      </c>
      <c r="F45" s="14" t="s">
        <v>20</v>
      </c>
      <c r="G45" s="16">
        <v>86.474999999999994</v>
      </c>
    </row>
    <row r="46" spans="1:7" x14ac:dyDescent="0.25">
      <c r="A46" s="13" t="s">
        <v>2406</v>
      </c>
      <c r="B46" s="13">
        <v>1625</v>
      </c>
      <c r="C46" s="14" t="str">
        <f>+VLOOKUP(B46,[1]LISTE!$A$1:$D$431,4,FALSE)</f>
        <v>HAMILA SAMIR</v>
      </c>
      <c r="D46" s="15" t="s">
        <v>22</v>
      </c>
      <c r="E46" s="15">
        <v>45913</v>
      </c>
      <c r="F46" s="14" t="s">
        <v>23</v>
      </c>
      <c r="G46" s="16">
        <v>20</v>
      </c>
    </row>
    <row r="47" spans="1:7" x14ac:dyDescent="0.25">
      <c r="A47" s="13" t="s">
        <v>2406</v>
      </c>
      <c r="B47" s="13">
        <v>1625</v>
      </c>
      <c r="C47" s="14" t="str">
        <f>+VLOOKUP(B47,[1]LISTE!$A$1:$D$431,4,FALSE)</f>
        <v>HAMILA SAMIR</v>
      </c>
      <c r="D47" s="15" t="s">
        <v>22</v>
      </c>
      <c r="E47" s="15">
        <v>45915</v>
      </c>
      <c r="F47" s="14" t="s">
        <v>20</v>
      </c>
      <c r="G47" s="16">
        <v>139.88</v>
      </c>
    </row>
    <row r="48" spans="1:7" x14ac:dyDescent="0.25">
      <c r="A48" s="13" t="s">
        <v>2394</v>
      </c>
      <c r="B48" s="13">
        <v>1639</v>
      </c>
      <c r="C48" s="14" t="str">
        <f>+VLOOKUP(B48,[1]LISTE!$A$1:$D$431,4,FALSE)</f>
        <v>ZBIDI FAKHER</v>
      </c>
      <c r="D48" s="14" t="s">
        <v>347</v>
      </c>
      <c r="E48" s="15">
        <v>45911</v>
      </c>
      <c r="F48" s="14" t="s">
        <v>23</v>
      </c>
      <c r="G48" s="16">
        <v>50</v>
      </c>
    </row>
    <row r="49" spans="1:7" x14ac:dyDescent="0.25">
      <c r="A49" s="13" t="s">
        <v>2394</v>
      </c>
      <c r="B49" s="13">
        <v>1639</v>
      </c>
      <c r="C49" s="14" t="str">
        <f>+VLOOKUP(B49,[1]LISTE!$A$1:$D$431,4,FALSE)</f>
        <v>ZBIDI FAKHER</v>
      </c>
      <c r="D49" s="15" t="s">
        <v>347</v>
      </c>
      <c r="E49" s="15">
        <v>45911</v>
      </c>
      <c r="F49" s="14" t="s">
        <v>20</v>
      </c>
      <c r="G49" s="16">
        <v>4.55</v>
      </c>
    </row>
    <row r="50" spans="1:7" x14ac:dyDescent="0.25">
      <c r="A50" s="13" t="s">
        <v>2394</v>
      </c>
      <c r="B50" s="13">
        <v>1639</v>
      </c>
      <c r="C50" s="14" t="str">
        <f>+VLOOKUP(B50,[1]LISTE!$A$1:$D$431,4,FALSE)</f>
        <v>ZBIDI FAKHER</v>
      </c>
      <c r="D50" s="15" t="s">
        <v>347</v>
      </c>
      <c r="E50" s="15">
        <v>45912</v>
      </c>
      <c r="F50" s="14" t="s">
        <v>24</v>
      </c>
      <c r="G50" s="16">
        <v>100</v>
      </c>
    </row>
    <row r="51" spans="1:7" x14ac:dyDescent="0.25">
      <c r="A51" s="13" t="s">
        <v>2409</v>
      </c>
      <c r="B51" s="13">
        <v>1650</v>
      </c>
      <c r="C51" s="14" t="str">
        <f>+VLOOKUP(B51,[1]LISTE!$A$1:$D$431,4,FALSE)</f>
        <v>OUAJA RAOUF</v>
      </c>
      <c r="D51" s="14" t="s">
        <v>268</v>
      </c>
      <c r="E51" s="15">
        <v>45917</v>
      </c>
      <c r="F51" s="14" t="s">
        <v>23</v>
      </c>
      <c r="G51" s="16">
        <v>45</v>
      </c>
    </row>
    <row r="52" spans="1:7" x14ac:dyDescent="0.25">
      <c r="A52" s="13" t="s">
        <v>2409</v>
      </c>
      <c r="B52" s="13">
        <v>1650</v>
      </c>
      <c r="C52" s="14" t="str">
        <f>+VLOOKUP(B52,[1]LISTE!$A$1:$D$431,4,FALSE)</f>
        <v>OUAJA RAOUF</v>
      </c>
      <c r="D52" s="14" t="s">
        <v>268</v>
      </c>
      <c r="E52" s="15">
        <v>45917</v>
      </c>
      <c r="F52" s="14" t="s">
        <v>20</v>
      </c>
      <c r="G52" s="16">
        <v>59.323999999999998</v>
      </c>
    </row>
    <row r="53" spans="1:7" x14ac:dyDescent="0.25">
      <c r="A53" s="13" t="s">
        <v>2446</v>
      </c>
      <c r="B53" s="13">
        <v>1657</v>
      </c>
      <c r="C53" s="14" t="str">
        <f>+VLOOKUP(B53,[1]LISTE!$A$1:$D$431,4,FALSE)</f>
        <v>BELLALOUNA NIDHAL</v>
      </c>
      <c r="D53" s="14" t="s">
        <v>22</v>
      </c>
      <c r="E53" s="15">
        <v>45906</v>
      </c>
      <c r="F53" s="14" t="s">
        <v>18</v>
      </c>
      <c r="G53" s="16">
        <v>70</v>
      </c>
    </row>
    <row r="54" spans="1:7" x14ac:dyDescent="0.25">
      <c r="A54" s="13" t="s">
        <v>2446</v>
      </c>
      <c r="B54" s="13">
        <v>1657</v>
      </c>
      <c r="C54" s="14" t="str">
        <f>+VLOOKUP(B54,[1]LISTE!$A$1:$D$431,4,FALSE)</f>
        <v>BELLALOUNA NIDHAL</v>
      </c>
      <c r="D54" s="14" t="s">
        <v>22</v>
      </c>
      <c r="E54" s="15">
        <v>45916</v>
      </c>
      <c r="F54" s="14" t="s">
        <v>18</v>
      </c>
      <c r="G54" s="16">
        <v>70</v>
      </c>
    </row>
    <row r="55" spans="1:7" x14ac:dyDescent="0.25">
      <c r="A55" s="13" t="s">
        <v>2446</v>
      </c>
      <c r="B55" s="13">
        <v>1657</v>
      </c>
      <c r="C55" s="14" t="str">
        <f>+VLOOKUP(B55,[1]LISTE!$A$1:$D$431,4,FALSE)</f>
        <v>BELLALOUNA NIDHAL</v>
      </c>
      <c r="D55" s="14" t="s">
        <v>22</v>
      </c>
      <c r="E55" s="15">
        <v>45906</v>
      </c>
      <c r="F55" s="14" t="s">
        <v>20</v>
      </c>
      <c r="G55" s="16">
        <v>5.55</v>
      </c>
    </row>
    <row r="56" spans="1:7" x14ac:dyDescent="0.25">
      <c r="A56" s="13" t="s">
        <v>2446</v>
      </c>
      <c r="B56" s="13">
        <v>1657</v>
      </c>
      <c r="C56" s="14" t="str">
        <f>+VLOOKUP(B56,[1]LISTE!$A$1:$D$431,4,FALSE)</f>
        <v>BELLALOUNA NIDHAL</v>
      </c>
      <c r="D56" s="14" t="s">
        <v>22</v>
      </c>
      <c r="E56" s="15">
        <v>45921</v>
      </c>
      <c r="F56" s="14" t="s">
        <v>20</v>
      </c>
      <c r="G56" s="16">
        <v>17.542000000000002</v>
      </c>
    </row>
    <row r="57" spans="1:7" x14ac:dyDescent="0.25">
      <c r="A57" s="13" t="s">
        <v>2442</v>
      </c>
      <c r="B57" s="13">
        <v>1671</v>
      </c>
      <c r="C57" s="14" t="str">
        <f>+VLOOKUP(B57,[1]LISTE!$A$1:$D$431,4,FALSE)</f>
        <v>EL BACH ADEL</v>
      </c>
      <c r="D57" s="15" t="s">
        <v>687</v>
      </c>
      <c r="E57" s="15">
        <v>45912</v>
      </c>
      <c r="F57" s="14" t="s">
        <v>23</v>
      </c>
      <c r="G57" s="16">
        <v>40</v>
      </c>
    </row>
    <row r="58" spans="1:7" x14ac:dyDescent="0.25">
      <c r="A58" s="13" t="s">
        <v>2442</v>
      </c>
      <c r="B58" s="13">
        <v>1671</v>
      </c>
      <c r="C58" s="14" t="str">
        <f>+VLOOKUP(B58,[1]LISTE!$A$1:$D$431,4,FALSE)</f>
        <v>EL BACH ADEL</v>
      </c>
      <c r="D58" s="14" t="s">
        <v>687</v>
      </c>
      <c r="E58" s="15">
        <v>45912</v>
      </c>
      <c r="F58" s="14" t="s">
        <v>20</v>
      </c>
      <c r="G58" s="16">
        <v>76.290000000000006</v>
      </c>
    </row>
    <row r="59" spans="1:7" x14ac:dyDescent="0.25">
      <c r="A59" s="13" t="s">
        <v>2443</v>
      </c>
      <c r="B59" s="13">
        <v>1671</v>
      </c>
      <c r="C59" s="14" t="str">
        <f>+VLOOKUP(B59,[1]LISTE!$A$1:$D$431,4,FALSE)</f>
        <v>EL BACH ADEL</v>
      </c>
      <c r="D59" s="14" t="s">
        <v>151</v>
      </c>
      <c r="E59" s="15">
        <v>45915</v>
      </c>
      <c r="F59" s="14" t="s">
        <v>23</v>
      </c>
      <c r="G59" s="16">
        <v>40</v>
      </c>
    </row>
    <row r="60" spans="1:7" x14ac:dyDescent="0.25">
      <c r="A60" s="13" t="s">
        <v>2443</v>
      </c>
      <c r="B60" s="13">
        <v>1671</v>
      </c>
      <c r="C60" s="14" t="str">
        <f>+VLOOKUP(B60,[1]LISTE!$A$1:$D$431,4,FALSE)</f>
        <v>EL BACH ADEL</v>
      </c>
      <c r="D60" s="14" t="s">
        <v>151</v>
      </c>
      <c r="E60" s="15">
        <v>45915</v>
      </c>
      <c r="F60" s="14" t="s">
        <v>20</v>
      </c>
      <c r="G60" s="16">
        <v>75.491</v>
      </c>
    </row>
    <row r="61" spans="1:7" x14ac:dyDescent="0.25">
      <c r="A61" s="13" t="s">
        <v>2462</v>
      </c>
      <c r="B61" s="13">
        <v>1671</v>
      </c>
      <c r="C61" s="14" t="str">
        <f>+VLOOKUP(B61,[1]LISTE!$A$1:$D$431,4,FALSE)</f>
        <v>EL BACH ADEL</v>
      </c>
      <c r="D61" s="14" t="s">
        <v>22</v>
      </c>
      <c r="E61" s="15">
        <v>45912</v>
      </c>
      <c r="F61" s="14" t="s">
        <v>18</v>
      </c>
      <c r="G61" s="16">
        <v>70</v>
      </c>
    </row>
    <row r="62" spans="1:7" x14ac:dyDescent="0.25">
      <c r="A62" s="13" t="s">
        <v>2462</v>
      </c>
      <c r="B62" s="13">
        <v>1671</v>
      </c>
      <c r="C62" s="14" t="str">
        <f>+VLOOKUP(B62,[1]LISTE!$A$1:$D$431,4,FALSE)</f>
        <v>EL BACH ADEL</v>
      </c>
      <c r="D62" s="14" t="s">
        <v>22</v>
      </c>
      <c r="E62" s="15">
        <v>45912</v>
      </c>
      <c r="F62" s="14" t="s">
        <v>20</v>
      </c>
      <c r="G62" s="16">
        <v>117.795</v>
      </c>
    </row>
    <row r="63" spans="1:7" x14ac:dyDescent="0.25">
      <c r="A63" s="13" t="s">
        <v>2462</v>
      </c>
      <c r="B63" s="13">
        <v>1671</v>
      </c>
      <c r="C63" s="14" t="str">
        <f>+VLOOKUP(B63,[1]LISTE!$A$1:$D$431,4,FALSE)</f>
        <v>EL BACH ADEL</v>
      </c>
      <c r="D63" s="14" t="s">
        <v>22</v>
      </c>
      <c r="E63" s="15">
        <v>45922</v>
      </c>
      <c r="F63" s="14" t="s">
        <v>19</v>
      </c>
      <c r="G63" s="16">
        <v>124.806</v>
      </c>
    </row>
    <row r="64" spans="1:7" x14ac:dyDescent="0.25">
      <c r="A64" s="13" t="s">
        <v>2348</v>
      </c>
      <c r="B64" s="13">
        <v>1683</v>
      </c>
      <c r="C64" s="14" t="str">
        <f>+VLOOKUP(B64,[1]LISTE!$A$1:$D$431,4,FALSE)</f>
        <v>HEDHILI MOHAMED</v>
      </c>
      <c r="D64" s="15" t="s">
        <v>242</v>
      </c>
      <c r="E64" s="15">
        <v>45910</v>
      </c>
      <c r="F64" s="14" t="s">
        <v>23</v>
      </c>
      <c r="G64" s="16">
        <v>25</v>
      </c>
    </row>
    <row r="65" spans="1:7" x14ac:dyDescent="0.25">
      <c r="A65" s="13" t="s">
        <v>2348</v>
      </c>
      <c r="B65" s="13">
        <v>1683</v>
      </c>
      <c r="C65" s="14" t="str">
        <f>+VLOOKUP(B65,[1]LISTE!$A$1:$D$431,4,FALSE)</f>
        <v>HEDHILI MOHAMED</v>
      </c>
      <c r="D65" s="14" t="s">
        <v>242</v>
      </c>
      <c r="E65" s="15">
        <v>45910</v>
      </c>
      <c r="F65" s="14" t="s">
        <v>20</v>
      </c>
      <c r="G65" s="16">
        <v>22.21</v>
      </c>
    </row>
    <row r="66" spans="1:7" x14ac:dyDescent="0.25">
      <c r="A66" s="13" t="s">
        <v>2408</v>
      </c>
      <c r="B66" s="13">
        <v>1687</v>
      </c>
      <c r="C66" s="14" t="str">
        <f>+VLOOKUP(B66,[1]LISTE!$A$1:$D$431,4,FALSE)</f>
        <v>LACHHAB SAHBI</v>
      </c>
      <c r="D66" s="14" t="s">
        <v>349</v>
      </c>
      <c r="E66" s="15">
        <v>45915</v>
      </c>
      <c r="F66" s="14" t="s">
        <v>18</v>
      </c>
      <c r="G66" s="16">
        <v>60</v>
      </c>
    </row>
    <row r="67" spans="1:7" x14ac:dyDescent="0.25">
      <c r="A67" s="13" t="s">
        <v>2408</v>
      </c>
      <c r="B67" s="13">
        <v>1687</v>
      </c>
      <c r="C67" s="14" t="str">
        <f>+VLOOKUP(B67,[1]LISTE!$A$1:$D$431,4,FALSE)</f>
        <v>LACHHAB SAHBI</v>
      </c>
      <c r="D67" s="14" t="s">
        <v>349</v>
      </c>
      <c r="E67" s="15">
        <v>45915</v>
      </c>
      <c r="F67" s="14" t="s">
        <v>19</v>
      </c>
      <c r="G67" s="16">
        <v>45.046999999999997</v>
      </c>
    </row>
    <row r="68" spans="1:7" x14ac:dyDescent="0.25">
      <c r="A68" s="13" t="s">
        <v>2408</v>
      </c>
      <c r="B68" s="13">
        <v>1687</v>
      </c>
      <c r="C68" s="14" t="str">
        <f>+VLOOKUP(B68,[1]LISTE!$A$1:$D$431,4,FALSE)</f>
        <v>LACHHAB SAHBI</v>
      </c>
      <c r="D68" s="14" t="s">
        <v>349</v>
      </c>
      <c r="E68" s="15">
        <v>45915</v>
      </c>
      <c r="F68" s="14" t="s">
        <v>20</v>
      </c>
      <c r="G68" s="16">
        <v>287.14299999999997</v>
      </c>
    </row>
    <row r="69" spans="1:7" x14ac:dyDescent="0.25">
      <c r="A69" s="13" t="s">
        <v>2439</v>
      </c>
      <c r="B69" s="13">
        <v>1688</v>
      </c>
      <c r="C69" s="14" t="str">
        <f>+VLOOKUP(B69,[1]LISTE!$A$1:$D$431,4,FALSE)</f>
        <v>BEN ABDELJELIL MED ANIS</v>
      </c>
      <c r="D69" s="14" t="s">
        <v>2440</v>
      </c>
      <c r="E69" s="15">
        <v>45916</v>
      </c>
      <c r="F69" s="14" t="s">
        <v>18</v>
      </c>
      <c r="G69" s="16">
        <v>70</v>
      </c>
    </row>
    <row r="70" spans="1:7" x14ac:dyDescent="0.25">
      <c r="A70" s="13" t="s">
        <v>2439</v>
      </c>
      <c r="B70" s="13">
        <v>1688</v>
      </c>
      <c r="C70" s="14" t="str">
        <f>+VLOOKUP(B70,[1]LISTE!$A$1:$D$431,4,FALSE)</f>
        <v>BEN ABDELJELIL MED ANIS</v>
      </c>
      <c r="D70" s="14" t="s">
        <v>2440</v>
      </c>
      <c r="E70" s="15">
        <v>45918</v>
      </c>
      <c r="F70" s="14" t="s">
        <v>69</v>
      </c>
      <c r="G70" s="16">
        <v>390</v>
      </c>
    </row>
    <row r="71" spans="1:7" x14ac:dyDescent="0.25">
      <c r="A71" s="13" t="s">
        <v>2431</v>
      </c>
      <c r="B71" s="13">
        <v>1693</v>
      </c>
      <c r="C71" s="14" t="str">
        <f>+VLOOKUP(B71,[1]LISTE!$A$1:$D$431,4,FALSE)</f>
        <v>REBAI MOHAMED</v>
      </c>
      <c r="D71" s="14" t="s">
        <v>475</v>
      </c>
      <c r="E71" s="15">
        <v>45919</v>
      </c>
      <c r="F71" s="14" t="s">
        <v>18</v>
      </c>
      <c r="G71" s="16">
        <v>70</v>
      </c>
    </row>
    <row r="72" spans="1:7" x14ac:dyDescent="0.25">
      <c r="A72" s="13" t="s">
        <v>2431</v>
      </c>
      <c r="B72" s="13">
        <v>1693</v>
      </c>
      <c r="C72" s="14" t="str">
        <f>+VLOOKUP(B72,[1]LISTE!$A$1:$D$431,4,FALSE)</f>
        <v>REBAI MOHAMED</v>
      </c>
      <c r="D72" s="15" t="s">
        <v>475</v>
      </c>
      <c r="E72" s="15">
        <v>45902</v>
      </c>
      <c r="F72" s="14" t="s">
        <v>19</v>
      </c>
      <c r="G72" s="16">
        <v>148.81</v>
      </c>
    </row>
    <row r="73" spans="1:7" x14ac:dyDescent="0.25">
      <c r="A73" s="13" t="s">
        <v>2431</v>
      </c>
      <c r="B73" s="13">
        <v>1693</v>
      </c>
      <c r="C73" s="14" t="str">
        <f>+VLOOKUP(B73,[1]LISTE!$A$1:$D$431,4,FALSE)</f>
        <v>REBAI MOHAMED</v>
      </c>
      <c r="D73" s="14" t="s">
        <v>475</v>
      </c>
      <c r="E73" s="15">
        <v>45919</v>
      </c>
      <c r="F73" s="14" t="s">
        <v>20</v>
      </c>
      <c r="G73" s="16">
        <v>122.88500000000001</v>
      </c>
    </row>
    <row r="74" spans="1:7" x14ac:dyDescent="0.25">
      <c r="A74" s="13" t="s">
        <v>2397</v>
      </c>
      <c r="B74" s="13">
        <v>1695</v>
      </c>
      <c r="C74" s="14" t="str">
        <f>+VLOOKUP(B74,[1]LISTE!$A$1:$D$431,4,FALSE)</f>
        <v>BEN AROUS FOUED</v>
      </c>
      <c r="D74" s="14" t="s">
        <v>144</v>
      </c>
      <c r="E74" s="15">
        <v>45880</v>
      </c>
      <c r="F74" s="14" t="s">
        <v>23</v>
      </c>
      <c r="G74" s="16">
        <v>50</v>
      </c>
    </row>
    <row r="75" spans="1:7" x14ac:dyDescent="0.25">
      <c r="A75" s="13" t="s">
        <v>2397</v>
      </c>
      <c r="B75" s="13">
        <v>1695</v>
      </c>
      <c r="C75" s="14" t="str">
        <f>+VLOOKUP(B75,[1]LISTE!$A$1:$D$431,4,FALSE)</f>
        <v>BEN AROUS FOUED</v>
      </c>
      <c r="D75" s="14" t="s">
        <v>144</v>
      </c>
      <c r="E75" s="15">
        <v>45901</v>
      </c>
      <c r="F75" s="14" t="s">
        <v>24</v>
      </c>
      <c r="G75" s="16">
        <v>180</v>
      </c>
    </row>
    <row r="76" spans="1:7" x14ac:dyDescent="0.25">
      <c r="A76" s="13" t="s">
        <v>2441</v>
      </c>
      <c r="B76" s="13">
        <v>1698</v>
      </c>
      <c r="C76" s="14" t="str">
        <f>+VLOOKUP(B76,[1]LISTE!$A$1:$D$431,4,FALSE)</f>
        <v>BEL HADJ NABIL</v>
      </c>
      <c r="D76" s="14" t="s">
        <v>200</v>
      </c>
      <c r="E76" s="15">
        <v>45917</v>
      </c>
      <c r="F76" s="14" t="s">
        <v>23</v>
      </c>
      <c r="G76" s="16">
        <v>1.5</v>
      </c>
    </row>
    <row r="77" spans="1:7" x14ac:dyDescent="0.25">
      <c r="A77" s="13" t="s">
        <v>2441</v>
      </c>
      <c r="B77" s="13">
        <v>1698</v>
      </c>
      <c r="C77" s="14" t="str">
        <f>+VLOOKUP(B77,[1]LISTE!$A$1:$D$431,4,FALSE)</f>
        <v>BEL HADJ NABIL</v>
      </c>
      <c r="D77" s="15" t="s">
        <v>200</v>
      </c>
      <c r="E77" s="15">
        <v>45917</v>
      </c>
      <c r="F77" s="14" t="s">
        <v>20</v>
      </c>
      <c r="G77" s="16">
        <v>8.5619999999999994</v>
      </c>
    </row>
    <row r="78" spans="1:7" x14ac:dyDescent="0.25">
      <c r="A78" s="13" t="s">
        <v>2391</v>
      </c>
      <c r="B78" s="13">
        <v>1701</v>
      </c>
      <c r="C78" s="14" t="str">
        <f>+VLOOKUP(B78,[1]LISTE!$A$1:$D$431,4,FALSE)</f>
        <v>SASSI KARIM</v>
      </c>
      <c r="D78" s="14" t="s">
        <v>2392</v>
      </c>
      <c r="E78" s="15">
        <v>45896</v>
      </c>
      <c r="F78" s="14" t="s">
        <v>20</v>
      </c>
      <c r="G78" s="16">
        <v>30.193000000000001</v>
      </c>
    </row>
    <row r="79" spans="1:7" x14ac:dyDescent="0.25">
      <c r="A79" s="13" t="s">
        <v>2391</v>
      </c>
      <c r="B79" s="13">
        <v>1701</v>
      </c>
      <c r="C79" s="14" t="str">
        <f>+VLOOKUP(B79,[1]LISTE!$A$1:$D$431,4,FALSE)</f>
        <v>SASSI KARIM</v>
      </c>
      <c r="D79" s="14" t="s">
        <v>2392</v>
      </c>
      <c r="E79" s="15">
        <v>45896</v>
      </c>
      <c r="F79" s="14" t="s">
        <v>24</v>
      </c>
      <c r="G79" s="16">
        <v>960</v>
      </c>
    </row>
    <row r="80" spans="1:7" x14ac:dyDescent="0.25">
      <c r="A80" s="13" t="s">
        <v>2432</v>
      </c>
      <c r="B80" s="13">
        <v>1706</v>
      </c>
      <c r="C80" s="14" t="str">
        <f>+VLOOKUP(B80,[1]LISTE!$A$1:$D$431,4,FALSE)</f>
        <v>GRIRA LOKHDHIRI FREDJ</v>
      </c>
      <c r="D80" s="15" t="s">
        <v>147</v>
      </c>
      <c r="E80" s="15">
        <v>45920</v>
      </c>
      <c r="F80" s="14" t="s">
        <v>23</v>
      </c>
      <c r="G80" s="16">
        <v>45</v>
      </c>
    </row>
    <row r="81" spans="1:7" x14ac:dyDescent="0.25">
      <c r="A81" s="13" t="s">
        <v>2432</v>
      </c>
      <c r="B81" s="13">
        <v>1706</v>
      </c>
      <c r="C81" s="14" t="str">
        <f>+VLOOKUP(B81,[1]LISTE!$A$1:$D$431,4,FALSE)</f>
        <v>GRIRA LOKHDHIRI FREDJ</v>
      </c>
      <c r="D81" s="14" t="s">
        <v>147</v>
      </c>
      <c r="E81" s="15">
        <v>45920</v>
      </c>
      <c r="F81" s="14" t="s">
        <v>20</v>
      </c>
      <c r="G81" s="16">
        <v>28.844999999999999</v>
      </c>
    </row>
    <row r="82" spans="1:7" x14ac:dyDescent="0.25">
      <c r="A82" s="13" t="s">
        <v>2473</v>
      </c>
      <c r="B82" s="13">
        <v>1713</v>
      </c>
      <c r="C82" s="14" t="s">
        <v>939</v>
      </c>
      <c r="D82" s="14" t="s">
        <v>22</v>
      </c>
      <c r="E82" s="15">
        <v>45908</v>
      </c>
      <c r="F82" s="14" t="s">
        <v>18</v>
      </c>
      <c r="G82" s="16">
        <v>60</v>
      </c>
    </row>
    <row r="83" spans="1:7" x14ac:dyDescent="0.25">
      <c r="A83" s="13" t="s">
        <v>2473</v>
      </c>
      <c r="B83" s="13">
        <v>1713</v>
      </c>
      <c r="C83" s="14" t="s">
        <v>939</v>
      </c>
      <c r="D83" s="14" t="s">
        <v>22</v>
      </c>
      <c r="E83" s="15">
        <v>45908</v>
      </c>
      <c r="F83" s="14" t="s">
        <v>20</v>
      </c>
      <c r="G83" s="16">
        <v>7.64</v>
      </c>
    </row>
    <row r="84" spans="1:7" x14ac:dyDescent="0.25">
      <c r="A84" s="13" t="s">
        <v>2475</v>
      </c>
      <c r="B84" s="13">
        <v>1714</v>
      </c>
      <c r="C84" s="14" t="str">
        <f>+VLOOKUP(B84,[1]LISTE!$A$1:$D$431,4,FALSE)</f>
        <v>MATHLOUTHI MONDHER</v>
      </c>
      <c r="D84" s="14" t="s">
        <v>2011</v>
      </c>
      <c r="E84" s="15">
        <v>45920</v>
      </c>
      <c r="F84" s="14" t="s">
        <v>23</v>
      </c>
      <c r="G84" s="16">
        <v>50</v>
      </c>
    </row>
    <row r="85" spans="1:7" x14ac:dyDescent="0.25">
      <c r="A85" s="13" t="s">
        <v>2475</v>
      </c>
      <c r="B85" s="13">
        <v>1714</v>
      </c>
      <c r="C85" s="14" t="str">
        <f>+VLOOKUP(B85,[1]LISTE!$A$1:$D$431,4,FALSE)</f>
        <v>MATHLOUTHI MONDHER</v>
      </c>
      <c r="D85" s="14" t="s">
        <v>2011</v>
      </c>
      <c r="E85" s="15">
        <v>45920</v>
      </c>
      <c r="F85" s="14" t="s">
        <v>20</v>
      </c>
      <c r="G85" s="16">
        <v>29.065000000000001</v>
      </c>
    </row>
    <row r="86" spans="1:7" x14ac:dyDescent="0.25">
      <c r="A86" s="13" t="s">
        <v>2475</v>
      </c>
      <c r="B86" s="13">
        <v>1714</v>
      </c>
      <c r="C86" s="14" t="str">
        <f>+VLOOKUP(B86,[1]LISTE!$A$1:$D$431,4,FALSE)</f>
        <v>MATHLOUTHI MONDHER</v>
      </c>
      <c r="D86" s="14" t="s">
        <v>2011</v>
      </c>
      <c r="E86" s="15">
        <v>45920</v>
      </c>
      <c r="F86" s="14" t="s">
        <v>65</v>
      </c>
      <c r="G86" s="16">
        <v>4</v>
      </c>
    </row>
    <row r="87" spans="1:7" x14ac:dyDescent="0.25">
      <c r="A87" s="13" t="s">
        <v>2360</v>
      </c>
      <c r="B87" s="13">
        <v>1728</v>
      </c>
      <c r="C87" s="14" t="str">
        <f>+VLOOKUP(B87,[1]LISTE!$A$1:$D$431,4,FALSE)</f>
        <v>SLAMA DHAFER</v>
      </c>
      <c r="D87" s="15" t="s">
        <v>163</v>
      </c>
      <c r="E87" s="15">
        <v>45901</v>
      </c>
      <c r="F87" s="14" t="s">
        <v>18</v>
      </c>
      <c r="G87" s="16">
        <v>70</v>
      </c>
    </row>
    <row r="88" spans="1:7" x14ac:dyDescent="0.25">
      <c r="A88" s="13" t="s">
        <v>2360</v>
      </c>
      <c r="B88" s="13">
        <v>1728</v>
      </c>
      <c r="C88" s="14" t="str">
        <f>+VLOOKUP(B88,[1]LISTE!$A$1:$D$431,4,FALSE)</f>
        <v>SLAMA DHAFER</v>
      </c>
      <c r="D88" s="14" t="s">
        <v>163</v>
      </c>
      <c r="E88" s="15">
        <v>45910</v>
      </c>
      <c r="F88" s="14" t="s">
        <v>69</v>
      </c>
      <c r="G88" s="16">
        <v>730</v>
      </c>
    </row>
    <row r="89" spans="1:7" x14ac:dyDescent="0.25">
      <c r="A89" s="13" t="s">
        <v>2419</v>
      </c>
      <c r="B89" s="13">
        <v>1728</v>
      </c>
      <c r="C89" s="14" t="str">
        <f>+VLOOKUP(B89,[1]LISTE!$A$1:$D$431,4,FALSE)</f>
        <v>SLAMA DHAFER</v>
      </c>
      <c r="D89" s="14" t="s">
        <v>22</v>
      </c>
      <c r="E89" s="15">
        <v>45916</v>
      </c>
      <c r="F89" s="14" t="s">
        <v>18</v>
      </c>
      <c r="G89" s="16">
        <v>70</v>
      </c>
    </row>
    <row r="90" spans="1:7" x14ac:dyDescent="0.25">
      <c r="A90" s="13" t="s">
        <v>2419</v>
      </c>
      <c r="B90" s="13">
        <v>1728</v>
      </c>
      <c r="C90" s="14" t="str">
        <f>+VLOOKUP(B90,[1]LISTE!$A$1:$D$431,4,FALSE)</f>
        <v>SLAMA DHAFER</v>
      </c>
      <c r="D90" s="14" t="s">
        <v>22</v>
      </c>
      <c r="E90" s="15">
        <v>45916</v>
      </c>
      <c r="F90" s="14" t="s">
        <v>20</v>
      </c>
      <c r="G90" s="16">
        <v>119.7</v>
      </c>
    </row>
    <row r="91" spans="1:7" x14ac:dyDescent="0.25">
      <c r="A91" s="13" t="s">
        <v>2350</v>
      </c>
      <c r="B91" s="13">
        <v>1735</v>
      </c>
      <c r="C91" s="14" t="str">
        <f>+VLOOKUP(B91,[1]LISTE!$A$1:$D$431,4,FALSE)</f>
        <v>SAKKA ROUIS MED HAFEDH</v>
      </c>
      <c r="D91" s="15" t="s">
        <v>163</v>
      </c>
      <c r="E91" s="15">
        <v>45905</v>
      </c>
      <c r="F91" s="14" t="s">
        <v>23</v>
      </c>
      <c r="G91" s="16">
        <v>50</v>
      </c>
    </row>
    <row r="92" spans="1:7" x14ac:dyDescent="0.25">
      <c r="A92" s="13" t="s">
        <v>2350</v>
      </c>
      <c r="B92" s="13">
        <v>1735</v>
      </c>
      <c r="C92" s="14" t="str">
        <f>+VLOOKUP(B92,[1]LISTE!$A$1:$D$431,4,FALSE)</f>
        <v>SAKKA ROUIS MED HAFEDH</v>
      </c>
      <c r="D92" s="15" t="s">
        <v>163</v>
      </c>
      <c r="E92" s="15">
        <v>45905</v>
      </c>
      <c r="F92" s="14" t="s">
        <v>20</v>
      </c>
      <c r="G92" s="16">
        <v>2.3650000000000002</v>
      </c>
    </row>
    <row r="93" spans="1:7" x14ac:dyDescent="0.25">
      <c r="A93" s="13" t="s">
        <v>2423</v>
      </c>
      <c r="B93" s="13">
        <v>1740</v>
      </c>
      <c r="C93" s="14" t="str">
        <f>+VLOOKUP(B93,[1]LISTE!$A$1:$D$431,4,FALSE)</f>
        <v>YOUSSEF LOTFI</v>
      </c>
      <c r="D93" s="15" t="s">
        <v>144</v>
      </c>
      <c r="E93" s="15">
        <v>45906</v>
      </c>
      <c r="F93" s="14" t="s">
        <v>18</v>
      </c>
      <c r="G93" s="16">
        <v>70</v>
      </c>
    </row>
    <row r="94" spans="1:7" x14ac:dyDescent="0.25">
      <c r="A94" s="13" t="s">
        <v>2423</v>
      </c>
      <c r="B94" s="13">
        <v>1740</v>
      </c>
      <c r="C94" s="14" t="str">
        <f>+VLOOKUP(B94,[1]LISTE!$A$1:$D$431,4,FALSE)</f>
        <v>YOUSSEF LOTFI</v>
      </c>
      <c r="D94" s="15" t="s">
        <v>144</v>
      </c>
      <c r="E94" s="15">
        <v>45916</v>
      </c>
      <c r="F94" s="14" t="s">
        <v>69</v>
      </c>
      <c r="G94" s="16">
        <v>130.9</v>
      </c>
    </row>
    <row r="95" spans="1:7" x14ac:dyDescent="0.25">
      <c r="A95" s="13" t="s">
        <v>2401</v>
      </c>
      <c r="B95" s="13">
        <v>1746</v>
      </c>
      <c r="C95" s="14" t="str">
        <f>+VLOOKUP(B95,[1]LISTE!$A$1:$D$431,4,FALSE)</f>
        <v>BEL ARBIA KAMEL</v>
      </c>
      <c r="D95" s="14" t="s">
        <v>22</v>
      </c>
      <c r="E95" s="15">
        <v>45906</v>
      </c>
      <c r="F95" s="14" t="s">
        <v>23</v>
      </c>
      <c r="G95" s="16">
        <v>60</v>
      </c>
    </row>
    <row r="96" spans="1:7" x14ac:dyDescent="0.25">
      <c r="A96" s="13" t="s">
        <v>2401</v>
      </c>
      <c r="B96" s="13">
        <v>1746</v>
      </c>
      <c r="C96" s="14" t="str">
        <f>+VLOOKUP(B96,[1]LISTE!$A$1:$D$431,4,FALSE)</f>
        <v>BEL ARBIA KAMEL</v>
      </c>
      <c r="D96" s="14" t="s">
        <v>22</v>
      </c>
      <c r="E96" s="15">
        <v>45908</v>
      </c>
      <c r="F96" s="14" t="s">
        <v>19</v>
      </c>
      <c r="G96" s="16">
        <v>50.53</v>
      </c>
    </row>
    <row r="97" spans="1:7" x14ac:dyDescent="0.25">
      <c r="A97" s="13" t="s">
        <v>2401</v>
      </c>
      <c r="B97" s="13">
        <v>1746</v>
      </c>
      <c r="C97" s="14" t="str">
        <f>+VLOOKUP(B97,[1]LISTE!$A$1:$D$431,4,FALSE)</f>
        <v>BEL ARBIA KAMEL</v>
      </c>
      <c r="D97" s="14" t="s">
        <v>22</v>
      </c>
      <c r="E97" s="15">
        <v>45908</v>
      </c>
      <c r="F97" s="14" t="s">
        <v>20</v>
      </c>
      <c r="G97" s="16">
        <v>118.53</v>
      </c>
    </row>
    <row r="98" spans="1:7" x14ac:dyDescent="0.25">
      <c r="A98" s="13" t="s">
        <v>2402</v>
      </c>
      <c r="B98" s="13">
        <v>1746</v>
      </c>
      <c r="C98" s="14" t="str">
        <f>+VLOOKUP(B98,[1]LISTE!$A$1:$D$431,4,FALSE)</f>
        <v>BEL ARBIA KAMEL</v>
      </c>
      <c r="D98" s="14" t="s">
        <v>186</v>
      </c>
      <c r="E98" s="15">
        <v>45913</v>
      </c>
      <c r="F98" s="14" t="s">
        <v>18</v>
      </c>
      <c r="G98" s="16">
        <v>70</v>
      </c>
    </row>
    <row r="99" spans="1:7" x14ac:dyDescent="0.25">
      <c r="A99" s="13" t="s">
        <v>2402</v>
      </c>
      <c r="B99" s="13">
        <v>1746</v>
      </c>
      <c r="C99" s="14" t="str">
        <f>+VLOOKUP(B99,[1]LISTE!$A$1:$D$431,4,FALSE)</f>
        <v>BEL ARBIA KAMEL</v>
      </c>
      <c r="D99" s="14" t="s">
        <v>186</v>
      </c>
      <c r="E99" s="15">
        <v>45913</v>
      </c>
      <c r="F99" s="14" t="s">
        <v>69</v>
      </c>
      <c r="G99" s="16">
        <v>120</v>
      </c>
    </row>
    <row r="100" spans="1:7" x14ac:dyDescent="0.25">
      <c r="A100" s="13" t="s">
        <v>2437</v>
      </c>
      <c r="B100" s="13">
        <v>1764</v>
      </c>
      <c r="C100" s="14" t="str">
        <f>+VLOOKUP(B100,[1]LISTE!$A$1:$D$431,4,FALSE)</f>
        <v>RBEH MAHMOUD</v>
      </c>
      <c r="D100" s="14" t="s">
        <v>22</v>
      </c>
      <c r="E100" s="15">
        <v>45911</v>
      </c>
      <c r="F100" s="14" t="s">
        <v>23</v>
      </c>
      <c r="G100" s="16">
        <v>1.5</v>
      </c>
    </row>
    <row r="101" spans="1:7" x14ac:dyDescent="0.25">
      <c r="A101" s="13" t="s">
        <v>2437</v>
      </c>
      <c r="B101" s="13">
        <v>1764</v>
      </c>
      <c r="C101" s="14" t="str">
        <f>+VLOOKUP(B101,[1]LISTE!$A$1:$D$431,4,FALSE)</f>
        <v>RBEH MAHMOUD</v>
      </c>
      <c r="D101" s="14" t="s">
        <v>22</v>
      </c>
      <c r="E101" s="15">
        <v>45921</v>
      </c>
      <c r="F101" s="14" t="s">
        <v>20</v>
      </c>
      <c r="G101" s="16">
        <v>60.79</v>
      </c>
    </row>
    <row r="102" spans="1:7" x14ac:dyDescent="0.25">
      <c r="A102" s="13" t="s">
        <v>2411</v>
      </c>
      <c r="B102" s="13">
        <v>1768</v>
      </c>
      <c r="C102" s="14" t="str">
        <f>+VLOOKUP(B102,[1]LISTE!$A$1:$D$431,4,FALSE)</f>
        <v>LADJIMI MAHER</v>
      </c>
      <c r="D102" s="15" t="s">
        <v>455</v>
      </c>
      <c r="E102" s="15">
        <v>45906</v>
      </c>
      <c r="F102" s="14" t="s">
        <v>24</v>
      </c>
      <c r="G102" s="16">
        <v>14</v>
      </c>
    </row>
    <row r="103" spans="1:7" x14ac:dyDescent="0.25">
      <c r="A103" s="13" t="s">
        <v>2411</v>
      </c>
      <c r="B103" s="13">
        <v>1768</v>
      </c>
      <c r="C103" s="14" t="str">
        <f>+VLOOKUP(B103,[1]LISTE!$A$1:$D$431,4,FALSE)</f>
        <v>LADJIMI MAHER</v>
      </c>
      <c r="D103" s="14" t="s">
        <v>455</v>
      </c>
      <c r="E103" s="15">
        <v>45906</v>
      </c>
      <c r="F103" s="14" t="s">
        <v>24</v>
      </c>
      <c r="G103" s="16">
        <v>586</v>
      </c>
    </row>
    <row r="104" spans="1:7" x14ac:dyDescent="0.25">
      <c r="A104" s="13" t="s">
        <v>2450</v>
      </c>
      <c r="B104" s="13">
        <v>1773</v>
      </c>
      <c r="C104" s="14" t="str">
        <f>+VLOOKUP(B104,[1]LISTE!$A$1:$D$431,4,FALSE)</f>
        <v>GAIEB SAMI</v>
      </c>
      <c r="D104" s="14" t="s">
        <v>22</v>
      </c>
      <c r="E104" s="15">
        <v>45901</v>
      </c>
      <c r="F104" s="14" t="s">
        <v>18</v>
      </c>
      <c r="G104" s="16">
        <v>90</v>
      </c>
    </row>
    <row r="105" spans="1:7" x14ac:dyDescent="0.25">
      <c r="A105" s="13" t="s">
        <v>2450</v>
      </c>
      <c r="B105" s="13">
        <v>1773</v>
      </c>
      <c r="C105" s="14" t="str">
        <f>+VLOOKUP(B105,[1]LISTE!$A$1:$D$431,4,FALSE)</f>
        <v>GAIEB SAMI</v>
      </c>
      <c r="D105" s="14" t="s">
        <v>22</v>
      </c>
      <c r="E105" s="15">
        <v>45901</v>
      </c>
      <c r="F105" s="14" t="s">
        <v>20</v>
      </c>
      <c r="G105" s="16">
        <v>4.2450000000000001</v>
      </c>
    </row>
    <row r="106" spans="1:7" x14ac:dyDescent="0.25">
      <c r="A106" s="13" t="s">
        <v>2461</v>
      </c>
      <c r="B106" s="13">
        <v>1781</v>
      </c>
      <c r="C106" s="14" t="str">
        <f>+VLOOKUP(B106,[1]LISTE!$A$1:$D$431,4,FALSE)</f>
        <v>KEMIMECH MOHAMED</v>
      </c>
      <c r="D106" s="14" t="s">
        <v>153</v>
      </c>
      <c r="E106" s="15">
        <v>45906</v>
      </c>
      <c r="F106" s="14" t="s">
        <v>18</v>
      </c>
      <c r="G106" s="16">
        <v>70</v>
      </c>
    </row>
    <row r="107" spans="1:7" x14ac:dyDescent="0.25">
      <c r="A107" s="13" t="s">
        <v>2461</v>
      </c>
      <c r="B107" s="13">
        <v>1781</v>
      </c>
      <c r="C107" s="14" t="str">
        <f>+VLOOKUP(B107,[1]LISTE!$A$1:$D$431,4,FALSE)</f>
        <v>KEMIMECH MOHAMED</v>
      </c>
      <c r="D107" s="14" t="s">
        <v>153</v>
      </c>
      <c r="E107" s="15">
        <v>45909</v>
      </c>
      <c r="F107" s="14" t="s">
        <v>363</v>
      </c>
      <c r="G107" s="16">
        <v>320</v>
      </c>
    </row>
    <row r="108" spans="1:7" x14ac:dyDescent="0.25">
      <c r="A108" s="13" t="s">
        <v>2461</v>
      </c>
      <c r="B108" s="13">
        <v>1781</v>
      </c>
      <c r="C108" s="14" t="str">
        <f>+VLOOKUP(B108,[1]LISTE!$A$1:$D$431,4,FALSE)</f>
        <v>KEMIMECH MOHAMED</v>
      </c>
      <c r="D108" s="14" t="s">
        <v>153</v>
      </c>
      <c r="E108" s="15">
        <v>45909</v>
      </c>
      <c r="F108" s="14" t="s">
        <v>20</v>
      </c>
      <c r="G108" s="16">
        <v>22.687000000000001</v>
      </c>
    </row>
    <row r="109" spans="1:7" x14ac:dyDescent="0.25">
      <c r="A109" s="13" t="s">
        <v>2461</v>
      </c>
      <c r="B109" s="13">
        <v>1781</v>
      </c>
      <c r="C109" s="14" t="str">
        <f>+VLOOKUP(B109,[1]LISTE!$A$1:$D$431,4,FALSE)</f>
        <v>KEMIMECH MOHAMED</v>
      </c>
      <c r="D109" s="14" t="s">
        <v>153</v>
      </c>
      <c r="E109" s="15">
        <v>45906</v>
      </c>
      <c r="F109" s="14" t="s">
        <v>19</v>
      </c>
      <c r="G109" s="16">
        <v>23.34</v>
      </c>
    </row>
    <row r="110" spans="1:7" x14ac:dyDescent="0.25">
      <c r="A110" s="13" t="s">
        <v>2461</v>
      </c>
      <c r="B110" s="13">
        <v>1781</v>
      </c>
      <c r="C110" s="14" t="str">
        <f>+VLOOKUP(B110,[1]LISTE!$A$1:$D$431,4,FALSE)</f>
        <v>KEMIMECH MOHAMED</v>
      </c>
      <c r="D110" s="14" t="s">
        <v>153</v>
      </c>
      <c r="E110" s="15">
        <v>45910</v>
      </c>
      <c r="F110" s="14" t="s">
        <v>19</v>
      </c>
      <c r="G110" s="16">
        <v>130</v>
      </c>
    </row>
    <row r="111" spans="1:7" x14ac:dyDescent="0.25">
      <c r="A111" s="13" t="s">
        <v>2461</v>
      </c>
      <c r="B111" s="13">
        <v>1781</v>
      </c>
      <c r="C111" s="14" t="str">
        <f>+VLOOKUP(B111,[1]LISTE!$A$1:$D$431,4,FALSE)</f>
        <v>KEMIMECH MOHAMED</v>
      </c>
      <c r="D111" s="14" t="s">
        <v>153</v>
      </c>
      <c r="E111" s="15">
        <v>45909</v>
      </c>
      <c r="F111" s="14" t="s">
        <v>363</v>
      </c>
      <c r="G111" s="16">
        <v>1500</v>
      </c>
    </row>
    <row r="112" spans="1:7" x14ac:dyDescent="0.25">
      <c r="A112" s="13" t="s">
        <v>2461</v>
      </c>
      <c r="B112" s="13">
        <v>1781</v>
      </c>
      <c r="C112" s="14" t="str">
        <f>+VLOOKUP(B112,[1]LISTE!$A$1:$D$431,4,FALSE)</f>
        <v>KEMIMECH MOHAMED</v>
      </c>
      <c r="D112" s="14" t="s">
        <v>153</v>
      </c>
      <c r="E112" s="15">
        <v>45909</v>
      </c>
      <c r="F112" s="14" t="s">
        <v>364</v>
      </c>
      <c r="G112" s="16">
        <v>1292.6210000000001</v>
      </c>
    </row>
    <row r="113" spans="1:7" x14ac:dyDescent="0.25">
      <c r="A113" s="13" t="s">
        <v>2417</v>
      </c>
      <c r="B113" s="13">
        <v>1784</v>
      </c>
      <c r="C113" s="14" t="str">
        <f>+VLOOKUP(B113,[1]LISTE!$A$1:$D$431,4,FALSE)</f>
        <v>LAYOUNI KHALED</v>
      </c>
      <c r="D113" s="15" t="s">
        <v>907</v>
      </c>
      <c r="E113" s="15">
        <v>45902</v>
      </c>
      <c r="F113" s="14" t="s">
        <v>23</v>
      </c>
      <c r="G113" s="16">
        <v>45</v>
      </c>
    </row>
    <row r="114" spans="1:7" x14ac:dyDescent="0.25">
      <c r="A114" s="13" t="s">
        <v>2417</v>
      </c>
      <c r="B114" s="13">
        <v>1784</v>
      </c>
      <c r="C114" s="14" t="str">
        <f>+VLOOKUP(B114,[1]LISTE!$A$1:$D$431,4,FALSE)</f>
        <v>LAYOUNI KHALED</v>
      </c>
      <c r="D114" s="14" t="s">
        <v>907</v>
      </c>
      <c r="E114" s="15">
        <v>45903</v>
      </c>
      <c r="F114" s="14" t="s">
        <v>19</v>
      </c>
      <c r="G114" s="16">
        <v>28</v>
      </c>
    </row>
    <row r="115" spans="1:7" x14ac:dyDescent="0.25">
      <c r="A115" s="13" t="s">
        <v>2417</v>
      </c>
      <c r="B115" s="13">
        <v>1784</v>
      </c>
      <c r="C115" s="14" t="str">
        <f>+VLOOKUP(B115,[1]LISTE!$A$1:$D$431,4,FALSE)</f>
        <v>LAYOUNI KHALED</v>
      </c>
      <c r="D115" s="14" t="s">
        <v>907</v>
      </c>
      <c r="E115" s="15">
        <v>45910</v>
      </c>
      <c r="F115" s="14" t="s">
        <v>20</v>
      </c>
      <c r="G115" s="16">
        <v>72.927999999999997</v>
      </c>
    </row>
    <row r="116" spans="1:7" x14ac:dyDescent="0.25">
      <c r="A116" s="13" t="s">
        <v>2417</v>
      </c>
      <c r="B116" s="13">
        <v>1784</v>
      </c>
      <c r="C116" s="14" t="str">
        <f>+VLOOKUP(B116,[1]LISTE!$A$1:$D$431,4,FALSE)</f>
        <v>LAYOUNI KHALED</v>
      </c>
      <c r="D116" s="14" t="s">
        <v>907</v>
      </c>
      <c r="E116" s="15">
        <v>45915</v>
      </c>
      <c r="F116" s="14" t="s">
        <v>19</v>
      </c>
      <c r="G116" s="16">
        <v>24</v>
      </c>
    </row>
    <row r="117" spans="1:7" x14ac:dyDescent="0.25">
      <c r="A117" s="13" t="s">
        <v>2458</v>
      </c>
      <c r="B117" s="13">
        <v>1797</v>
      </c>
      <c r="C117" s="14" t="str">
        <f>+VLOOKUP(B117,[1]LISTE!$A$1:$D$431,4,FALSE)</f>
        <v>ABBADI MOHAMED</v>
      </c>
      <c r="D117" s="14" t="s">
        <v>22</v>
      </c>
      <c r="E117" s="15">
        <v>45920</v>
      </c>
      <c r="F117" s="14" t="s">
        <v>23</v>
      </c>
      <c r="G117" s="16">
        <v>3</v>
      </c>
    </row>
    <row r="118" spans="1:7" x14ac:dyDescent="0.25">
      <c r="A118" s="13" t="s">
        <v>2458</v>
      </c>
      <c r="B118" s="13">
        <v>1797</v>
      </c>
      <c r="C118" s="14" t="str">
        <f>+VLOOKUP(B118,[1]LISTE!$A$1:$D$431,4,FALSE)</f>
        <v>ABBADI MOHAMED</v>
      </c>
      <c r="D118" s="14" t="s">
        <v>22</v>
      </c>
      <c r="E118" s="15">
        <v>45920</v>
      </c>
      <c r="F118" s="14" t="s">
        <v>21</v>
      </c>
      <c r="G118" s="16">
        <v>4.5</v>
      </c>
    </row>
    <row r="119" spans="1:7" x14ac:dyDescent="0.25">
      <c r="A119" s="13" t="s">
        <v>2458</v>
      </c>
      <c r="B119" s="13">
        <v>1797</v>
      </c>
      <c r="C119" s="14" t="str">
        <f>+VLOOKUP(B119,[1]LISTE!$A$1:$D$431,4,FALSE)</f>
        <v>ABBADI MOHAMED</v>
      </c>
      <c r="D119" s="14" t="s">
        <v>22</v>
      </c>
      <c r="E119" s="15">
        <v>45920</v>
      </c>
      <c r="F119" s="14" t="s">
        <v>20</v>
      </c>
      <c r="G119" s="16">
        <v>11.701000000000001</v>
      </c>
    </row>
    <row r="120" spans="1:7" x14ac:dyDescent="0.25">
      <c r="A120" s="13" t="s">
        <v>2459</v>
      </c>
      <c r="B120" s="13">
        <v>1797</v>
      </c>
      <c r="C120" s="14" t="str">
        <f>+VLOOKUP(B120,[1]LISTE!$A$1:$D$431,4,FALSE)</f>
        <v>ABBADI MOHAMED</v>
      </c>
      <c r="D120" s="14" t="s">
        <v>22</v>
      </c>
      <c r="E120" s="15">
        <v>45922</v>
      </c>
      <c r="F120" s="14" t="s">
        <v>23</v>
      </c>
      <c r="G120" s="16">
        <v>50</v>
      </c>
    </row>
    <row r="121" spans="1:7" x14ac:dyDescent="0.25">
      <c r="A121" s="13" t="s">
        <v>2459</v>
      </c>
      <c r="B121" s="13">
        <v>1797</v>
      </c>
      <c r="C121" s="14" t="str">
        <f>+VLOOKUP(B121,[1]LISTE!$A$1:$D$431,4,FALSE)</f>
        <v>ABBADI MOHAMED</v>
      </c>
      <c r="D121" s="14" t="s">
        <v>22</v>
      </c>
      <c r="E121" s="15">
        <v>45922</v>
      </c>
      <c r="F121" s="14" t="s">
        <v>20</v>
      </c>
      <c r="G121" s="16">
        <v>6.9139999999999997</v>
      </c>
    </row>
    <row r="122" spans="1:7" x14ac:dyDescent="0.25">
      <c r="A122" s="13" t="s">
        <v>2380</v>
      </c>
      <c r="B122" s="13">
        <v>1800</v>
      </c>
      <c r="C122" s="14" t="str">
        <f>+VLOOKUP(B122,[1]LISTE!$A$1:$D$431,4,FALSE)</f>
        <v>BEN CHAOUACHA WAHIB</v>
      </c>
      <c r="D122" s="15" t="s">
        <v>221</v>
      </c>
      <c r="E122" s="15">
        <v>45906</v>
      </c>
      <c r="F122" s="14" t="s">
        <v>18</v>
      </c>
      <c r="G122" s="16">
        <v>70</v>
      </c>
    </row>
    <row r="123" spans="1:7" x14ac:dyDescent="0.25">
      <c r="A123" s="13" t="s">
        <v>2380</v>
      </c>
      <c r="B123" s="13">
        <v>1800</v>
      </c>
      <c r="C123" s="14" t="str">
        <f>+VLOOKUP(B123,[1]LISTE!$A$1:$D$431,4,FALSE)</f>
        <v>BEN CHAOUACHA WAHIB</v>
      </c>
      <c r="D123" s="14" t="s">
        <v>221</v>
      </c>
      <c r="E123" s="15">
        <v>45909</v>
      </c>
      <c r="F123" s="14" t="s">
        <v>19</v>
      </c>
      <c r="G123" s="16">
        <v>59.475000000000001</v>
      </c>
    </row>
    <row r="124" spans="1:7" x14ac:dyDescent="0.25">
      <c r="A124" s="13" t="s">
        <v>2380</v>
      </c>
      <c r="B124" s="13">
        <v>1800</v>
      </c>
      <c r="C124" s="14" t="str">
        <f>+VLOOKUP(B124,[1]LISTE!$A$1:$D$431,4,FALSE)</f>
        <v>BEN CHAOUACHA WAHIB</v>
      </c>
      <c r="D124" s="14" t="s">
        <v>221</v>
      </c>
      <c r="E124" s="15">
        <v>45908</v>
      </c>
      <c r="F124" s="14" t="s">
        <v>20</v>
      </c>
      <c r="G124" s="16">
        <v>141.13800000000001</v>
      </c>
    </row>
    <row r="125" spans="1:7" x14ac:dyDescent="0.25">
      <c r="A125" s="13" t="s">
        <v>2454</v>
      </c>
      <c r="B125" s="13">
        <v>1800</v>
      </c>
      <c r="C125" s="14" t="str">
        <f>+VLOOKUP(B125,[1]LISTE!$A$1:$D$431,4,FALSE)</f>
        <v>BEN CHAOUACHA WAHIB</v>
      </c>
      <c r="D125" s="14" t="s">
        <v>2455</v>
      </c>
      <c r="E125" s="15">
        <v>45917</v>
      </c>
      <c r="F125" s="14" t="s">
        <v>18</v>
      </c>
      <c r="G125" s="16">
        <v>70</v>
      </c>
    </row>
    <row r="126" spans="1:7" x14ac:dyDescent="0.25">
      <c r="A126" s="13" t="s">
        <v>2454</v>
      </c>
      <c r="B126" s="13">
        <v>1800</v>
      </c>
      <c r="C126" s="14" t="str">
        <f>+VLOOKUP(B126,[1]LISTE!$A$1:$D$431,4,FALSE)</f>
        <v>BEN CHAOUACHA WAHIB</v>
      </c>
      <c r="D126" s="14" t="s">
        <v>2455</v>
      </c>
      <c r="E126" s="15">
        <v>45918</v>
      </c>
      <c r="F126" s="14" t="s">
        <v>69</v>
      </c>
      <c r="G126" s="16">
        <v>200</v>
      </c>
    </row>
    <row r="127" spans="1:7" x14ac:dyDescent="0.25">
      <c r="A127" s="13" t="s">
        <v>2466</v>
      </c>
      <c r="B127" s="13">
        <v>1803</v>
      </c>
      <c r="C127" s="14" t="str">
        <f>+VLOOKUP(B127,[1]LISTE!$A$1:$D$431,4,FALSE)</f>
        <v>GAM HAMDI</v>
      </c>
      <c r="D127" s="14" t="s">
        <v>184</v>
      </c>
      <c r="E127" s="15">
        <v>45915</v>
      </c>
      <c r="F127" s="14" t="s">
        <v>23</v>
      </c>
      <c r="G127" s="16">
        <v>50</v>
      </c>
    </row>
    <row r="128" spans="1:7" x14ac:dyDescent="0.25">
      <c r="A128" s="13" t="s">
        <v>2466</v>
      </c>
      <c r="B128" s="13">
        <v>1803</v>
      </c>
      <c r="C128" s="14" t="str">
        <f>+VLOOKUP(B128,[1]LISTE!$A$1:$D$431,4,FALSE)</f>
        <v>GAM HAMDI</v>
      </c>
      <c r="D128" s="14" t="s">
        <v>184</v>
      </c>
      <c r="E128" s="15">
        <v>45915</v>
      </c>
      <c r="F128" s="14" t="s">
        <v>20</v>
      </c>
      <c r="G128" s="16">
        <v>37.405000000000001</v>
      </c>
    </row>
    <row r="129" spans="1:7" x14ac:dyDescent="0.25">
      <c r="A129" s="13" t="s">
        <v>2466</v>
      </c>
      <c r="B129" s="13">
        <v>1803</v>
      </c>
      <c r="C129" s="14" t="str">
        <f>+VLOOKUP(B129,[1]LISTE!$A$1:$D$431,4,FALSE)</f>
        <v>GAM HAMDI</v>
      </c>
      <c r="D129" s="14" t="s">
        <v>184</v>
      </c>
      <c r="E129" s="15">
        <v>45922</v>
      </c>
      <c r="F129" s="14" t="s">
        <v>20</v>
      </c>
      <c r="G129" s="16">
        <v>18.649999999999999</v>
      </c>
    </row>
    <row r="130" spans="1:7" x14ac:dyDescent="0.25">
      <c r="A130" s="13" t="s">
        <v>2448</v>
      </c>
      <c r="B130" s="13">
        <v>1809</v>
      </c>
      <c r="C130" s="14" t="str">
        <f>+VLOOKUP(B130,[1]LISTE!$A$1:$D$431,4,FALSE)</f>
        <v>JUILI AFIF</v>
      </c>
      <c r="D130" s="14" t="s">
        <v>513</v>
      </c>
      <c r="E130" s="15">
        <v>45921</v>
      </c>
      <c r="F130" s="14" t="s">
        <v>23</v>
      </c>
      <c r="G130" s="16">
        <v>20</v>
      </c>
    </row>
    <row r="131" spans="1:7" x14ac:dyDescent="0.25">
      <c r="A131" s="13" t="s">
        <v>2448</v>
      </c>
      <c r="B131" s="13">
        <v>1809</v>
      </c>
      <c r="C131" s="14" t="str">
        <f>+VLOOKUP(B131,[1]LISTE!$A$1:$D$431,4,FALSE)</f>
        <v>JUILI AFIF</v>
      </c>
      <c r="D131" s="14" t="s">
        <v>513</v>
      </c>
      <c r="E131" s="15">
        <v>45921</v>
      </c>
      <c r="F131" s="14" t="s">
        <v>20</v>
      </c>
      <c r="G131" s="16">
        <v>28.847000000000001</v>
      </c>
    </row>
    <row r="132" spans="1:7" x14ac:dyDescent="0.25">
      <c r="A132" s="13" t="s">
        <v>2367</v>
      </c>
      <c r="B132" s="13">
        <v>1819</v>
      </c>
      <c r="C132" s="14" t="str">
        <f>+VLOOKUP(B132,[1]LISTE!$A$1:$D$431,4,FALSE)</f>
        <v>SASSI MOHAMED WALID</v>
      </c>
      <c r="D132" s="14" t="s">
        <v>371</v>
      </c>
      <c r="E132" s="15">
        <v>45891</v>
      </c>
      <c r="F132" s="14" t="s">
        <v>18</v>
      </c>
      <c r="G132" s="16">
        <v>60</v>
      </c>
    </row>
    <row r="133" spans="1:7" x14ac:dyDescent="0.25">
      <c r="A133" s="13" t="s">
        <v>2367</v>
      </c>
      <c r="B133" s="13">
        <v>1819</v>
      </c>
      <c r="C133" s="14" t="str">
        <f>+VLOOKUP(B133,[1]LISTE!$A$1:$D$431,4,FALSE)</f>
        <v>SASSI MOHAMED WALID</v>
      </c>
      <c r="D133" s="14" t="s">
        <v>371</v>
      </c>
      <c r="E133" s="15">
        <v>45898</v>
      </c>
      <c r="F133" s="14" t="s">
        <v>20</v>
      </c>
      <c r="G133" s="16">
        <v>45.54</v>
      </c>
    </row>
    <row r="134" spans="1:7" x14ac:dyDescent="0.25">
      <c r="A134" s="13" t="s">
        <v>2367</v>
      </c>
      <c r="B134" s="13">
        <v>1819</v>
      </c>
      <c r="C134" s="14" t="str">
        <f>+VLOOKUP(B134,[1]LISTE!$A$1:$D$431,4,FALSE)</f>
        <v>SASSI MOHAMED WALID</v>
      </c>
      <c r="D134" s="14" t="s">
        <v>371</v>
      </c>
      <c r="E134" s="15">
        <v>45896</v>
      </c>
      <c r="F134" s="14" t="s">
        <v>21</v>
      </c>
      <c r="G134" s="16">
        <v>120</v>
      </c>
    </row>
    <row r="135" spans="1:7" x14ac:dyDescent="0.25">
      <c r="A135" s="13" t="s">
        <v>2368</v>
      </c>
      <c r="B135" s="13">
        <v>1819</v>
      </c>
      <c r="C135" s="14" t="str">
        <f>+VLOOKUP(B135,[1]LISTE!$A$1:$D$431,4,FALSE)</f>
        <v>SASSI MOHAMED WALID</v>
      </c>
      <c r="D135" s="14" t="s">
        <v>153</v>
      </c>
      <c r="E135" s="15">
        <v>45903</v>
      </c>
      <c r="F135" s="14" t="s">
        <v>18</v>
      </c>
      <c r="G135" s="16">
        <v>70</v>
      </c>
    </row>
    <row r="136" spans="1:7" x14ac:dyDescent="0.25">
      <c r="A136" s="13" t="s">
        <v>2368</v>
      </c>
      <c r="B136" s="13">
        <v>1819</v>
      </c>
      <c r="C136" s="14" t="str">
        <f>+VLOOKUP(B136,[1]LISTE!$A$1:$D$431,4,FALSE)</f>
        <v>SASSI MOHAMED WALID</v>
      </c>
      <c r="D136" s="14" t="s">
        <v>153</v>
      </c>
      <c r="E136" s="15">
        <v>45903</v>
      </c>
      <c r="F136" s="14" t="s">
        <v>20</v>
      </c>
      <c r="G136" s="16">
        <v>299.10000000000002</v>
      </c>
    </row>
    <row r="137" spans="1:7" x14ac:dyDescent="0.25">
      <c r="A137" s="13" t="s">
        <v>2369</v>
      </c>
      <c r="B137" s="13">
        <v>1819</v>
      </c>
      <c r="C137" s="14" t="str">
        <f>+VLOOKUP(B137,[1]LISTE!$A$1:$D$431,4,FALSE)</f>
        <v>SASSI MOHAMED WALID</v>
      </c>
      <c r="D137" s="14" t="s">
        <v>153</v>
      </c>
      <c r="E137" s="15">
        <v>45896</v>
      </c>
      <c r="F137" s="14" t="s">
        <v>18</v>
      </c>
      <c r="G137" s="16">
        <v>70</v>
      </c>
    </row>
    <row r="138" spans="1:7" x14ac:dyDescent="0.25">
      <c r="A138" s="13" t="s">
        <v>2369</v>
      </c>
      <c r="B138" s="13">
        <v>1819</v>
      </c>
      <c r="C138" s="14" t="str">
        <f>+VLOOKUP(B138,[1]LISTE!$A$1:$D$431,4,FALSE)</f>
        <v>SASSI MOHAMED WALID</v>
      </c>
      <c r="D138" s="14" t="s">
        <v>153</v>
      </c>
      <c r="E138" s="15">
        <v>45896</v>
      </c>
      <c r="F138" s="14" t="s">
        <v>20</v>
      </c>
      <c r="G138" s="16">
        <v>76</v>
      </c>
    </row>
    <row r="139" spans="1:7" x14ac:dyDescent="0.25">
      <c r="A139" s="13" t="s">
        <v>2449</v>
      </c>
      <c r="B139" s="13">
        <v>1819</v>
      </c>
      <c r="C139" s="14" t="str">
        <f>+VLOOKUP(B139,[1]LISTE!$A$1:$D$431,4,FALSE)</f>
        <v>SASSI MOHAMED WALID</v>
      </c>
      <c r="D139" s="14" t="s">
        <v>22</v>
      </c>
      <c r="E139" s="15">
        <v>45908</v>
      </c>
      <c r="F139" s="14" t="s">
        <v>23</v>
      </c>
      <c r="G139" s="16">
        <v>50</v>
      </c>
    </row>
    <row r="140" spans="1:7" x14ac:dyDescent="0.25">
      <c r="A140" s="13" t="s">
        <v>2449</v>
      </c>
      <c r="B140" s="13">
        <v>1819</v>
      </c>
      <c r="C140" s="14" t="str">
        <f>+VLOOKUP(B140,[1]LISTE!$A$1:$D$431,4,FALSE)</f>
        <v>SASSI MOHAMED WALID</v>
      </c>
      <c r="D140" s="14" t="s">
        <v>22</v>
      </c>
      <c r="E140" s="15">
        <v>45912</v>
      </c>
      <c r="F140" s="14" t="s">
        <v>21</v>
      </c>
      <c r="G140" s="16">
        <v>65</v>
      </c>
    </row>
    <row r="141" spans="1:7" x14ac:dyDescent="0.25">
      <c r="A141" s="13" t="s">
        <v>2467</v>
      </c>
      <c r="B141" s="13">
        <v>1819</v>
      </c>
      <c r="C141" s="14" t="str">
        <f>+VLOOKUP(B141,[1]LISTE!$A$1:$D$431,4,FALSE)</f>
        <v>SASSI MOHAMED WALID</v>
      </c>
      <c r="D141" s="14" t="s">
        <v>22</v>
      </c>
      <c r="E141" s="15">
        <v>45918</v>
      </c>
      <c r="F141" s="14" t="s">
        <v>18</v>
      </c>
      <c r="G141" s="16">
        <v>60</v>
      </c>
    </row>
    <row r="142" spans="1:7" x14ac:dyDescent="0.25">
      <c r="A142" s="13" t="s">
        <v>2467</v>
      </c>
      <c r="B142" s="13">
        <v>1819</v>
      </c>
      <c r="C142" s="14" t="str">
        <f>+VLOOKUP(B142,[1]LISTE!$A$1:$D$431,4,FALSE)</f>
        <v>SASSI MOHAMED WALID</v>
      </c>
      <c r="D142" s="14" t="s">
        <v>22</v>
      </c>
      <c r="E142" s="15">
        <v>45918</v>
      </c>
      <c r="F142" s="14" t="s">
        <v>20</v>
      </c>
      <c r="G142" s="16">
        <v>24.59</v>
      </c>
    </row>
    <row r="143" spans="1:7" x14ac:dyDescent="0.25">
      <c r="A143" s="13" t="s">
        <v>2467</v>
      </c>
      <c r="B143" s="13">
        <v>1819</v>
      </c>
      <c r="C143" s="14" t="str">
        <f>+VLOOKUP(B143,[1]LISTE!$A$1:$D$431,4,FALSE)</f>
        <v>SASSI MOHAMED WALID</v>
      </c>
      <c r="D143" s="14" t="s">
        <v>22</v>
      </c>
      <c r="E143" s="15">
        <v>45922</v>
      </c>
      <c r="F143" s="14" t="s">
        <v>21</v>
      </c>
      <c r="G143" s="16">
        <v>70</v>
      </c>
    </row>
    <row r="144" spans="1:7" x14ac:dyDescent="0.25">
      <c r="A144" s="13" t="s">
        <v>2469</v>
      </c>
      <c r="B144" s="13">
        <v>1819</v>
      </c>
      <c r="C144" s="14" t="str">
        <f>+VLOOKUP(B144,[1]LISTE!$A$1:$D$431,4,FALSE)</f>
        <v>SASSI MOHAMED WALID</v>
      </c>
      <c r="D144" s="14" t="s">
        <v>22</v>
      </c>
      <c r="E144" s="15">
        <v>45923</v>
      </c>
      <c r="F144" s="14" t="s">
        <v>23</v>
      </c>
      <c r="G144" s="16">
        <v>10</v>
      </c>
    </row>
    <row r="145" spans="1:7" x14ac:dyDescent="0.25">
      <c r="A145" s="13" t="s">
        <v>2376</v>
      </c>
      <c r="B145" s="13">
        <v>1820</v>
      </c>
      <c r="C145" s="14" t="str">
        <f>+VLOOKUP(B145,[1]LISTE!$A$1:$D$431,4,FALSE)</f>
        <v>MKHININI MOHAMED RIMEH</v>
      </c>
      <c r="D145" s="14" t="s">
        <v>71</v>
      </c>
      <c r="E145" s="15">
        <v>45908</v>
      </c>
      <c r="F145" s="14" t="s">
        <v>18</v>
      </c>
      <c r="G145" s="16">
        <v>70</v>
      </c>
    </row>
    <row r="146" spans="1:7" x14ac:dyDescent="0.25">
      <c r="A146" s="13" t="s">
        <v>2407</v>
      </c>
      <c r="B146" s="13">
        <v>1827</v>
      </c>
      <c r="C146" s="14" t="str">
        <f>+VLOOKUP(B146,[1]LISTE!$A$1:$D$431,4,FALSE)</f>
        <v>CHTIOUI HAMADI</v>
      </c>
      <c r="D146" s="15" t="s">
        <v>394</v>
      </c>
      <c r="E146" s="15">
        <v>45894</v>
      </c>
      <c r="F146" s="14" t="s">
        <v>18</v>
      </c>
      <c r="G146" s="16">
        <v>70</v>
      </c>
    </row>
    <row r="147" spans="1:7" x14ac:dyDescent="0.25">
      <c r="A147" s="13" t="s">
        <v>2407</v>
      </c>
      <c r="B147" s="13">
        <v>1827</v>
      </c>
      <c r="C147" s="14" t="str">
        <f>+VLOOKUP(B147,[1]LISTE!$A$1:$D$431,4,FALSE)</f>
        <v>CHTIOUI HAMADI</v>
      </c>
      <c r="D147" s="14" t="s">
        <v>394</v>
      </c>
      <c r="E147" s="15">
        <v>45896</v>
      </c>
      <c r="F147" s="14" t="s">
        <v>19</v>
      </c>
      <c r="G147" s="16">
        <v>259.83</v>
      </c>
    </row>
    <row r="148" spans="1:7" x14ac:dyDescent="0.25">
      <c r="A148" s="13" t="s">
        <v>2407</v>
      </c>
      <c r="B148" s="13">
        <v>1827</v>
      </c>
      <c r="C148" s="14" t="str">
        <f>+VLOOKUP(B148,[1]LISTE!$A$1:$D$431,4,FALSE)</f>
        <v>CHTIOUI HAMADI</v>
      </c>
      <c r="D148" s="14" t="s">
        <v>394</v>
      </c>
      <c r="E148" s="15">
        <v>45905</v>
      </c>
      <c r="F148" s="14" t="s">
        <v>20</v>
      </c>
      <c r="G148" s="16">
        <v>83.444999999999993</v>
      </c>
    </row>
    <row r="149" spans="1:7" x14ac:dyDescent="0.25">
      <c r="A149" s="13" t="s">
        <v>2407</v>
      </c>
      <c r="B149" s="13">
        <v>1827</v>
      </c>
      <c r="C149" s="14" t="str">
        <f>+VLOOKUP(B149,[1]LISTE!$A$1:$D$431,4,FALSE)</f>
        <v>CHTIOUI HAMADI</v>
      </c>
      <c r="D149" s="14" t="s">
        <v>394</v>
      </c>
      <c r="E149" s="15">
        <v>45896</v>
      </c>
      <c r="F149" s="14" t="s">
        <v>21</v>
      </c>
      <c r="G149" s="16">
        <v>70</v>
      </c>
    </row>
    <row r="150" spans="1:7" x14ac:dyDescent="0.25">
      <c r="A150" s="13" t="s">
        <v>2468</v>
      </c>
      <c r="B150" s="13">
        <v>1828</v>
      </c>
      <c r="C150" s="14" t="str">
        <f>+VLOOKUP(B150,[1]LISTE!$A$1:$D$431,4,FALSE)</f>
        <v>FNAYOU MOHAMED</v>
      </c>
      <c r="D150" s="14" t="s">
        <v>22</v>
      </c>
      <c r="E150" s="15">
        <v>45897</v>
      </c>
      <c r="F150" s="14" t="s">
        <v>24</v>
      </c>
      <c r="G150" s="16">
        <v>285</v>
      </c>
    </row>
    <row r="151" spans="1:7" x14ac:dyDescent="0.25">
      <c r="A151" s="13" t="s">
        <v>2354</v>
      </c>
      <c r="B151" s="13">
        <v>1832</v>
      </c>
      <c r="C151" s="14" t="str">
        <f>+VLOOKUP(B151,[1]LISTE!$A$1:$D$431,4,FALSE)</f>
        <v>ERGUEZ MEJDI</v>
      </c>
      <c r="D151" s="14" t="s">
        <v>2355</v>
      </c>
      <c r="E151" s="15">
        <v>45889</v>
      </c>
      <c r="F151" s="14" t="s">
        <v>23</v>
      </c>
      <c r="G151" s="16">
        <v>25</v>
      </c>
    </row>
    <row r="152" spans="1:7" x14ac:dyDescent="0.25">
      <c r="A152" s="13" t="s">
        <v>2354</v>
      </c>
      <c r="B152" s="13">
        <v>1832</v>
      </c>
      <c r="C152" s="14" t="str">
        <f>+VLOOKUP(B152,[1]LISTE!$A$1:$D$431,4,FALSE)</f>
        <v>ERGUEZ MEJDI</v>
      </c>
      <c r="D152" s="14" t="s">
        <v>2355</v>
      </c>
      <c r="E152" s="15">
        <v>45889</v>
      </c>
      <c r="F152" s="14" t="s">
        <v>20</v>
      </c>
      <c r="G152" s="16">
        <v>14.502000000000001</v>
      </c>
    </row>
    <row r="153" spans="1:7" x14ac:dyDescent="0.25">
      <c r="A153" s="13" t="s">
        <v>2356</v>
      </c>
      <c r="B153" s="13">
        <v>1832</v>
      </c>
      <c r="C153" s="14" t="str">
        <f>+VLOOKUP(B153,[1]LISTE!$A$1:$D$431,4,FALSE)</f>
        <v>ERGUEZ MEJDI</v>
      </c>
      <c r="D153" s="14" t="s">
        <v>22</v>
      </c>
      <c r="E153" s="15">
        <v>45897</v>
      </c>
      <c r="F153" s="14" t="s">
        <v>23</v>
      </c>
      <c r="G153" s="16">
        <v>25</v>
      </c>
    </row>
    <row r="154" spans="1:7" x14ac:dyDescent="0.25">
      <c r="A154" s="13" t="s">
        <v>2356</v>
      </c>
      <c r="B154" s="13">
        <v>1832</v>
      </c>
      <c r="C154" s="14" t="str">
        <f>+VLOOKUP(B154,[1]LISTE!$A$1:$D$431,4,FALSE)</f>
        <v>ERGUEZ MEJDI</v>
      </c>
      <c r="D154" s="14" t="s">
        <v>22</v>
      </c>
      <c r="E154" s="15">
        <v>45897</v>
      </c>
      <c r="F154" s="14" t="s">
        <v>20</v>
      </c>
      <c r="G154" s="16">
        <v>48.106000000000002</v>
      </c>
    </row>
    <row r="155" spans="1:7" x14ac:dyDescent="0.25">
      <c r="A155" s="13" t="s">
        <v>2357</v>
      </c>
      <c r="B155" s="13">
        <v>1832</v>
      </c>
      <c r="C155" s="14" t="str">
        <f>+VLOOKUP(B155,[1]LISTE!$A$1:$D$431,4,FALSE)</f>
        <v>ERGUEZ MEJDI</v>
      </c>
      <c r="D155" s="15" t="s">
        <v>2355</v>
      </c>
      <c r="E155" s="15">
        <v>45903</v>
      </c>
      <c r="F155" s="14" t="s">
        <v>23</v>
      </c>
      <c r="G155" s="16">
        <v>50</v>
      </c>
    </row>
    <row r="156" spans="1:7" x14ac:dyDescent="0.25">
      <c r="A156" s="13" t="s">
        <v>2357</v>
      </c>
      <c r="B156" s="13">
        <v>1832</v>
      </c>
      <c r="C156" s="14" t="str">
        <f>+VLOOKUP(B156,[1]LISTE!$A$1:$D$431,4,FALSE)</f>
        <v>ERGUEZ MEJDI</v>
      </c>
      <c r="D156" s="14" t="s">
        <v>2355</v>
      </c>
      <c r="E156" s="15">
        <v>45903</v>
      </c>
      <c r="F156" s="14" t="s">
        <v>20</v>
      </c>
      <c r="G156" s="16">
        <v>4.2450000000000001</v>
      </c>
    </row>
    <row r="157" spans="1:7" x14ac:dyDescent="0.25">
      <c r="A157" s="13" t="s">
        <v>2358</v>
      </c>
      <c r="B157" s="13">
        <v>1832</v>
      </c>
      <c r="C157" s="14" t="str">
        <f>+VLOOKUP(B157,[1]LISTE!$A$1:$D$431,4,FALSE)</f>
        <v>ERGUEZ MEJDI</v>
      </c>
      <c r="D157" s="14" t="s">
        <v>2359</v>
      </c>
      <c r="E157" s="15">
        <v>45894</v>
      </c>
      <c r="F157" s="14" t="s">
        <v>18</v>
      </c>
      <c r="G157" s="16">
        <v>70</v>
      </c>
    </row>
    <row r="158" spans="1:7" x14ac:dyDescent="0.25">
      <c r="A158" s="13" t="s">
        <v>2358</v>
      </c>
      <c r="B158" s="13">
        <v>1832</v>
      </c>
      <c r="C158" s="14" t="str">
        <f>+VLOOKUP(B158,[1]LISTE!$A$1:$D$431,4,FALSE)</f>
        <v>ERGUEZ MEJDI</v>
      </c>
      <c r="D158" s="14" t="s">
        <v>2359</v>
      </c>
      <c r="E158" s="15">
        <v>45894</v>
      </c>
      <c r="F158" s="14" t="s">
        <v>20</v>
      </c>
      <c r="G158" s="16">
        <v>7.52</v>
      </c>
    </row>
    <row r="159" spans="1:7" x14ac:dyDescent="0.25">
      <c r="A159" s="13" t="s">
        <v>2386</v>
      </c>
      <c r="B159" s="13">
        <v>1856</v>
      </c>
      <c r="C159" s="14" t="str">
        <f>+VLOOKUP(B159,[1]LISTE!$A$1:$D$431,4,FALSE)</f>
        <v>ABDELLATIF MOHAMED ALI</v>
      </c>
      <c r="D159" s="15" t="s">
        <v>22</v>
      </c>
      <c r="E159" s="15">
        <v>45910</v>
      </c>
      <c r="F159" s="14" t="s">
        <v>18</v>
      </c>
      <c r="G159" s="16">
        <v>70</v>
      </c>
    </row>
    <row r="160" spans="1:7" x14ac:dyDescent="0.25">
      <c r="A160" s="13" t="s">
        <v>2386</v>
      </c>
      <c r="B160" s="13">
        <v>1856</v>
      </c>
      <c r="C160" s="14" t="str">
        <f>+VLOOKUP(B160,[1]LISTE!$A$1:$D$431,4,FALSE)</f>
        <v>ABDELLATIF MOHAMED ALI</v>
      </c>
      <c r="D160" s="14" t="s">
        <v>22</v>
      </c>
      <c r="E160" s="15">
        <v>45910</v>
      </c>
      <c r="F160" s="14" t="s">
        <v>20</v>
      </c>
      <c r="G160" s="16">
        <v>306.31200000000001</v>
      </c>
    </row>
    <row r="161" spans="1:7" x14ac:dyDescent="0.25">
      <c r="A161" s="13" t="s">
        <v>2476</v>
      </c>
      <c r="B161" s="13">
        <v>1867</v>
      </c>
      <c r="C161" s="14" t="str">
        <f>+VLOOKUP(B161,[1]LISTE!$A$1:$D$431,4,FALSE)</f>
        <v>GAZZAH LOTFI</v>
      </c>
      <c r="D161" s="14" t="s">
        <v>221</v>
      </c>
      <c r="E161" s="15">
        <v>45911</v>
      </c>
      <c r="F161" s="14" t="s">
        <v>18</v>
      </c>
      <c r="G161" s="16">
        <v>70</v>
      </c>
    </row>
    <row r="162" spans="1:7" x14ac:dyDescent="0.25">
      <c r="A162" s="13" t="s">
        <v>2476</v>
      </c>
      <c r="B162" s="13">
        <v>1867</v>
      </c>
      <c r="C162" s="14" t="str">
        <f>+VLOOKUP(B162,[1]LISTE!$A$1:$D$431,4,FALSE)</f>
        <v>GAZZAH LOTFI</v>
      </c>
      <c r="D162" s="14" t="s">
        <v>221</v>
      </c>
      <c r="E162" s="15">
        <v>45911</v>
      </c>
      <c r="F162" s="14" t="s">
        <v>20</v>
      </c>
      <c r="G162" s="16">
        <v>6.9</v>
      </c>
    </row>
    <row r="163" spans="1:7" x14ac:dyDescent="0.25">
      <c r="A163" s="13" t="s">
        <v>2476</v>
      </c>
      <c r="B163" s="13">
        <v>1867</v>
      </c>
      <c r="C163" s="14" t="str">
        <f>+VLOOKUP(B163,[1]LISTE!$A$1:$D$431,4,FALSE)</f>
        <v>GAZZAH LOTFI</v>
      </c>
      <c r="D163" s="14" t="s">
        <v>221</v>
      </c>
      <c r="E163" s="15">
        <v>45914</v>
      </c>
      <c r="F163" s="14" t="s">
        <v>69</v>
      </c>
      <c r="G163" s="16">
        <v>170</v>
      </c>
    </row>
    <row r="164" spans="1:7" x14ac:dyDescent="0.25">
      <c r="A164" s="13" t="s">
        <v>2351</v>
      </c>
      <c r="B164" s="13">
        <v>1876</v>
      </c>
      <c r="C164" s="14" t="str">
        <f>+VLOOKUP(B164,[1]LISTE!$A$1:$D$431,4,FALSE)</f>
        <v>LADHERI SAMI</v>
      </c>
      <c r="D164" s="14" t="s">
        <v>212</v>
      </c>
      <c r="E164" s="15">
        <v>45911</v>
      </c>
      <c r="F164" s="14" t="s">
        <v>24</v>
      </c>
      <c r="G164" s="16">
        <v>800</v>
      </c>
    </row>
    <row r="165" spans="1:7" x14ac:dyDescent="0.25">
      <c r="A165" s="13" t="s">
        <v>2373</v>
      </c>
      <c r="B165" s="13">
        <v>1876</v>
      </c>
      <c r="C165" s="14" t="str">
        <f>+VLOOKUP(B165,[1]LISTE!$A$1:$D$431,4,FALSE)</f>
        <v>LADHERI SAMI</v>
      </c>
      <c r="D165" s="14" t="s">
        <v>212</v>
      </c>
      <c r="E165" s="15">
        <v>45908</v>
      </c>
      <c r="F165" s="14" t="s">
        <v>23</v>
      </c>
      <c r="G165" s="16">
        <v>50</v>
      </c>
    </row>
    <row r="166" spans="1:7" x14ac:dyDescent="0.25">
      <c r="A166" s="13" t="s">
        <v>2373</v>
      </c>
      <c r="B166" s="13">
        <v>1876</v>
      </c>
      <c r="C166" s="14" t="str">
        <f>+VLOOKUP(B166,[1]LISTE!$A$1:$D$431,4,FALSE)</f>
        <v>LADHERI SAMI</v>
      </c>
      <c r="D166" s="14" t="s">
        <v>212</v>
      </c>
      <c r="E166" s="15">
        <v>45908</v>
      </c>
      <c r="F166" s="14" t="s">
        <v>20</v>
      </c>
      <c r="G166" s="16">
        <v>11.615</v>
      </c>
    </row>
    <row r="167" spans="1:7" x14ac:dyDescent="0.25">
      <c r="A167" s="13" t="s">
        <v>2373</v>
      </c>
      <c r="B167" s="13">
        <v>1876</v>
      </c>
      <c r="C167" s="14" t="str">
        <f>+VLOOKUP(B167,[1]LISTE!$A$1:$D$431,4,FALSE)</f>
        <v>LADHERI SAMI</v>
      </c>
      <c r="D167" s="14" t="s">
        <v>212</v>
      </c>
      <c r="E167" s="15">
        <v>45910</v>
      </c>
      <c r="F167" s="14" t="s">
        <v>24</v>
      </c>
      <c r="G167" s="16">
        <v>60</v>
      </c>
    </row>
    <row r="168" spans="1:7" x14ac:dyDescent="0.25">
      <c r="A168" s="13" t="s">
        <v>2381</v>
      </c>
      <c r="B168" s="13">
        <v>1876</v>
      </c>
      <c r="C168" s="14" t="str">
        <f>+VLOOKUP(B168,[1]LISTE!$A$1:$D$431,4,FALSE)</f>
        <v>LADHERI SAMI</v>
      </c>
      <c r="D168" s="14" t="s">
        <v>212</v>
      </c>
      <c r="E168" s="15">
        <v>45912</v>
      </c>
      <c r="F168" s="14" t="s">
        <v>18</v>
      </c>
      <c r="G168" s="16">
        <v>70</v>
      </c>
    </row>
    <row r="169" spans="1:7" x14ac:dyDescent="0.25">
      <c r="A169" s="13" t="s">
        <v>2381</v>
      </c>
      <c r="B169" s="13">
        <v>1876</v>
      </c>
      <c r="C169" s="14" t="str">
        <f>+VLOOKUP(B169,[1]LISTE!$A$1:$D$431,4,FALSE)</f>
        <v>LADHERI SAMI</v>
      </c>
      <c r="D169" s="14" t="s">
        <v>212</v>
      </c>
      <c r="E169" s="15">
        <v>45914</v>
      </c>
      <c r="F169" s="14" t="s">
        <v>69</v>
      </c>
      <c r="G169" s="16">
        <v>320</v>
      </c>
    </row>
    <row r="170" spans="1:7" x14ac:dyDescent="0.25">
      <c r="A170" s="13" t="s">
        <v>2396</v>
      </c>
      <c r="B170" s="13">
        <v>1876</v>
      </c>
      <c r="C170" s="14" t="str">
        <f>+VLOOKUP(B170,[1]LISTE!$A$1:$D$431,4,FALSE)</f>
        <v>LADHERI SAMI</v>
      </c>
      <c r="D170" s="14" t="s">
        <v>361</v>
      </c>
      <c r="E170" s="15">
        <v>45909</v>
      </c>
      <c r="F170" s="14" t="s">
        <v>18</v>
      </c>
      <c r="G170" s="16">
        <v>70</v>
      </c>
    </row>
    <row r="171" spans="1:7" x14ac:dyDescent="0.25">
      <c r="A171" s="13" t="s">
        <v>2396</v>
      </c>
      <c r="B171" s="13">
        <v>1876</v>
      </c>
      <c r="C171" s="14" t="str">
        <f>+VLOOKUP(B171,[1]LISTE!$A$1:$D$431,4,FALSE)</f>
        <v>LADHERI SAMI</v>
      </c>
      <c r="D171" s="14" t="s">
        <v>361</v>
      </c>
      <c r="E171" s="15">
        <v>45909</v>
      </c>
      <c r="F171" s="14" t="s">
        <v>20</v>
      </c>
      <c r="G171" s="16">
        <v>6.9</v>
      </c>
    </row>
    <row r="172" spans="1:7" x14ac:dyDescent="0.25">
      <c r="A172" s="13" t="s">
        <v>2396</v>
      </c>
      <c r="B172" s="13">
        <v>1876</v>
      </c>
      <c r="C172" s="14" t="str">
        <f>+VLOOKUP(B172,[1]LISTE!$A$1:$D$431,4,FALSE)</f>
        <v>LADHERI SAMI</v>
      </c>
      <c r="D172" s="15" t="s">
        <v>361</v>
      </c>
      <c r="E172" s="15">
        <v>45916</v>
      </c>
      <c r="F172" s="14" t="s">
        <v>69</v>
      </c>
      <c r="G172" s="16">
        <v>310</v>
      </c>
    </row>
    <row r="173" spans="1:7" x14ac:dyDescent="0.25">
      <c r="A173" s="13" t="s">
        <v>2405</v>
      </c>
      <c r="B173" s="13">
        <v>1877</v>
      </c>
      <c r="C173" s="14" t="str">
        <f>+VLOOKUP(B173,[1]LISTE!$A$1:$D$431,4,FALSE)</f>
        <v>SOUSSI MAHER</v>
      </c>
      <c r="D173" s="15" t="s">
        <v>1340</v>
      </c>
      <c r="E173" s="15">
        <v>45894</v>
      </c>
      <c r="F173" s="14" t="s">
        <v>23</v>
      </c>
      <c r="G173" s="16">
        <v>50</v>
      </c>
    </row>
    <row r="174" spans="1:7" x14ac:dyDescent="0.25">
      <c r="A174" s="13" t="s">
        <v>2405</v>
      </c>
      <c r="B174" s="13">
        <v>1877</v>
      </c>
      <c r="C174" s="14" t="str">
        <f>+VLOOKUP(B174,[1]LISTE!$A$1:$D$431,4,FALSE)</f>
        <v>SOUSSI MAHER</v>
      </c>
      <c r="D174" s="14" t="s">
        <v>1340</v>
      </c>
      <c r="E174" s="15">
        <v>45894</v>
      </c>
      <c r="F174" s="14" t="s">
        <v>20</v>
      </c>
      <c r="G174" s="16">
        <v>13.145</v>
      </c>
    </row>
    <row r="175" spans="1:7" x14ac:dyDescent="0.25">
      <c r="A175" s="13" t="s">
        <v>2405</v>
      </c>
      <c r="B175" s="13">
        <v>1877</v>
      </c>
      <c r="C175" s="14" t="str">
        <f>+VLOOKUP(B175,[1]LISTE!$A$1:$D$431,4,FALSE)</f>
        <v>SOUSSI MAHER</v>
      </c>
      <c r="D175" s="14" t="s">
        <v>1340</v>
      </c>
      <c r="E175" s="15">
        <v>45895</v>
      </c>
      <c r="F175" s="14" t="s">
        <v>19</v>
      </c>
      <c r="G175" s="16">
        <v>46.87</v>
      </c>
    </row>
    <row r="176" spans="1:7" x14ac:dyDescent="0.25">
      <c r="A176" s="13" t="s">
        <v>2460</v>
      </c>
      <c r="B176" s="13">
        <v>1905</v>
      </c>
      <c r="C176" s="14" t="str">
        <f>+VLOOKUP(B176,[1]LISTE!$A$1:$D$431,4,FALSE)</f>
        <v>LADHARI MOHAMED</v>
      </c>
      <c r="D176" s="14" t="s">
        <v>22</v>
      </c>
      <c r="E176" s="15">
        <v>45923</v>
      </c>
      <c r="F176" s="14" t="s">
        <v>23</v>
      </c>
      <c r="G176" s="16">
        <v>45</v>
      </c>
    </row>
    <row r="177" spans="1:7" x14ac:dyDescent="0.25">
      <c r="A177" s="13" t="s">
        <v>2460</v>
      </c>
      <c r="B177" s="13">
        <v>1905</v>
      </c>
      <c r="C177" s="14" t="str">
        <f>+VLOOKUP(B177,[1]LISTE!$A$1:$D$431,4,FALSE)</f>
        <v>LADHARI MOHAMED</v>
      </c>
      <c r="D177" s="14" t="s">
        <v>22</v>
      </c>
      <c r="E177" s="15">
        <v>45923</v>
      </c>
      <c r="F177" s="14" t="s">
        <v>20</v>
      </c>
      <c r="G177" s="16">
        <v>16.942</v>
      </c>
    </row>
    <row r="178" spans="1:7" x14ac:dyDescent="0.25">
      <c r="A178" s="13" t="s">
        <v>2412</v>
      </c>
      <c r="B178" s="13">
        <v>1907</v>
      </c>
      <c r="C178" s="14" t="str">
        <f>+VLOOKUP(B178,[1]LISTE!$A$1:$D$431,4,FALSE)</f>
        <v>MAMIA NEJMEDDINE</v>
      </c>
      <c r="D178" s="14" t="s">
        <v>22</v>
      </c>
      <c r="E178" s="15">
        <v>45916</v>
      </c>
      <c r="F178" s="14" t="s">
        <v>18</v>
      </c>
      <c r="G178" s="16">
        <v>80</v>
      </c>
    </row>
    <row r="179" spans="1:7" x14ac:dyDescent="0.25">
      <c r="A179" s="13" t="s">
        <v>2412</v>
      </c>
      <c r="B179" s="13">
        <v>1907</v>
      </c>
      <c r="C179" s="14" t="str">
        <f>+VLOOKUP(B179,[1]LISTE!$A$1:$D$431,4,FALSE)</f>
        <v>MAMIA NEJMEDDINE</v>
      </c>
      <c r="D179" s="14" t="s">
        <v>22</v>
      </c>
      <c r="E179" s="15">
        <v>45916</v>
      </c>
      <c r="F179" s="14" t="s">
        <v>20</v>
      </c>
      <c r="G179" s="16">
        <v>11.98</v>
      </c>
    </row>
    <row r="180" spans="1:7" x14ac:dyDescent="0.25">
      <c r="A180" s="13" t="s">
        <v>2346</v>
      </c>
      <c r="B180" s="13">
        <v>1908</v>
      </c>
      <c r="C180" s="14" t="str">
        <f>+VLOOKUP(B180,[1]LISTE!$A$1:$D$431,4,FALSE)</f>
        <v>ZMERLI JAOUHAR</v>
      </c>
      <c r="D180" s="14" t="s">
        <v>22</v>
      </c>
      <c r="E180" s="15">
        <v>45906</v>
      </c>
      <c r="F180" s="14" t="s">
        <v>23</v>
      </c>
      <c r="G180" s="16">
        <v>40</v>
      </c>
    </row>
    <row r="181" spans="1:7" x14ac:dyDescent="0.25">
      <c r="A181" s="13" t="s">
        <v>2346</v>
      </c>
      <c r="B181" s="13">
        <v>1908</v>
      </c>
      <c r="C181" s="14" t="str">
        <f>+VLOOKUP(B181,[1]LISTE!$A$1:$D$431,4,FALSE)</f>
        <v>ZMERLI JAOUHAR</v>
      </c>
      <c r="D181" s="15" t="s">
        <v>22</v>
      </c>
      <c r="E181" s="15">
        <v>45906</v>
      </c>
      <c r="F181" s="14" t="s">
        <v>20</v>
      </c>
      <c r="G181" s="16">
        <v>2.68</v>
      </c>
    </row>
    <row r="182" spans="1:7" x14ac:dyDescent="0.25">
      <c r="A182" s="13" t="s">
        <v>2346</v>
      </c>
      <c r="B182" s="13">
        <v>1908</v>
      </c>
      <c r="C182" s="14" t="str">
        <f>+VLOOKUP(B182,[1]LISTE!$A$1:$D$431,4,FALSE)</f>
        <v>ZMERLI JAOUHAR</v>
      </c>
      <c r="D182" s="15" t="s">
        <v>22</v>
      </c>
      <c r="E182" s="15">
        <v>45906</v>
      </c>
      <c r="F182" s="14" t="s">
        <v>25</v>
      </c>
      <c r="G182" s="16">
        <v>180</v>
      </c>
    </row>
    <row r="183" spans="1:7" x14ac:dyDescent="0.25">
      <c r="A183" s="13" t="s">
        <v>2379</v>
      </c>
      <c r="B183" s="13">
        <v>1910</v>
      </c>
      <c r="C183" s="14" t="str">
        <f>+VLOOKUP(B183,[1]LISTE!$A$1:$D$431,4,FALSE)</f>
        <v>YOUSFI MEHDI</v>
      </c>
      <c r="D183" s="15" t="s">
        <v>292</v>
      </c>
      <c r="E183" s="15">
        <v>45913</v>
      </c>
      <c r="F183" s="14" t="s">
        <v>18</v>
      </c>
      <c r="G183" s="16">
        <v>70</v>
      </c>
    </row>
    <row r="184" spans="1:7" x14ac:dyDescent="0.25">
      <c r="A184" s="13" t="s">
        <v>2379</v>
      </c>
      <c r="B184" s="13">
        <v>1910</v>
      </c>
      <c r="C184" s="14" t="str">
        <f>+VLOOKUP(B184,[1]LISTE!$A$1:$D$431,4,FALSE)</f>
        <v>YOUSFI MEHDI</v>
      </c>
      <c r="D184" s="14" t="s">
        <v>292</v>
      </c>
      <c r="E184" s="15">
        <v>45913</v>
      </c>
      <c r="F184" s="14" t="s">
        <v>20</v>
      </c>
      <c r="G184" s="16">
        <v>34.987000000000002</v>
      </c>
    </row>
    <row r="185" spans="1:7" x14ac:dyDescent="0.25">
      <c r="A185" s="13" t="s">
        <v>2435</v>
      </c>
      <c r="B185" s="13">
        <v>1927</v>
      </c>
      <c r="C185" s="14" t="str">
        <f>+VLOOKUP(B185,[1]LISTE!$A$1:$D$431,4,FALSE)</f>
        <v>BEN HAMMOUDA AYMEN</v>
      </c>
      <c r="D185" s="15" t="s">
        <v>481</v>
      </c>
      <c r="E185" s="15">
        <v>45913</v>
      </c>
      <c r="F185" s="14" t="s">
        <v>19</v>
      </c>
      <c r="G185" s="16">
        <v>48</v>
      </c>
    </row>
    <row r="186" spans="1:7" x14ac:dyDescent="0.25">
      <c r="A186" s="13" t="s">
        <v>2435</v>
      </c>
      <c r="B186" s="13">
        <v>1927</v>
      </c>
      <c r="C186" s="14" t="str">
        <f>+VLOOKUP(B186,[1]LISTE!$A$1:$D$431,4,FALSE)</f>
        <v>BEN HAMMOUDA AYMEN</v>
      </c>
      <c r="D186" s="14" t="s">
        <v>481</v>
      </c>
      <c r="E186" s="15">
        <v>45911</v>
      </c>
      <c r="F186" s="14" t="s">
        <v>23</v>
      </c>
      <c r="G186" s="16">
        <v>30</v>
      </c>
    </row>
    <row r="187" spans="1:7" x14ac:dyDescent="0.25">
      <c r="A187" s="13" t="s">
        <v>2457</v>
      </c>
      <c r="B187" s="13">
        <v>1928</v>
      </c>
      <c r="C187" s="14" t="str">
        <f>+VLOOKUP(B187,[1]LISTE!$A$1:$D$431,4,FALSE)</f>
        <v>ZAGGAR JAMEL</v>
      </c>
      <c r="D187" s="14" t="s">
        <v>892</v>
      </c>
      <c r="E187" s="15">
        <v>45890</v>
      </c>
      <c r="F187" s="14" t="s">
        <v>18</v>
      </c>
      <c r="G187" s="16">
        <v>70</v>
      </c>
    </row>
    <row r="188" spans="1:7" x14ac:dyDescent="0.25">
      <c r="A188" s="13" t="s">
        <v>2457</v>
      </c>
      <c r="B188" s="13">
        <v>1928</v>
      </c>
      <c r="C188" s="14" t="str">
        <f>+VLOOKUP(B188,[1]LISTE!$A$1:$D$431,4,FALSE)</f>
        <v>ZAGGAR JAMEL</v>
      </c>
      <c r="D188" s="14" t="s">
        <v>892</v>
      </c>
      <c r="E188" s="15">
        <v>45895</v>
      </c>
      <c r="F188" s="14" t="s">
        <v>20</v>
      </c>
      <c r="G188" s="16">
        <v>233.03700000000001</v>
      </c>
    </row>
    <row r="189" spans="1:7" x14ac:dyDescent="0.25">
      <c r="A189" s="13" t="s">
        <v>2457</v>
      </c>
      <c r="B189" s="13">
        <v>1928</v>
      </c>
      <c r="C189" s="14" t="str">
        <f>+VLOOKUP(B189,[1]LISTE!$A$1:$D$431,4,FALSE)</f>
        <v>ZAGGAR JAMEL</v>
      </c>
      <c r="D189" s="14" t="s">
        <v>892</v>
      </c>
      <c r="E189" s="15">
        <v>45897</v>
      </c>
      <c r="F189" s="14" t="s">
        <v>21</v>
      </c>
      <c r="G189" s="16">
        <v>140</v>
      </c>
    </row>
    <row r="190" spans="1:7" x14ac:dyDescent="0.25">
      <c r="A190" s="13" t="s">
        <v>2430</v>
      </c>
      <c r="B190" s="13">
        <v>1938</v>
      </c>
      <c r="C190" s="14" t="str">
        <f>+VLOOKUP(B190,[1]LISTE!$A$1:$D$431,4,FALSE)</f>
        <v>NAFFATI SOFIENE</v>
      </c>
      <c r="D190" s="14" t="s">
        <v>119</v>
      </c>
      <c r="E190" s="15">
        <v>45911</v>
      </c>
      <c r="F190" s="14" t="s">
        <v>20</v>
      </c>
      <c r="G190" s="16">
        <v>47.78</v>
      </c>
    </row>
    <row r="191" spans="1:7" x14ac:dyDescent="0.25">
      <c r="A191" s="13" t="s">
        <v>2413</v>
      </c>
      <c r="B191" s="13">
        <v>1969</v>
      </c>
      <c r="C191" s="14" t="str">
        <f>+VLOOKUP(B191,[1]LISTE!$A$1:$D$431,4,FALSE)</f>
        <v>BOUKADDIDA MEHREZ</v>
      </c>
      <c r="D191" s="14" t="s">
        <v>22</v>
      </c>
      <c r="E191" s="15">
        <v>45918</v>
      </c>
      <c r="F191" s="14" t="s">
        <v>23</v>
      </c>
      <c r="G191" s="16">
        <v>50</v>
      </c>
    </row>
    <row r="192" spans="1:7" x14ac:dyDescent="0.25">
      <c r="A192" s="13" t="s">
        <v>2413</v>
      </c>
      <c r="B192" s="13">
        <v>1969</v>
      </c>
      <c r="C192" s="14" t="str">
        <f>+VLOOKUP(B192,[1]LISTE!$A$1:$D$431,4,FALSE)</f>
        <v>BOUKADDIDA MEHREZ</v>
      </c>
      <c r="D192" s="15" t="s">
        <v>22</v>
      </c>
      <c r="E192" s="15">
        <v>45918</v>
      </c>
      <c r="F192" s="14" t="s">
        <v>20</v>
      </c>
      <c r="G192" s="16">
        <v>4.2450000000000001</v>
      </c>
    </row>
    <row r="193" spans="1:7" x14ac:dyDescent="0.25">
      <c r="A193" s="13" t="s">
        <v>2413</v>
      </c>
      <c r="B193" s="13">
        <v>1969</v>
      </c>
      <c r="C193" s="14" t="str">
        <f>+VLOOKUP(B193,[1]LISTE!$A$1:$D$431,4,FALSE)</f>
        <v>BOUKADDIDA MEHREZ</v>
      </c>
      <c r="D193" s="15" t="s">
        <v>22</v>
      </c>
      <c r="E193" s="15">
        <v>45918</v>
      </c>
      <c r="F193" s="14" t="s">
        <v>24</v>
      </c>
      <c r="G193" s="16">
        <v>80</v>
      </c>
    </row>
    <row r="194" spans="1:7" x14ac:dyDescent="0.25">
      <c r="A194" s="13" t="s">
        <v>2416</v>
      </c>
      <c r="B194" s="13">
        <v>1974</v>
      </c>
      <c r="C194" s="14" t="str">
        <f>+VLOOKUP(B194,[1]LISTE!$A$1:$D$431,4,FALSE)</f>
        <v>GUELLIME MONDHER</v>
      </c>
      <c r="D194" s="15" t="s">
        <v>22</v>
      </c>
      <c r="E194" s="15">
        <v>45917</v>
      </c>
      <c r="F194" s="14" t="s">
        <v>23</v>
      </c>
      <c r="G194" s="16">
        <v>40</v>
      </c>
    </row>
    <row r="195" spans="1:7" x14ac:dyDescent="0.25">
      <c r="A195" s="13" t="s">
        <v>2416</v>
      </c>
      <c r="B195" s="13">
        <v>1974</v>
      </c>
      <c r="C195" s="14" t="str">
        <f>+VLOOKUP(B195,[1]LISTE!$A$1:$D$431,4,FALSE)</f>
        <v>GUELLIME MONDHER</v>
      </c>
      <c r="D195" s="14" t="s">
        <v>22</v>
      </c>
      <c r="E195" s="15">
        <v>45917</v>
      </c>
      <c r="F195" s="14" t="s">
        <v>20</v>
      </c>
      <c r="G195" s="16">
        <v>29.446000000000002</v>
      </c>
    </row>
    <row r="196" spans="1:7" x14ac:dyDescent="0.25">
      <c r="A196" s="13" t="s">
        <v>2387</v>
      </c>
      <c r="B196" s="13">
        <v>1980</v>
      </c>
      <c r="C196" s="14" t="str">
        <f>+VLOOKUP(B196,[1]LISTE!$A$1:$D$431,4,FALSE)</f>
        <v>MLAYEH YOUSSEF</v>
      </c>
      <c r="D196" s="14" t="s">
        <v>2262</v>
      </c>
      <c r="E196" s="15">
        <v>45915</v>
      </c>
      <c r="F196" s="14" t="s">
        <v>23</v>
      </c>
      <c r="G196" s="16">
        <v>45</v>
      </c>
    </row>
    <row r="197" spans="1:7" x14ac:dyDescent="0.25">
      <c r="A197" s="13" t="s">
        <v>2387</v>
      </c>
      <c r="B197" s="13">
        <v>1980</v>
      </c>
      <c r="C197" s="14" t="str">
        <f>+VLOOKUP(B197,[1]LISTE!$A$1:$D$431,4,FALSE)</f>
        <v>MLAYEH YOUSSEF</v>
      </c>
      <c r="D197" s="15" t="s">
        <v>2262</v>
      </c>
      <c r="E197" s="15">
        <v>45915</v>
      </c>
      <c r="F197" s="14" t="s">
        <v>20</v>
      </c>
      <c r="G197" s="16">
        <v>4.2450000000000001</v>
      </c>
    </row>
    <row r="198" spans="1:7" x14ac:dyDescent="0.25">
      <c r="A198" s="13" t="s">
        <v>2261</v>
      </c>
      <c r="B198" s="13">
        <v>1980</v>
      </c>
      <c r="C198" s="14" t="str">
        <f>+VLOOKUP(B198,[1]LISTE!$A$1:$D$431,4,FALSE)</f>
        <v>MLAYEH YOUSSEF</v>
      </c>
      <c r="D198" s="15" t="s">
        <v>2262</v>
      </c>
      <c r="E198" s="15">
        <v>45895</v>
      </c>
      <c r="F198" s="14" t="s">
        <v>23</v>
      </c>
      <c r="G198" s="16">
        <v>45</v>
      </c>
    </row>
    <row r="199" spans="1:7" x14ac:dyDescent="0.25">
      <c r="A199" s="13" t="s">
        <v>2261</v>
      </c>
      <c r="B199" s="13">
        <v>1980</v>
      </c>
      <c r="C199" s="14" t="str">
        <f>+VLOOKUP(B199,[1]LISTE!$A$1:$D$431,4,FALSE)</f>
        <v>MLAYEH YOUSSEF</v>
      </c>
      <c r="D199" s="14" t="s">
        <v>2262</v>
      </c>
      <c r="E199" s="15">
        <v>45895</v>
      </c>
      <c r="F199" s="14" t="s">
        <v>20</v>
      </c>
      <c r="G199" s="16">
        <v>11.98</v>
      </c>
    </row>
    <row r="200" spans="1:7" x14ac:dyDescent="0.25">
      <c r="A200" s="13" t="s">
        <v>2470</v>
      </c>
      <c r="B200" s="13">
        <v>1980</v>
      </c>
      <c r="C200" s="14" t="str">
        <f>+VLOOKUP(B200,[1]LISTE!$A$1:$D$431,4,FALSE)</f>
        <v>MLAYEH YOUSSEF</v>
      </c>
      <c r="D200" s="14" t="s">
        <v>2262</v>
      </c>
      <c r="E200" s="15">
        <v>45918</v>
      </c>
      <c r="F200" s="14" t="s">
        <v>20</v>
      </c>
      <c r="G200" s="16">
        <v>5.1100000000000003</v>
      </c>
    </row>
    <row r="201" spans="1:7" x14ac:dyDescent="0.25">
      <c r="A201" s="13" t="s">
        <v>2470</v>
      </c>
      <c r="B201" s="13">
        <v>1980</v>
      </c>
      <c r="C201" s="14" t="str">
        <f>+VLOOKUP(B201,[1]LISTE!$A$1:$D$431,4,FALSE)</f>
        <v>MLAYEH YOUSSEF</v>
      </c>
      <c r="D201" s="14" t="s">
        <v>2262</v>
      </c>
      <c r="E201" s="15">
        <v>45923</v>
      </c>
      <c r="F201" s="14" t="s">
        <v>24</v>
      </c>
      <c r="G201" s="16">
        <v>160</v>
      </c>
    </row>
    <row r="202" spans="1:7" x14ac:dyDescent="0.25">
      <c r="A202" s="13" t="s">
        <v>2414</v>
      </c>
      <c r="B202" s="13">
        <v>1990</v>
      </c>
      <c r="C202" s="14" t="s">
        <v>360</v>
      </c>
      <c r="D202" s="15" t="s">
        <v>361</v>
      </c>
      <c r="E202" s="15">
        <v>45911</v>
      </c>
      <c r="F202" s="14" t="s">
        <v>23</v>
      </c>
      <c r="G202" s="16">
        <v>45</v>
      </c>
    </row>
    <row r="203" spans="1:7" x14ac:dyDescent="0.25">
      <c r="A203" s="13" t="s">
        <v>2414</v>
      </c>
      <c r="B203" s="13">
        <v>1990</v>
      </c>
      <c r="C203" s="14" t="s">
        <v>360</v>
      </c>
      <c r="D203" s="14" t="s">
        <v>361</v>
      </c>
      <c r="E203" s="15">
        <v>45911</v>
      </c>
      <c r="F203" s="14" t="s">
        <v>20</v>
      </c>
      <c r="G203" s="16">
        <v>49.9</v>
      </c>
    </row>
    <row r="204" spans="1:7" x14ac:dyDescent="0.25">
      <c r="A204" s="13" t="s">
        <v>2415</v>
      </c>
      <c r="B204" s="13">
        <v>1990</v>
      </c>
      <c r="C204" s="14" t="s">
        <v>360</v>
      </c>
      <c r="D204" s="14" t="s">
        <v>186</v>
      </c>
      <c r="E204" s="15">
        <v>45911</v>
      </c>
      <c r="F204" s="14" t="s">
        <v>18</v>
      </c>
      <c r="G204" s="16">
        <v>60</v>
      </c>
    </row>
    <row r="205" spans="1:7" x14ac:dyDescent="0.25">
      <c r="A205" s="13" t="s">
        <v>2415</v>
      </c>
      <c r="B205" s="13">
        <v>1990</v>
      </c>
      <c r="C205" s="14" t="s">
        <v>360</v>
      </c>
      <c r="D205" s="14" t="s">
        <v>186</v>
      </c>
      <c r="E205" s="15">
        <v>45911</v>
      </c>
      <c r="F205" s="14" t="s">
        <v>20</v>
      </c>
      <c r="G205" s="16">
        <v>44.911999999999999</v>
      </c>
    </row>
    <row r="206" spans="1:7" x14ac:dyDescent="0.25">
      <c r="A206" s="13" t="s">
        <v>2389</v>
      </c>
      <c r="B206" s="13">
        <v>2009</v>
      </c>
      <c r="C206" s="14" t="str">
        <f>+VLOOKUP(B206,[1]LISTE!$A$1:$D$431,4,FALSE)</f>
        <v>BEN SAAD MOHAMED AMINE</v>
      </c>
      <c r="D206" s="14" t="s">
        <v>613</v>
      </c>
      <c r="E206" s="15">
        <v>45908</v>
      </c>
      <c r="F206" s="14" t="s">
        <v>18</v>
      </c>
      <c r="G206" s="16">
        <v>70</v>
      </c>
    </row>
    <row r="207" spans="1:7" x14ac:dyDescent="0.25">
      <c r="A207" s="13" t="s">
        <v>2389</v>
      </c>
      <c r="B207" s="13">
        <v>2009</v>
      </c>
      <c r="C207" s="14" t="str">
        <f>+VLOOKUP(B207,[1]LISTE!$A$1:$D$431,4,FALSE)</f>
        <v>BEN SAAD MOHAMED AMINE</v>
      </c>
      <c r="D207" s="14" t="s">
        <v>613</v>
      </c>
      <c r="E207" s="15">
        <v>45908</v>
      </c>
      <c r="F207" s="14" t="s">
        <v>20</v>
      </c>
      <c r="G207" s="16">
        <v>40.183</v>
      </c>
    </row>
    <row r="208" spans="1:7" x14ac:dyDescent="0.25">
      <c r="A208" s="13" t="s">
        <v>2438</v>
      </c>
      <c r="B208" s="13">
        <v>2084</v>
      </c>
      <c r="C208" s="14" t="str">
        <f>+VLOOKUP(B208,[1]LISTE!$A$1:$D$431,4,FALSE)</f>
        <v>HELALI Emna</v>
      </c>
      <c r="D208" s="14" t="s">
        <v>22</v>
      </c>
      <c r="E208" s="15">
        <v>45918</v>
      </c>
      <c r="F208" s="14" t="s">
        <v>18</v>
      </c>
      <c r="G208" s="16">
        <v>70</v>
      </c>
    </row>
    <row r="209" spans="1:7" x14ac:dyDescent="0.25">
      <c r="A209" s="13" t="s">
        <v>2438</v>
      </c>
      <c r="B209" s="13">
        <v>2084</v>
      </c>
      <c r="C209" s="14" t="str">
        <f>+VLOOKUP(B209,[1]LISTE!$A$1:$D$431,4,FALSE)</f>
        <v>HELALI Emna</v>
      </c>
      <c r="D209" s="14" t="s">
        <v>22</v>
      </c>
      <c r="E209" s="15">
        <v>45918</v>
      </c>
      <c r="F209" s="14" t="s">
        <v>20</v>
      </c>
      <c r="G209" s="16">
        <v>36.686999999999998</v>
      </c>
    </row>
    <row r="210" spans="1:7" x14ac:dyDescent="0.25">
      <c r="A210" s="13" t="s">
        <v>2438</v>
      </c>
      <c r="B210" s="13">
        <v>2084</v>
      </c>
      <c r="C210" s="14" t="str">
        <f>+VLOOKUP(B210,[1]LISTE!$A$1:$D$431,4,FALSE)</f>
        <v>HELALI Emna</v>
      </c>
      <c r="D210" s="14" t="s">
        <v>22</v>
      </c>
      <c r="E210" s="15">
        <v>45919</v>
      </c>
      <c r="F210" s="14" t="s">
        <v>69</v>
      </c>
      <c r="G210" s="16">
        <v>471</v>
      </c>
    </row>
    <row r="211" spans="1:7" x14ac:dyDescent="0.25">
      <c r="A211" s="13" t="s">
        <v>2464</v>
      </c>
      <c r="B211" s="13">
        <v>2100</v>
      </c>
      <c r="C211" s="14" t="str">
        <f>+VLOOKUP(B211,[1]LISTE!$A$1:$D$431,4,FALSE)</f>
        <v>MLAYEH NEZIHA</v>
      </c>
      <c r="D211" s="14" t="s">
        <v>112</v>
      </c>
      <c r="E211" s="15">
        <v>45899</v>
      </c>
      <c r="F211" s="14" t="s">
        <v>23</v>
      </c>
      <c r="G211" s="16">
        <v>1.5</v>
      </c>
    </row>
    <row r="212" spans="1:7" x14ac:dyDescent="0.25">
      <c r="A212" s="13" t="s">
        <v>2464</v>
      </c>
      <c r="B212" s="13">
        <v>2100</v>
      </c>
      <c r="C212" s="14" t="str">
        <f>+VLOOKUP(B212,[1]LISTE!$A$1:$D$431,4,FALSE)</f>
        <v>MLAYEH NEZIHA</v>
      </c>
      <c r="D212" s="14" t="s">
        <v>112</v>
      </c>
      <c r="E212" s="15">
        <v>45906</v>
      </c>
      <c r="F212" s="14" t="s">
        <v>20</v>
      </c>
      <c r="G212" s="16">
        <v>19.425000000000001</v>
      </c>
    </row>
    <row r="213" spans="1:7" x14ac:dyDescent="0.25">
      <c r="A213" s="13" t="s">
        <v>2464</v>
      </c>
      <c r="B213" s="13">
        <v>2100</v>
      </c>
      <c r="C213" s="14" t="str">
        <f>+VLOOKUP(B213,[1]LISTE!$A$1:$D$431,4,FALSE)</f>
        <v>MLAYEH NEZIHA</v>
      </c>
      <c r="D213" s="14" t="s">
        <v>112</v>
      </c>
      <c r="E213" s="15">
        <v>45924</v>
      </c>
      <c r="F213" s="14" t="s">
        <v>19</v>
      </c>
      <c r="G213" s="16">
        <v>15</v>
      </c>
    </row>
    <row r="214" spans="1:7" x14ac:dyDescent="0.25">
      <c r="A214" s="13" t="s">
        <v>2464</v>
      </c>
      <c r="B214" s="13">
        <v>2100</v>
      </c>
      <c r="C214" s="14" t="str">
        <f>+VLOOKUP(B214,[1]LISTE!$A$1:$D$431,4,FALSE)</f>
        <v>MLAYEH NEZIHA</v>
      </c>
      <c r="D214" s="14" t="s">
        <v>112</v>
      </c>
      <c r="E214" s="15">
        <v>45924</v>
      </c>
      <c r="F214" s="14" t="s">
        <v>19</v>
      </c>
      <c r="G214" s="16">
        <v>72</v>
      </c>
    </row>
    <row r="215" spans="1:7" x14ac:dyDescent="0.25">
      <c r="A215" s="13" t="s">
        <v>2471</v>
      </c>
      <c r="B215" s="13">
        <v>2102</v>
      </c>
      <c r="C215" s="14" t="str">
        <f>+VLOOKUP(B215,[1]LISTE!$A$1:$D$431,4,FALSE)</f>
        <v>BENAMER MARWA</v>
      </c>
      <c r="D215" s="14" t="s">
        <v>22</v>
      </c>
      <c r="E215" s="15">
        <v>45923</v>
      </c>
      <c r="F215" s="14" t="s">
        <v>18</v>
      </c>
      <c r="G215" s="16">
        <v>70</v>
      </c>
    </row>
    <row r="216" spans="1:7" x14ac:dyDescent="0.25">
      <c r="A216" s="13" t="s">
        <v>2471</v>
      </c>
      <c r="B216" s="13">
        <v>2102</v>
      </c>
      <c r="C216" s="14" t="str">
        <f>+VLOOKUP(B216,[1]LISTE!$A$1:$D$431,4,FALSE)</f>
        <v>BENAMER MARWA</v>
      </c>
      <c r="D216" s="14" t="s">
        <v>22</v>
      </c>
      <c r="E216" s="15">
        <v>45923</v>
      </c>
      <c r="F216" s="14" t="s">
        <v>20</v>
      </c>
      <c r="G216" s="16">
        <v>112.027</v>
      </c>
    </row>
    <row r="217" spans="1:7" x14ac:dyDescent="0.25">
      <c r="A217" s="13" t="s">
        <v>2444</v>
      </c>
      <c r="B217" s="13">
        <v>2124</v>
      </c>
      <c r="C217" s="14" t="str">
        <f>+VLOOKUP(B217,[1]LISTE!$A$1:$D$431,4,FALSE)</f>
        <v>AHMED BEN HADJ MESSAOUD</v>
      </c>
      <c r="D217" s="14" t="s">
        <v>408</v>
      </c>
      <c r="E217" s="15">
        <v>45895</v>
      </c>
      <c r="F217" s="14" t="s">
        <v>23</v>
      </c>
      <c r="G217" s="16">
        <v>3</v>
      </c>
    </row>
    <row r="218" spans="1:7" x14ac:dyDescent="0.25">
      <c r="A218" s="13" t="s">
        <v>2444</v>
      </c>
      <c r="B218" s="13">
        <v>2124</v>
      </c>
      <c r="C218" s="14" t="str">
        <f>+VLOOKUP(B218,[1]LISTE!$A$1:$D$431,4,FALSE)</f>
        <v>AHMED BEN HADJ MESSAOUD</v>
      </c>
      <c r="D218" s="14" t="s">
        <v>408</v>
      </c>
      <c r="E218" s="15">
        <v>45895</v>
      </c>
      <c r="F218" s="14" t="s">
        <v>23</v>
      </c>
      <c r="G218" s="16">
        <v>8</v>
      </c>
    </row>
    <row r="219" spans="1:7" x14ac:dyDescent="0.25">
      <c r="A219" s="13" t="s">
        <v>2444</v>
      </c>
      <c r="B219" s="13">
        <v>2124</v>
      </c>
      <c r="C219" s="14" t="str">
        <f>+VLOOKUP(B219,[1]LISTE!$A$1:$D$431,4,FALSE)</f>
        <v>AHMED BEN HADJ MESSAOUD</v>
      </c>
      <c r="D219" s="14" t="s">
        <v>408</v>
      </c>
      <c r="E219" s="15">
        <v>45895</v>
      </c>
      <c r="F219" s="14" t="s">
        <v>20</v>
      </c>
      <c r="G219" s="16">
        <v>2.605</v>
      </c>
    </row>
    <row r="220" spans="1:7" x14ac:dyDescent="0.25">
      <c r="A220" s="13" t="s">
        <v>2347</v>
      </c>
      <c r="B220" s="13">
        <v>2125</v>
      </c>
      <c r="C220" s="14" t="str">
        <f>+VLOOKUP(B220,[1]LISTE!$A$1:$D$431,4,FALSE)</f>
        <v>ACHRAF HASSEN</v>
      </c>
      <c r="D220" s="14" t="s">
        <v>1485</v>
      </c>
      <c r="E220" s="15">
        <v>45906</v>
      </c>
      <c r="F220" s="14" t="s">
        <v>18</v>
      </c>
      <c r="G220" s="16">
        <v>60</v>
      </c>
    </row>
    <row r="221" spans="1:7" x14ac:dyDescent="0.25">
      <c r="A221" s="13" t="s">
        <v>2347</v>
      </c>
      <c r="B221" s="13">
        <v>2125</v>
      </c>
      <c r="C221" s="14" t="str">
        <f>+VLOOKUP(B221,[1]LISTE!$A$1:$D$431,4,FALSE)</f>
        <v>ACHRAF HASSEN</v>
      </c>
      <c r="D221" s="15" t="s">
        <v>1485</v>
      </c>
      <c r="E221" s="15">
        <v>45906</v>
      </c>
      <c r="F221" s="14" t="s">
        <v>19</v>
      </c>
      <c r="G221" s="16">
        <v>25.04</v>
      </c>
    </row>
    <row r="222" spans="1:7" x14ac:dyDescent="0.25">
      <c r="A222" s="13" t="s">
        <v>2347</v>
      </c>
      <c r="B222" s="13">
        <v>2125</v>
      </c>
      <c r="C222" s="14" t="str">
        <f>+VLOOKUP(B222,[1]LISTE!$A$1:$D$431,4,FALSE)</f>
        <v>ACHRAF HASSEN</v>
      </c>
      <c r="D222" s="14" t="s">
        <v>1485</v>
      </c>
      <c r="E222" s="15">
        <v>45906</v>
      </c>
      <c r="F222" s="14" t="s">
        <v>20</v>
      </c>
      <c r="G222" s="16">
        <v>53.933999999999997</v>
      </c>
    </row>
    <row r="223" spans="1:7" x14ac:dyDescent="0.25">
      <c r="A223" s="13" t="s">
        <v>2370</v>
      </c>
      <c r="B223" s="13">
        <v>2137</v>
      </c>
      <c r="C223" s="14" t="str">
        <f>+VLOOKUP(B223,[1]LISTE!$A$1:$D$431,4,FALSE)</f>
        <v>MOHAMED BOUZAMOUCHA</v>
      </c>
      <c r="D223" s="14" t="s">
        <v>22</v>
      </c>
      <c r="E223" s="15">
        <v>45904</v>
      </c>
      <c r="F223" s="14" t="s">
        <v>23</v>
      </c>
      <c r="G223" s="16">
        <v>40</v>
      </c>
    </row>
    <row r="224" spans="1:7" x14ac:dyDescent="0.25">
      <c r="A224" s="13" t="s">
        <v>2370</v>
      </c>
      <c r="B224" s="13">
        <v>2137</v>
      </c>
      <c r="C224" s="14" t="str">
        <f>+VLOOKUP(B224,[1]LISTE!$A$1:$D$431,4,FALSE)</f>
        <v>MOHAMED BOUZAMOUCHA</v>
      </c>
      <c r="D224" s="14" t="s">
        <v>22</v>
      </c>
      <c r="E224" s="15">
        <v>45910</v>
      </c>
      <c r="F224" s="14" t="s">
        <v>20</v>
      </c>
      <c r="G224" s="16">
        <v>4.2450000000000001</v>
      </c>
    </row>
    <row r="225" spans="1:7" x14ac:dyDescent="0.25">
      <c r="A225" s="13" t="s">
        <v>2370</v>
      </c>
      <c r="B225" s="13">
        <v>2137</v>
      </c>
      <c r="C225" s="14" t="str">
        <f>+VLOOKUP(B225,[1]LISTE!$A$1:$D$431,4,FALSE)</f>
        <v>MOHAMED BOUZAMOUCHA</v>
      </c>
      <c r="D225" s="14" t="s">
        <v>22</v>
      </c>
      <c r="E225" s="15">
        <v>45910</v>
      </c>
      <c r="F225" s="14" t="s">
        <v>24</v>
      </c>
      <c r="G225" s="16">
        <v>480</v>
      </c>
    </row>
    <row r="226" spans="1:7" x14ac:dyDescent="0.25">
      <c r="A226" s="13" t="s">
        <v>2361</v>
      </c>
      <c r="B226" s="13">
        <v>2148</v>
      </c>
      <c r="C226" s="14" t="str">
        <f>+VLOOKUP(B226,[1]LISTE!$A$1:$D$431,4,FALSE)</f>
        <v>CHIHI HOUSSEM</v>
      </c>
      <c r="D226" s="14" t="s">
        <v>327</v>
      </c>
      <c r="E226" s="15">
        <v>45911</v>
      </c>
      <c r="F226" s="14" t="s">
        <v>18</v>
      </c>
      <c r="G226" s="16">
        <v>60</v>
      </c>
    </row>
    <row r="227" spans="1:7" x14ac:dyDescent="0.25">
      <c r="A227" s="13" t="s">
        <v>2361</v>
      </c>
      <c r="B227" s="13">
        <v>2148</v>
      </c>
      <c r="C227" s="14" t="str">
        <f>+VLOOKUP(B227,[1]LISTE!$A$1:$D$431,4,FALSE)</f>
        <v>CHIHI HOUSSEM</v>
      </c>
      <c r="D227" s="14" t="s">
        <v>327</v>
      </c>
      <c r="E227" s="15">
        <v>45911</v>
      </c>
      <c r="F227" s="14" t="s">
        <v>20</v>
      </c>
      <c r="G227" s="16">
        <v>21.11</v>
      </c>
    </row>
    <row r="228" spans="1:7" x14ac:dyDescent="0.25">
      <c r="A228" s="13" t="s">
        <v>2361</v>
      </c>
      <c r="B228" s="13">
        <v>2148</v>
      </c>
      <c r="C228" s="14" t="str">
        <f>+VLOOKUP(B228,[1]LISTE!$A$1:$D$431,4,FALSE)</f>
        <v>CHIHI HOUSSEM</v>
      </c>
      <c r="D228" s="15" t="s">
        <v>327</v>
      </c>
      <c r="E228" s="15">
        <v>45911</v>
      </c>
      <c r="F228" s="14" t="s">
        <v>21</v>
      </c>
      <c r="G228" s="16">
        <v>70</v>
      </c>
    </row>
    <row r="229" spans="1:7" x14ac:dyDescent="0.25">
      <c r="A229" s="13" t="s">
        <v>2465</v>
      </c>
      <c r="B229" s="13">
        <v>2153</v>
      </c>
      <c r="C229" s="14" t="str">
        <f>+VLOOKUP(B229,[1]LISTE!$A$1:$D$431,4,FALSE)</f>
        <v>BABAY ROUIS ANOIR</v>
      </c>
      <c r="D229" s="14" t="s">
        <v>22</v>
      </c>
      <c r="E229" s="15">
        <v>45922</v>
      </c>
      <c r="F229" s="14" t="s">
        <v>23</v>
      </c>
      <c r="G229" s="16">
        <v>50</v>
      </c>
    </row>
    <row r="230" spans="1:7" x14ac:dyDescent="0.25">
      <c r="A230" s="13" t="s">
        <v>2465</v>
      </c>
      <c r="B230" s="13">
        <v>2153</v>
      </c>
      <c r="C230" s="14" t="str">
        <f>+VLOOKUP(B230,[1]LISTE!$A$1:$D$431,4,FALSE)</f>
        <v>BABAY ROUIS ANOIR</v>
      </c>
      <c r="D230" s="14" t="s">
        <v>22</v>
      </c>
      <c r="E230" s="15">
        <v>45922</v>
      </c>
      <c r="F230" s="14" t="s">
        <v>20</v>
      </c>
      <c r="G230" s="16">
        <v>55.31</v>
      </c>
    </row>
    <row r="231" spans="1:7" x14ac:dyDescent="0.25">
      <c r="A231" s="13" t="s">
        <v>2436</v>
      </c>
      <c r="B231" s="13">
        <v>2172</v>
      </c>
      <c r="C231" s="14" t="str">
        <f>+VLOOKUP(B231,[1]LISTE!$A$1:$D$431,4,FALSE)</f>
        <v>ACHECHE HABIB</v>
      </c>
      <c r="D231" s="15" t="s">
        <v>22</v>
      </c>
      <c r="E231" s="15">
        <v>45915</v>
      </c>
      <c r="F231" s="14" t="s">
        <v>19</v>
      </c>
      <c r="G231" s="16">
        <v>145.09</v>
      </c>
    </row>
    <row r="232" spans="1:7" x14ac:dyDescent="0.25">
      <c r="A232" s="13" t="s">
        <v>2436</v>
      </c>
      <c r="B232" s="13">
        <v>2172</v>
      </c>
      <c r="C232" s="14" t="str">
        <f>+VLOOKUP(B232,[1]LISTE!$A$1:$D$431,4,FALSE)</f>
        <v>ACHECHE HABIB</v>
      </c>
      <c r="D232" s="14" t="s">
        <v>22</v>
      </c>
      <c r="E232" s="15">
        <v>45915</v>
      </c>
      <c r="F232" s="14" t="s">
        <v>21</v>
      </c>
      <c r="G232" s="16">
        <v>160</v>
      </c>
    </row>
    <row r="233" spans="1:7" x14ac:dyDescent="0.25">
      <c r="A233" s="13" t="s">
        <v>2422</v>
      </c>
      <c r="B233" s="13">
        <v>2195</v>
      </c>
      <c r="C233" s="14" t="s">
        <v>559</v>
      </c>
      <c r="D233" s="15" t="s">
        <v>361</v>
      </c>
      <c r="E233" s="15">
        <v>45916</v>
      </c>
      <c r="F233" s="14" t="s">
        <v>23</v>
      </c>
      <c r="G233" s="16">
        <v>1.5</v>
      </c>
    </row>
    <row r="234" spans="1:7" x14ac:dyDescent="0.25">
      <c r="A234" s="13" t="s">
        <v>2422</v>
      </c>
      <c r="B234" s="13">
        <v>2195</v>
      </c>
      <c r="C234" s="14" t="s">
        <v>559</v>
      </c>
      <c r="D234" s="15" t="s">
        <v>361</v>
      </c>
      <c r="E234" s="15">
        <v>45916</v>
      </c>
      <c r="F234" s="14" t="s">
        <v>19</v>
      </c>
      <c r="G234" s="16">
        <v>16</v>
      </c>
    </row>
    <row r="235" spans="1:7" x14ac:dyDescent="0.25">
      <c r="A235" s="13" t="s">
        <v>2463</v>
      </c>
      <c r="B235" s="13">
        <v>2195</v>
      </c>
      <c r="C235" s="14" t="s">
        <v>559</v>
      </c>
      <c r="D235" s="14" t="s">
        <v>513</v>
      </c>
      <c r="E235" s="15">
        <v>45922</v>
      </c>
      <c r="F235" s="14" t="s">
        <v>23</v>
      </c>
      <c r="G235" s="16">
        <v>1.5</v>
      </c>
    </row>
    <row r="236" spans="1:7" x14ac:dyDescent="0.25">
      <c r="A236" s="13" t="s">
        <v>2463</v>
      </c>
      <c r="B236" s="13">
        <v>2195</v>
      </c>
      <c r="C236" s="14" t="s">
        <v>559</v>
      </c>
      <c r="D236" s="14" t="s">
        <v>513</v>
      </c>
      <c r="E236" s="15">
        <v>45922</v>
      </c>
      <c r="F236" s="14" t="s">
        <v>20</v>
      </c>
      <c r="G236" s="16">
        <v>57.56</v>
      </c>
    </row>
    <row r="237" spans="1:7" x14ac:dyDescent="0.25">
      <c r="A237" s="13" t="s">
        <v>2426</v>
      </c>
      <c r="B237" s="13">
        <v>2198</v>
      </c>
      <c r="C237" s="14" t="s">
        <v>2427</v>
      </c>
      <c r="D237" s="15" t="s">
        <v>1986</v>
      </c>
      <c r="E237" s="15">
        <v>45878</v>
      </c>
      <c r="F237" s="14" t="s">
        <v>1889</v>
      </c>
      <c r="G237" s="16">
        <v>120</v>
      </c>
    </row>
    <row r="238" spans="1:7" x14ac:dyDescent="0.25">
      <c r="A238" s="13" t="s">
        <v>2426</v>
      </c>
      <c r="B238" s="13">
        <v>2198</v>
      </c>
      <c r="C238" s="14" t="s">
        <v>2427</v>
      </c>
      <c r="D238" s="15" t="s">
        <v>1986</v>
      </c>
      <c r="E238" s="15">
        <v>45878</v>
      </c>
      <c r="F238" s="14" t="s">
        <v>20</v>
      </c>
      <c r="G238" s="16">
        <v>35.265999999999998</v>
      </c>
    </row>
    <row r="239" spans="1:7" x14ac:dyDescent="0.25">
      <c r="A239" s="13" t="s">
        <v>2428</v>
      </c>
      <c r="B239" s="13">
        <v>2198</v>
      </c>
      <c r="C239" s="14" t="s">
        <v>2427</v>
      </c>
      <c r="D239" s="15" t="s">
        <v>2429</v>
      </c>
      <c r="E239" s="15">
        <v>45878</v>
      </c>
      <c r="F239" s="14" t="s">
        <v>1889</v>
      </c>
      <c r="G239" s="16">
        <v>120</v>
      </c>
    </row>
    <row r="240" spans="1:7" x14ac:dyDescent="0.25">
      <c r="A240" s="13" t="s">
        <v>2428</v>
      </c>
      <c r="B240" s="13">
        <v>2198</v>
      </c>
      <c r="C240" s="14" t="s">
        <v>2427</v>
      </c>
      <c r="D240" s="14" t="s">
        <v>2429</v>
      </c>
      <c r="E240" s="15">
        <v>45878</v>
      </c>
      <c r="F240" s="14" t="s">
        <v>20</v>
      </c>
      <c r="G240" s="16">
        <v>30.506</v>
      </c>
    </row>
    <row r="241" spans="1:7" x14ac:dyDescent="0.25">
      <c r="A241" s="13" t="s">
        <v>2447</v>
      </c>
      <c r="B241" s="13">
        <v>2203</v>
      </c>
      <c r="C241" s="14" t="s">
        <v>1858</v>
      </c>
      <c r="D241" s="14" t="s">
        <v>387</v>
      </c>
      <c r="E241" s="15">
        <v>45917</v>
      </c>
      <c r="F241" s="14" t="s">
        <v>18</v>
      </c>
      <c r="G241" s="16">
        <v>70</v>
      </c>
    </row>
    <row r="242" spans="1:7" x14ac:dyDescent="0.25">
      <c r="A242" s="13" t="s">
        <v>2447</v>
      </c>
      <c r="B242" s="13">
        <v>2203</v>
      </c>
      <c r="C242" s="14" t="s">
        <v>1858</v>
      </c>
      <c r="D242" s="14" t="s">
        <v>387</v>
      </c>
      <c r="E242" s="15">
        <v>45917</v>
      </c>
      <c r="F242" s="14" t="s">
        <v>20</v>
      </c>
      <c r="G242" s="16">
        <v>25</v>
      </c>
    </row>
    <row r="243" spans="1:7" x14ac:dyDescent="0.25">
      <c r="A243" s="13" t="s">
        <v>2453</v>
      </c>
      <c r="B243" s="13">
        <v>2203</v>
      </c>
      <c r="C243" s="14" t="s">
        <v>1858</v>
      </c>
      <c r="D243" s="14" t="s">
        <v>931</v>
      </c>
      <c r="E243" s="15">
        <v>45922</v>
      </c>
      <c r="F243" s="14" t="s">
        <v>18</v>
      </c>
      <c r="G243" s="16">
        <v>60</v>
      </c>
    </row>
    <row r="244" spans="1:7" x14ac:dyDescent="0.25">
      <c r="A244" s="13" t="s">
        <v>2453</v>
      </c>
      <c r="B244" s="13">
        <v>2203</v>
      </c>
      <c r="C244" s="14" t="s">
        <v>1858</v>
      </c>
      <c r="D244" s="14" t="s">
        <v>931</v>
      </c>
      <c r="E244" s="15">
        <v>45922</v>
      </c>
      <c r="F244" s="14" t="s">
        <v>20</v>
      </c>
      <c r="G244" s="16">
        <v>45.64</v>
      </c>
    </row>
    <row r="245" spans="1:7" x14ac:dyDescent="0.25">
      <c r="A245" s="13" t="s">
        <v>2433</v>
      </c>
      <c r="B245" s="13">
        <v>2246</v>
      </c>
      <c r="C245" s="14" t="s">
        <v>664</v>
      </c>
      <c r="D245" s="14" t="s">
        <v>665</v>
      </c>
      <c r="E245" s="15">
        <v>45909</v>
      </c>
      <c r="F245" s="14" t="s">
        <v>18</v>
      </c>
      <c r="G245" s="16">
        <v>70</v>
      </c>
    </row>
    <row r="246" spans="1:7" x14ac:dyDescent="0.25">
      <c r="A246" s="13" t="s">
        <v>2433</v>
      </c>
      <c r="B246" s="13">
        <v>2246</v>
      </c>
      <c r="C246" s="14" t="s">
        <v>664</v>
      </c>
      <c r="D246" s="15" t="s">
        <v>665</v>
      </c>
      <c r="E246" s="15">
        <v>45909</v>
      </c>
      <c r="F246" s="14" t="s">
        <v>20</v>
      </c>
      <c r="G246" s="16">
        <v>53.158000000000001</v>
      </c>
    </row>
    <row r="247" spans="1:7" x14ac:dyDescent="0.25">
      <c r="A247" s="13" t="s">
        <v>2434</v>
      </c>
      <c r="B247" s="13">
        <v>2246</v>
      </c>
      <c r="C247" s="14" t="s">
        <v>664</v>
      </c>
      <c r="D247" s="14" t="s">
        <v>1128</v>
      </c>
      <c r="E247" s="15">
        <v>45909</v>
      </c>
      <c r="F247" s="14" t="s">
        <v>23</v>
      </c>
      <c r="G247" s="16">
        <v>40</v>
      </c>
    </row>
    <row r="248" spans="1:7" x14ac:dyDescent="0.25">
      <c r="A248" s="13" t="s">
        <v>2434</v>
      </c>
      <c r="B248" s="13">
        <v>2246</v>
      </c>
      <c r="C248" s="14" t="s">
        <v>664</v>
      </c>
      <c r="D248" s="14" t="s">
        <v>1128</v>
      </c>
      <c r="E248" s="15">
        <v>45909</v>
      </c>
      <c r="F248" s="14" t="s">
        <v>20</v>
      </c>
      <c r="G248" s="16">
        <v>84.087999999999994</v>
      </c>
    </row>
    <row r="249" spans="1:7" x14ac:dyDescent="0.25">
      <c r="A249" s="13" t="s">
        <v>2456</v>
      </c>
      <c r="B249" s="13">
        <v>2252</v>
      </c>
      <c r="C249" s="14" t="s">
        <v>1971</v>
      </c>
      <c r="D249" s="14" t="s">
        <v>1260</v>
      </c>
      <c r="E249" s="15">
        <v>45918</v>
      </c>
      <c r="F249" s="14" t="s">
        <v>23</v>
      </c>
      <c r="G249" s="16">
        <v>50</v>
      </c>
    </row>
    <row r="250" spans="1:7" x14ac:dyDescent="0.25">
      <c r="A250" s="13" t="s">
        <v>2456</v>
      </c>
      <c r="B250" s="13">
        <v>2252</v>
      </c>
      <c r="C250" s="14" t="s">
        <v>1971</v>
      </c>
      <c r="D250" s="14" t="s">
        <v>1260</v>
      </c>
      <c r="E250" s="15">
        <v>45918</v>
      </c>
      <c r="F250" s="14" t="s">
        <v>20</v>
      </c>
      <c r="G250" s="16">
        <v>12.23</v>
      </c>
    </row>
    <row r="251" spans="1:7" x14ac:dyDescent="0.25">
      <c r="A251" s="13" t="s">
        <v>2385</v>
      </c>
      <c r="B251" s="13">
        <v>2254</v>
      </c>
      <c r="C251" s="14" t="s">
        <v>106</v>
      </c>
      <c r="D251" s="14" t="s">
        <v>22</v>
      </c>
      <c r="E251" s="15">
        <v>45912</v>
      </c>
      <c r="F251" s="14" t="s">
        <v>23</v>
      </c>
      <c r="G251" s="16">
        <v>45</v>
      </c>
    </row>
    <row r="252" spans="1:7" x14ac:dyDescent="0.25">
      <c r="A252" s="13" t="s">
        <v>2385</v>
      </c>
      <c r="B252" s="13">
        <v>2254</v>
      </c>
      <c r="C252" s="14" t="s">
        <v>106</v>
      </c>
      <c r="D252" s="14" t="s">
        <v>22</v>
      </c>
      <c r="E252" s="15">
        <v>45912</v>
      </c>
      <c r="F252" s="14" t="s">
        <v>20</v>
      </c>
      <c r="G252" s="16">
        <v>21.62</v>
      </c>
    </row>
    <row r="253" spans="1:7" x14ac:dyDescent="0.25">
      <c r="A253" s="13" t="s">
        <v>2410</v>
      </c>
      <c r="B253" s="13">
        <v>2258</v>
      </c>
      <c r="C253" s="14" t="s">
        <v>345</v>
      </c>
      <c r="D253" s="15" t="s">
        <v>22</v>
      </c>
      <c r="E253" s="15">
        <v>45917</v>
      </c>
      <c r="F253" s="14" t="s">
        <v>18</v>
      </c>
      <c r="G253" s="16">
        <v>60</v>
      </c>
    </row>
    <row r="254" spans="1:7" x14ac:dyDescent="0.25">
      <c r="A254" s="13" t="s">
        <v>2410</v>
      </c>
      <c r="B254" s="13">
        <v>2258</v>
      </c>
      <c r="C254" s="14" t="s">
        <v>345</v>
      </c>
      <c r="D254" s="14" t="s">
        <v>22</v>
      </c>
      <c r="E254" s="15">
        <v>45917</v>
      </c>
      <c r="F254" s="14" t="s">
        <v>20</v>
      </c>
      <c r="G254" s="16">
        <v>32.274999999999999</v>
      </c>
    </row>
    <row r="255" spans="1:7" x14ac:dyDescent="0.25">
      <c r="A255" s="13" t="s">
        <v>2410</v>
      </c>
      <c r="B255" s="13">
        <v>2258</v>
      </c>
      <c r="C255" s="14" t="s">
        <v>345</v>
      </c>
      <c r="D255" s="14" t="s">
        <v>22</v>
      </c>
      <c r="E255" s="15">
        <v>45917</v>
      </c>
      <c r="F255" s="14" t="s">
        <v>21</v>
      </c>
      <c r="G255" s="16">
        <v>35</v>
      </c>
    </row>
    <row r="256" spans="1:7" x14ac:dyDescent="0.25">
      <c r="A256" s="13" t="s">
        <v>2451</v>
      </c>
      <c r="B256" s="13">
        <v>2326</v>
      </c>
      <c r="C256" s="14" t="s">
        <v>28</v>
      </c>
      <c r="D256" s="14" t="s">
        <v>22</v>
      </c>
      <c r="E256" s="15">
        <v>45919</v>
      </c>
      <c r="F256" s="14" t="s">
        <v>20</v>
      </c>
      <c r="G256" s="16">
        <v>41.185000000000002</v>
      </c>
    </row>
    <row r="257" spans="1:7" x14ac:dyDescent="0.25">
      <c r="A257" s="13" t="s">
        <v>2451</v>
      </c>
      <c r="B257" s="13">
        <v>2326</v>
      </c>
      <c r="C257" s="14" t="s">
        <v>28</v>
      </c>
      <c r="D257" s="14" t="s">
        <v>22</v>
      </c>
      <c r="E257" s="15">
        <v>45919</v>
      </c>
      <c r="F257" s="14" t="s">
        <v>20</v>
      </c>
      <c r="G257" s="16">
        <v>11.2</v>
      </c>
    </row>
    <row r="258" spans="1:7" x14ac:dyDescent="0.25">
      <c r="A258" s="13" t="s">
        <v>2362</v>
      </c>
      <c r="B258" s="13">
        <v>2366</v>
      </c>
      <c r="C258" s="14" t="s">
        <v>2363</v>
      </c>
      <c r="D258" s="14" t="s">
        <v>22</v>
      </c>
      <c r="E258" s="15">
        <v>45909</v>
      </c>
      <c r="F258" s="14" t="s">
        <v>24</v>
      </c>
      <c r="G258" s="16">
        <v>1500</v>
      </c>
    </row>
    <row r="259" spans="1:7" x14ac:dyDescent="0.25">
      <c r="A259" s="13" t="s">
        <v>2255</v>
      </c>
      <c r="B259" s="13">
        <v>2442</v>
      </c>
      <c r="C259" s="14" t="s">
        <v>817</v>
      </c>
      <c r="D259" s="14" t="s">
        <v>22</v>
      </c>
      <c r="E259" s="15">
        <v>45892</v>
      </c>
      <c r="F259" s="14" t="s">
        <v>23</v>
      </c>
      <c r="G259" s="16">
        <v>45</v>
      </c>
    </row>
    <row r="260" spans="1:7" x14ac:dyDescent="0.25">
      <c r="A260" s="13" t="s">
        <v>2255</v>
      </c>
      <c r="B260" s="13">
        <v>2442</v>
      </c>
      <c r="C260" s="14" t="s">
        <v>817</v>
      </c>
      <c r="D260" s="14" t="s">
        <v>22</v>
      </c>
      <c r="E260" s="15">
        <v>45892</v>
      </c>
      <c r="F260" s="14" t="s">
        <v>20</v>
      </c>
      <c r="G260" s="16">
        <v>54.378999999999998</v>
      </c>
    </row>
    <row r="261" spans="1:7" x14ac:dyDescent="0.25">
      <c r="A261" s="13" t="s">
        <v>2420</v>
      </c>
      <c r="B261" s="13">
        <v>2448</v>
      </c>
      <c r="C261" s="14" t="s">
        <v>2421</v>
      </c>
      <c r="D261" s="14" t="s">
        <v>1534</v>
      </c>
      <c r="E261" s="15">
        <v>45897</v>
      </c>
      <c r="F261" s="14" t="s">
        <v>18</v>
      </c>
      <c r="G261" s="16">
        <v>70</v>
      </c>
    </row>
    <row r="262" spans="1:7" x14ac:dyDescent="0.25">
      <c r="A262" s="13" t="s">
        <v>2420</v>
      </c>
      <c r="B262" s="13">
        <v>2448</v>
      </c>
      <c r="C262" s="14" t="s">
        <v>2421</v>
      </c>
      <c r="D262" s="15" t="s">
        <v>1534</v>
      </c>
      <c r="E262" s="15">
        <v>45897</v>
      </c>
      <c r="F262" s="14" t="s">
        <v>19</v>
      </c>
      <c r="G262" s="16">
        <v>179.65</v>
      </c>
    </row>
    <row r="263" spans="1:7" x14ac:dyDescent="0.25">
      <c r="A263" s="13" t="s">
        <v>2420</v>
      </c>
      <c r="B263" s="13">
        <v>2448</v>
      </c>
      <c r="C263" s="14" t="s">
        <v>2421</v>
      </c>
      <c r="D263" s="15" t="s">
        <v>1534</v>
      </c>
      <c r="E263" s="15">
        <v>45906</v>
      </c>
      <c r="F263" s="14" t="s">
        <v>20</v>
      </c>
      <c r="G263" s="16">
        <v>6.6849999999999996</v>
      </c>
    </row>
    <row r="264" spans="1:7" x14ac:dyDescent="0.25">
      <c r="A264" s="13" t="s">
        <v>2352</v>
      </c>
      <c r="B264" s="13">
        <v>2456</v>
      </c>
      <c r="C264" s="14" t="s">
        <v>155</v>
      </c>
      <c r="D264" s="14" t="s">
        <v>22</v>
      </c>
      <c r="E264" s="15">
        <v>45911</v>
      </c>
      <c r="F264" s="14" t="s">
        <v>20</v>
      </c>
      <c r="G264" s="16">
        <v>92.224000000000004</v>
      </c>
    </row>
    <row r="265" spans="1:7" x14ac:dyDescent="0.25">
      <c r="A265" s="13" t="s">
        <v>2353</v>
      </c>
      <c r="B265" s="13">
        <v>2456</v>
      </c>
      <c r="C265" s="14" t="s">
        <v>155</v>
      </c>
      <c r="D265" s="14" t="s">
        <v>22</v>
      </c>
      <c r="E265" s="15">
        <v>45909</v>
      </c>
      <c r="F265" s="14" t="s">
        <v>19</v>
      </c>
      <c r="G265" s="16">
        <v>200</v>
      </c>
    </row>
    <row r="266" spans="1:7" x14ac:dyDescent="0.25">
      <c r="A266" s="13" t="s">
        <v>2353</v>
      </c>
      <c r="B266" s="13">
        <v>2456</v>
      </c>
      <c r="C266" s="14" t="s">
        <v>155</v>
      </c>
      <c r="D266" s="15" t="s">
        <v>22</v>
      </c>
      <c r="E266" s="15">
        <v>45904</v>
      </c>
      <c r="F266" s="14" t="s">
        <v>20</v>
      </c>
      <c r="G266" s="16">
        <v>27.047999999999998</v>
      </c>
    </row>
    <row r="267" spans="1:7" x14ac:dyDescent="0.25">
      <c r="A267" s="13" t="s">
        <v>2353</v>
      </c>
      <c r="B267" s="13">
        <v>2456</v>
      </c>
      <c r="C267" s="14" t="s">
        <v>155</v>
      </c>
      <c r="D267" s="14" t="s">
        <v>22</v>
      </c>
      <c r="E267" s="15">
        <v>45909</v>
      </c>
      <c r="F267" s="14" t="s">
        <v>363</v>
      </c>
      <c r="G267" s="16">
        <v>420</v>
      </c>
    </row>
    <row r="268" spans="1:7" x14ac:dyDescent="0.25">
      <c r="A268" s="13" t="s">
        <v>2353</v>
      </c>
      <c r="B268" s="13">
        <v>2456</v>
      </c>
      <c r="C268" s="14" t="s">
        <v>155</v>
      </c>
      <c r="D268" s="14" t="s">
        <v>22</v>
      </c>
      <c r="E268" s="15">
        <v>45909</v>
      </c>
      <c r="F268" s="14" t="s">
        <v>363</v>
      </c>
      <c r="G268" s="16">
        <v>60</v>
      </c>
    </row>
    <row r="269" spans="1:7" x14ac:dyDescent="0.25">
      <c r="A269" s="13" t="s">
        <v>2353</v>
      </c>
      <c r="B269" s="13">
        <v>2456</v>
      </c>
      <c r="C269" s="14" t="s">
        <v>155</v>
      </c>
      <c r="D269" s="14" t="s">
        <v>22</v>
      </c>
      <c r="E269" s="15">
        <v>45909</v>
      </c>
      <c r="F269" s="14" t="s">
        <v>364</v>
      </c>
      <c r="G269" s="16">
        <v>255.44900000000001</v>
      </c>
    </row>
    <row r="270" spans="1:7" x14ac:dyDescent="0.25">
      <c r="A270" s="13" t="s">
        <v>2398</v>
      </c>
      <c r="B270" s="13">
        <v>2479</v>
      </c>
      <c r="C270" s="14" t="s">
        <v>1712</v>
      </c>
      <c r="D270" s="14" t="s">
        <v>2384</v>
      </c>
      <c r="E270" s="15">
        <v>45908</v>
      </c>
      <c r="F270" s="14" t="s">
        <v>2399</v>
      </c>
      <c r="G270" s="16">
        <v>250</v>
      </c>
    </row>
    <row r="271" spans="1:7" x14ac:dyDescent="0.25">
      <c r="A271" s="13" t="s">
        <v>2371</v>
      </c>
      <c r="B271" s="13">
        <v>2497</v>
      </c>
      <c r="C271" s="14" t="s">
        <v>1263</v>
      </c>
      <c r="D271" s="14" t="s">
        <v>669</v>
      </c>
      <c r="E271" s="15">
        <v>45891</v>
      </c>
      <c r="F271" s="14" t="s">
        <v>19</v>
      </c>
      <c r="G271" s="16">
        <v>690</v>
      </c>
    </row>
    <row r="272" spans="1:7" x14ac:dyDescent="0.25">
      <c r="A272" s="13" t="s">
        <v>2371</v>
      </c>
      <c r="B272" s="13">
        <v>2497</v>
      </c>
      <c r="C272" s="14" t="s">
        <v>1263</v>
      </c>
      <c r="D272" s="14" t="s">
        <v>669</v>
      </c>
      <c r="E272" s="15">
        <v>45904</v>
      </c>
      <c r="F272" s="14" t="s">
        <v>20</v>
      </c>
      <c r="G272" s="16">
        <v>35.521999999999998</v>
      </c>
    </row>
    <row r="273" spans="1:7" x14ac:dyDescent="0.25">
      <c r="A273" s="13" t="s">
        <v>2270</v>
      </c>
      <c r="B273" s="13">
        <v>2515</v>
      </c>
      <c r="C273" s="14" t="s">
        <v>247</v>
      </c>
      <c r="D273" s="14" t="s">
        <v>171</v>
      </c>
      <c r="E273" s="15">
        <v>45899</v>
      </c>
      <c r="F273" s="14" t="s">
        <v>23</v>
      </c>
      <c r="G273" s="16">
        <v>50</v>
      </c>
    </row>
    <row r="274" spans="1:7" x14ac:dyDescent="0.25">
      <c r="A274" s="13" t="s">
        <v>2270</v>
      </c>
      <c r="B274" s="13">
        <v>2515</v>
      </c>
      <c r="C274" s="14" t="s">
        <v>247</v>
      </c>
      <c r="D274" s="15" t="s">
        <v>171</v>
      </c>
      <c r="E274" s="15">
        <v>45899</v>
      </c>
      <c r="F274" s="14" t="s">
        <v>20</v>
      </c>
      <c r="G274" s="16">
        <v>8.2200000000000006</v>
      </c>
    </row>
    <row r="275" spans="1:7" x14ac:dyDescent="0.25">
      <c r="A275" s="13" t="s">
        <v>2270</v>
      </c>
      <c r="B275" s="13">
        <v>2515</v>
      </c>
      <c r="C275" s="14" t="s">
        <v>247</v>
      </c>
      <c r="D275" s="14" t="s">
        <v>171</v>
      </c>
      <c r="E275" s="15">
        <v>45899</v>
      </c>
      <c r="F275" s="14" t="s">
        <v>21</v>
      </c>
      <c r="G275" s="16">
        <v>60</v>
      </c>
    </row>
    <row r="276" spans="1:7" x14ac:dyDescent="0.25">
      <c r="A276" s="13" t="s">
        <v>2472</v>
      </c>
      <c r="B276" s="13">
        <v>2516</v>
      </c>
      <c r="C276" s="14" t="s">
        <v>1199</v>
      </c>
      <c r="D276" s="14" t="s">
        <v>22</v>
      </c>
      <c r="E276" s="15">
        <v>45920</v>
      </c>
      <c r="F276" s="14" t="s">
        <v>23</v>
      </c>
      <c r="G276" s="16">
        <v>40</v>
      </c>
    </row>
    <row r="277" spans="1:7" x14ac:dyDescent="0.25">
      <c r="A277" s="13" t="s">
        <v>2472</v>
      </c>
      <c r="B277" s="13">
        <v>2516</v>
      </c>
      <c r="C277" s="14" t="s">
        <v>1199</v>
      </c>
      <c r="D277" s="14" t="s">
        <v>22</v>
      </c>
      <c r="E277" s="15">
        <v>45920</v>
      </c>
      <c r="F277" s="14" t="s">
        <v>20</v>
      </c>
      <c r="G277" s="16">
        <v>116.04900000000001</v>
      </c>
    </row>
    <row r="278" spans="1:7" x14ac:dyDescent="0.25">
      <c r="A278" s="13" t="s">
        <v>2364</v>
      </c>
      <c r="B278" s="13">
        <v>2536</v>
      </c>
      <c r="C278" s="14" t="s">
        <v>716</v>
      </c>
      <c r="D278" s="15" t="s">
        <v>717</v>
      </c>
      <c r="E278" s="15">
        <v>45908</v>
      </c>
      <c r="F278" s="14" t="s">
        <v>18</v>
      </c>
      <c r="G278" s="16">
        <v>70</v>
      </c>
    </row>
    <row r="279" spans="1:7" x14ac:dyDescent="0.25">
      <c r="A279" s="13" t="s">
        <v>2364</v>
      </c>
      <c r="B279" s="13">
        <v>2536</v>
      </c>
      <c r="C279" s="14" t="s">
        <v>716</v>
      </c>
      <c r="D279" s="15" t="s">
        <v>717</v>
      </c>
      <c r="E279" s="15">
        <v>45908</v>
      </c>
      <c r="F279" s="14" t="s">
        <v>20</v>
      </c>
      <c r="G279" s="16">
        <v>95.444999999999993</v>
      </c>
    </row>
    <row r="280" spans="1:7" x14ac:dyDescent="0.25">
      <c r="A280" s="13" t="s">
        <v>2349</v>
      </c>
      <c r="B280" s="13">
        <v>2572</v>
      </c>
      <c r="C280" s="14" t="s">
        <v>462</v>
      </c>
      <c r="D280" s="14" t="s">
        <v>1978</v>
      </c>
      <c r="E280" s="15">
        <v>45903</v>
      </c>
      <c r="F280" s="14" t="s">
        <v>18</v>
      </c>
      <c r="G280" s="16">
        <v>60</v>
      </c>
    </row>
    <row r="281" spans="1:7" x14ac:dyDescent="0.25">
      <c r="A281" s="13" t="s">
        <v>2349</v>
      </c>
      <c r="B281" s="13">
        <v>2572</v>
      </c>
      <c r="C281" s="14" t="s">
        <v>462</v>
      </c>
      <c r="D281" s="14" t="s">
        <v>1978</v>
      </c>
      <c r="E281" s="15">
        <v>45903</v>
      </c>
      <c r="F281" s="14" t="s">
        <v>19</v>
      </c>
      <c r="G281" s="16">
        <v>15.081</v>
      </c>
    </row>
    <row r="282" spans="1:7" x14ac:dyDescent="0.25">
      <c r="A282" s="13" t="s">
        <v>2403</v>
      </c>
      <c r="B282" s="13">
        <v>2572</v>
      </c>
      <c r="C282" s="14" t="s">
        <v>462</v>
      </c>
      <c r="D282" s="14" t="s">
        <v>540</v>
      </c>
      <c r="E282" s="15">
        <v>45903</v>
      </c>
      <c r="F282" s="14" t="s">
        <v>19</v>
      </c>
      <c r="G282" s="16">
        <v>95.930999999999997</v>
      </c>
    </row>
    <row r="283" spans="1:7" x14ac:dyDescent="0.25">
      <c r="A283" s="13" t="s">
        <v>2382</v>
      </c>
      <c r="B283" s="13">
        <v>2633</v>
      </c>
      <c r="C283" s="14" t="s">
        <v>157</v>
      </c>
      <c r="D283" s="14" t="s">
        <v>158</v>
      </c>
      <c r="E283" s="15">
        <v>45897</v>
      </c>
      <c r="F283" s="14" t="s">
        <v>18</v>
      </c>
      <c r="G283" s="16">
        <v>250</v>
      </c>
    </row>
    <row r="284" spans="1:7" x14ac:dyDescent="0.25">
      <c r="A284" s="13" t="s">
        <v>2382</v>
      </c>
      <c r="B284" s="13">
        <v>2633</v>
      </c>
      <c r="C284" s="14" t="s">
        <v>157</v>
      </c>
      <c r="D284" s="14" t="s">
        <v>158</v>
      </c>
      <c r="E284" s="15">
        <v>45897</v>
      </c>
      <c r="F284" s="14" t="s">
        <v>20</v>
      </c>
      <c r="G284" s="16">
        <v>220</v>
      </c>
    </row>
    <row r="285" spans="1:7" x14ac:dyDescent="0.25">
      <c r="A285" s="13" t="s">
        <v>2382</v>
      </c>
      <c r="B285" s="13">
        <v>2633</v>
      </c>
      <c r="C285" s="14" t="s">
        <v>157</v>
      </c>
      <c r="D285" s="14" t="s">
        <v>158</v>
      </c>
      <c r="E285" s="15">
        <v>45897</v>
      </c>
      <c r="F285" s="14" t="s">
        <v>363</v>
      </c>
      <c r="G285" s="16">
        <v>500</v>
      </c>
    </row>
    <row r="286" spans="1:7" x14ac:dyDescent="0.25">
      <c r="A286" s="13" t="s">
        <v>2382</v>
      </c>
      <c r="B286" s="13">
        <v>2633</v>
      </c>
      <c r="C286" s="14" t="s">
        <v>157</v>
      </c>
      <c r="D286" s="14" t="s">
        <v>158</v>
      </c>
      <c r="E286" s="15">
        <v>45897</v>
      </c>
      <c r="F286" s="14" t="s">
        <v>363</v>
      </c>
      <c r="G286" s="16">
        <v>400</v>
      </c>
    </row>
    <row r="287" spans="1:7" x14ac:dyDescent="0.25">
      <c r="A287" s="13" t="s">
        <v>2382</v>
      </c>
      <c r="B287" s="13">
        <v>2633</v>
      </c>
      <c r="C287" s="14" t="s">
        <v>157</v>
      </c>
      <c r="D287" s="14" t="s">
        <v>158</v>
      </c>
      <c r="E287" s="15">
        <v>45897</v>
      </c>
      <c r="F287" s="14" t="s">
        <v>364</v>
      </c>
      <c r="G287" s="16">
        <v>2033.934</v>
      </c>
    </row>
    <row r="288" spans="1:7" x14ac:dyDescent="0.25">
      <c r="A288" s="13" t="s">
        <v>2383</v>
      </c>
      <c r="B288" s="13">
        <v>2633</v>
      </c>
      <c r="C288" s="14" t="s">
        <v>157</v>
      </c>
      <c r="D288" s="14" t="s">
        <v>2384</v>
      </c>
      <c r="E288" s="15">
        <v>45912</v>
      </c>
      <c r="F288" s="14" t="s">
        <v>1889</v>
      </c>
      <c r="G288" s="16">
        <v>150</v>
      </c>
    </row>
    <row r="289" spans="1:7" x14ac:dyDescent="0.25">
      <c r="A289" s="13" t="s">
        <v>2383</v>
      </c>
      <c r="B289" s="13">
        <v>2633</v>
      </c>
      <c r="C289" s="14" t="s">
        <v>157</v>
      </c>
      <c r="D289" s="14" t="s">
        <v>2384</v>
      </c>
      <c r="E289" s="15">
        <v>45912</v>
      </c>
      <c r="F289" s="14" t="s">
        <v>20</v>
      </c>
      <c r="G289" s="16">
        <v>10.88</v>
      </c>
    </row>
    <row r="290" spans="1:7" x14ac:dyDescent="0.25">
      <c r="A290" s="13" t="s">
        <v>2424</v>
      </c>
      <c r="B290" s="13">
        <v>2633</v>
      </c>
      <c r="C290" s="14" t="s">
        <v>157</v>
      </c>
      <c r="D290" s="15" t="s">
        <v>2384</v>
      </c>
      <c r="E290" s="15">
        <v>45901</v>
      </c>
      <c r="F290" s="14" t="s">
        <v>20</v>
      </c>
      <c r="G290" s="16">
        <v>56.14</v>
      </c>
    </row>
    <row r="291" spans="1:7" x14ac:dyDescent="0.25">
      <c r="A291" s="13" t="s">
        <v>2424</v>
      </c>
      <c r="B291" s="13">
        <v>2633</v>
      </c>
      <c r="C291" s="14" t="s">
        <v>157</v>
      </c>
      <c r="D291" s="15" t="s">
        <v>2384</v>
      </c>
      <c r="E291" s="15">
        <v>45897</v>
      </c>
      <c r="F291" s="14" t="s">
        <v>21</v>
      </c>
      <c r="G291" s="16">
        <v>18.3</v>
      </c>
    </row>
    <row r="292" spans="1:7" x14ac:dyDescent="0.25">
      <c r="A292" s="13" t="s">
        <v>2424</v>
      </c>
      <c r="B292" s="13">
        <v>2633</v>
      </c>
      <c r="C292" s="14" t="s">
        <v>157</v>
      </c>
      <c r="D292" s="14" t="s">
        <v>2384</v>
      </c>
      <c r="E292" s="15">
        <v>45897</v>
      </c>
      <c r="F292" s="14" t="s">
        <v>364</v>
      </c>
      <c r="G292" s="16">
        <v>82.79</v>
      </c>
    </row>
    <row r="293" spans="1:7" x14ac:dyDescent="0.25">
      <c r="A293" s="13" t="s">
        <v>2372</v>
      </c>
      <c r="B293" s="13">
        <v>2637</v>
      </c>
      <c r="C293" s="14" t="s">
        <v>1792</v>
      </c>
      <c r="D293" s="14" t="s">
        <v>37</v>
      </c>
      <c r="E293" s="15">
        <v>45910</v>
      </c>
      <c r="F293" s="14" t="s">
        <v>18</v>
      </c>
      <c r="G293" s="16">
        <v>70</v>
      </c>
    </row>
    <row r="294" spans="1:7" x14ac:dyDescent="0.25">
      <c r="A294" s="13" t="s">
        <v>2372</v>
      </c>
      <c r="B294" s="13">
        <v>2637</v>
      </c>
      <c r="C294" s="14" t="s">
        <v>1792</v>
      </c>
      <c r="D294" s="14" t="s">
        <v>37</v>
      </c>
      <c r="E294" s="15">
        <v>45910</v>
      </c>
      <c r="F294" s="14" t="s">
        <v>20</v>
      </c>
      <c r="G294" s="16">
        <v>38.061</v>
      </c>
    </row>
    <row r="295" spans="1:7" ht="18.75" x14ac:dyDescent="0.3">
      <c r="A295" s="14"/>
      <c r="B295" s="28"/>
      <c r="C295" s="29"/>
      <c r="D295" s="14"/>
      <c r="E295" s="28"/>
      <c r="F295" s="17" t="s">
        <v>11</v>
      </c>
      <c r="G295" s="17">
        <f>SUM(G10:G294)</f>
        <v>30436.635000000013</v>
      </c>
    </row>
    <row r="296" spans="1:7" ht="18.75" x14ac:dyDescent="0.3">
      <c r="A296" s="38"/>
      <c r="B296" s="39"/>
      <c r="C296" s="40"/>
      <c r="D296" s="41"/>
      <c r="E296" s="19"/>
      <c r="F296" s="18"/>
      <c r="G296" s="34"/>
    </row>
    <row r="297" spans="1:7" ht="18.75" x14ac:dyDescent="0.3">
      <c r="A297" s="35"/>
      <c r="B297" s="36"/>
      <c r="C297" s="37"/>
      <c r="D297" s="42"/>
      <c r="E297" s="43"/>
      <c r="F297" s="44"/>
      <c r="G297" s="44"/>
    </row>
    <row r="298" spans="1:7" ht="15.75" x14ac:dyDescent="0.25">
      <c r="A298" s="35"/>
      <c r="B298" s="36" t="s">
        <v>12</v>
      </c>
      <c r="C298" s="37"/>
      <c r="E298" s="36" t="s">
        <v>13</v>
      </c>
      <c r="F298" s="18"/>
      <c r="G298" s="18"/>
    </row>
    <row r="299" spans="1:7" ht="15.75" x14ac:dyDescent="0.25">
      <c r="A299" s="45"/>
      <c r="B299" s="46" t="s">
        <v>14</v>
      </c>
      <c r="C299" s="47"/>
      <c r="E299" s="36" t="s">
        <v>15</v>
      </c>
      <c r="F299" s="18"/>
      <c r="G299" s="18"/>
    </row>
    <row r="300" spans="1:7" ht="15.75" x14ac:dyDescent="0.25">
      <c r="A300" s="23"/>
      <c r="B300" s="24"/>
      <c r="C300" s="25"/>
      <c r="E300" s="27"/>
      <c r="F300" s="18"/>
      <c r="G300" s="18"/>
    </row>
    <row r="301" spans="1:7" ht="18.75" x14ac:dyDescent="0.3">
      <c r="B301" s="19"/>
      <c r="C301" s="20"/>
      <c r="D301" s="21"/>
      <c r="E301" s="22"/>
      <c r="F301" s="19"/>
      <c r="G301" s="22"/>
    </row>
    <row r="302" spans="1:7" ht="15.75" x14ac:dyDescent="0.25">
      <c r="A302" s="23"/>
      <c r="B302" s="24"/>
      <c r="C302" s="25"/>
      <c r="D302" s="26"/>
      <c r="E302" s="22"/>
      <c r="F302" s="27"/>
      <c r="G302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3"/>
  <sheetViews>
    <sheetView workbookViewId="0">
      <pane ySplit="9" topLeftCell="A10" activePane="bottomLeft" state="frozen"/>
      <selection pane="bottomLeft" activeCell="B4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2479</v>
      </c>
      <c r="C5" s="7"/>
      <c r="D5" s="4"/>
    </row>
    <row r="6" spans="1:7" ht="22.5" customHeight="1" x14ac:dyDescent="0.25">
      <c r="A6" s="6"/>
      <c r="B6" s="8" t="s">
        <v>2626</v>
      </c>
      <c r="C6" s="9"/>
      <c r="D6" s="4"/>
    </row>
    <row r="7" spans="1:7" ht="22.5" customHeight="1" x14ac:dyDescent="0.35">
      <c r="A7" s="4"/>
      <c r="B7" s="10"/>
      <c r="C7" s="11" t="s">
        <v>2622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2592</v>
      </c>
      <c r="B10" s="13">
        <v>480</v>
      </c>
      <c r="C10" s="14" t="str">
        <f>+VLOOKUP(B10,[1]LISTE!$A$1:$D$431,4,FALSE)</f>
        <v>TOUMI CHOKRI</v>
      </c>
      <c r="D10" s="15" t="s">
        <v>589</v>
      </c>
      <c r="E10" s="15">
        <v>45936</v>
      </c>
      <c r="F10" s="14" t="s">
        <v>18</v>
      </c>
      <c r="G10" s="16">
        <v>70</v>
      </c>
    </row>
    <row r="11" spans="1:7" x14ac:dyDescent="0.25">
      <c r="A11" s="13" t="s">
        <v>2592</v>
      </c>
      <c r="B11" s="13">
        <v>480</v>
      </c>
      <c r="C11" s="14" t="str">
        <f>+VLOOKUP(B11,[1]LISTE!$A$1:$D$431,4,FALSE)</f>
        <v>TOUMI CHOKRI</v>
      </c>
      <c r="D11" s="15" t="s">
        <v>589</v>
      </c>
      <c r="E11" s="15">
        <v>45937</v>
      </c>
      <c r="F11" s="14" t="s">
        <v>69</v>
      </c>
      <c r="G11" s="16">
        <v>320</v>
      </c>
    </row>
    <row r="12" spans="1:7" x14ac:dyDescent="0.25">
      <c r="A12" s="13" t="s">
        <v>2604</v>
      </c>
      <c r="B12" s="13">
        <v>775</v>
      </c>
      <c r="C12" s="14" t="str">
        <f>+VLOOKUP(B12,[1]LISTE!$A$1:$D$431,4,FALSE)</f>
        <v>ZORGATI MONDHER</v>
      </c>
      <c r="D12" s="14" t="s">
        <v>236</v>
      </c>
      <c r="E12" s="15">
        <v>45930</v>
      </c>
      <c r="F12" s="14" t="s">
        <v>18</v>
      </c>
      <c r="G12" s="16">
        <v>70</v>
      </c>
    </row>
    <row r="13" spans="1:7" x14ac:dyDescent="0.25">
      <c r="A13" s="13" t="s">
        <v>2604</v>
      </c>
      <c r="B13" s="13">
        <v>775</v>
      </c>
      <c r="C13" s="14" t="str">
        <f>+VLOOKUP(B13,[1]LISTE!$A$1:$D$431,4,FALSE)</f>
        <v>ZORGATI MONDHER</v>
      </c>
      <c r="D13" s="14" t="s">
        <v>236</v>
      </c>
      <c r="E13" s="15">
        <v>45930</v>
      </c>
      <c r="F13" s="14" t="s">
        <v>20</v>
      </c>
      <c r="G13" s="16">
        <v>8.4760000000000009</v>
      </c>
    </row>
    <row r="14" spans="1:7" x14ac:dyDescent="0.25">
      <c r="A14" s="13" t="s">
        <v>2571</v>
      </c>
      <c r="B14" s="13">
        <v>832</v>
      </c>
      <c r="C14" s="14" t="str">
        <f>+VLOOKUP(B14,[1]LISTE!$A$1:$D$431,4,FALSE)</f>
        <v>ABBASSI LOTFI</v>
      </c>
      <c r="D14" s="14" t="s">
        <v>284</v>
      </c>
      <c r="E14" s="15">
        <v>45908</v>
      </c>
      <c r="F14" s="14" t="s">
        <v>23</v>
      </c>
      <c r="G14" s="16">
        <v>50</v>
      </c>
    </row>
    <row r="15" spans="1:7" x14ac:dyDescent="0.25">
      <c r="A15" s="13" t="s">
        <v>2571</v>
      </c>
      <c r="B15" s="13">
        <v>832</v>
      </c>
      <c r="C15" s="14" t="str">
        <f>+VLOOKUP(B15,[1]LISTE!$A$1:$D$431,4,FALSE)</f>
        <v>ABBASSI LOTFI</v>
      </c>
      <c r="D15" s="14" t="s">
        <v>284</v>
      </c>
      <c r="E15" s="15">
        <v>45908</v>
      </c>
      <c r="F15" s="14" t="s">
        <v>20</v>
      </c>
      <c r="G15" s="16">
        <v>4.2450000000000001</v>
      </c>
    </row>
    <row r="16" spans="1:7" x14ac:dyDescent="0.25">
      <c r="A16" s="13" t="s">
        <v>2571</v>
      </c>
      <c r="B16" s="13">
        <v>832</v>
      </c>
      <c r="C16" s="14" t="str">
        <f>+VLOOKUP(B16,[1]LISTE!$A$1:$D$431,4,FALSE)</f>
        <v>ABBASSI LOTFI</v>
      </c>
      <c r="D16" s="14" t="s">
        <v>284</v>
      </c>
      <c r="E16" s="15">
        <v>45924</v>
      </c>
      <c r="F16" s="14" t="s">
        <v>24</v>
      </c>
      <c r="G16" s="16">
        <v>200</v>
      </c>
    </row>
    <row r="17" spans="1:7" x14ac:dyDescent="0.25">
      <c r="A17" s="13" t="s">
        <v>2481</v>
      </c>
      <c r="B17" s="13">
        <v>879</v>
      </c>
      <c r="C17" s="14" t="str">
        <f>+VLOOKUP(B17,[1]LISTE!$A$1:$D$431,4,FALSE)</f>
        <v>MOUSSA ABDERRAZEK</v>
      </c>
      <c r="D17" s="14" t="s">
        <v>79</v>
      </c>
      <c r="E17" s="15">
        <v>45919</v>
      </c>
      <c r="F17" s="14" t="s">
        <v>23</v>
      </c>
      <c r="G17" s="16">
        <v>45</v>
      </c>
    </row>
    <row r="18" spans="1:7" x14ac:dyDescent="0.25">
      <c r="A18" s="13" t="s">
        <v>2481</v>
      </c>
      <c r="B18" s="13">
        <v>879</v>
      </c>
      <c r="C18" s="14" t="str">
        <f>+VLOOKUP(B18,[1]LISTE!$A$1:$D$431,4,FALSE)</f>
        <v>MOUSSA ABDERRAZEK</v>
      </c>
      <c r="D18" s="14" t="s">
        <v>79</v>
      </c>
      <c r="E18" s="15">
        <v>45919</v>
      </c>
      <c r="F18" s="14" t="s">
        <v>20</v>
      </c>
      <c r="G18" s="16">
        <v>56.585999999999999</v>
      </c>
    </row>
    <row r="19" spans="1:7" x14ac:dyDescent="0.25">
      <c r="A19" s="13" t="s">
        <v>2518</v>
      </c>
      <c r="B19" s="13">
        <v>923</v>
      </c>
      <c r="C19" s="14" t="str">
        <f>+VLOOKUP(B19,[1]LISTE!$A$1:$D$431,4,FALSE)</f>
        <v>BEN AZIZA SLAH</v>
      </c>
      <c r="D19" s="14" t="s">
        <v>1438</v>
      </c>
      <c r="E19" s="15">
        <v>45927</v>
      </c>
      <c r="F19" s="14" t="s">
        <v>23</v>
      </c>
      <c r="G19" s="16">
        <v>50</v>
      </c>
    </row>
    <row r="20" spans="1:7" x14ac:dyDescent="0.25">
      <c r="A20" s="13" t="s">
        <v>2518</v>
      </c>
      <c r="B20" s="13">
        <v>923</v>
      </c>
      <c r="C20" s="14" t="str">
        <f>+VLOOKUP(B20,[1]LISTE!$A$1:$D$431,4,FALSE)</f>
        <v>BEN AZIZA SLAH</v>
      </c>
      <c r="D20" s="14" t="s">
        <v>1438</v>
      </c>
      <c r="E20" s="15">
        <v>45927</v>
      </c>
      <c r="F20" s="14" t="s">
        <v>20</v>
      </c>
      <c r="G20" s="16">
        <v>38.817</v>
      </c>
    </row>
    <row r="21" spans="1:7" x14ac:dyDescent="0.25">
      <c r="A21" s="13" t="s">
        <v>2586</v>
      </c>
      <c r="B21" s="13">
        <v>923</v>
      </c>
      <c r="C21" s="14" t="str">
        <f>+VLOOKUP(B21,[1]LISTE!$A$1:$D$431,4,FALSE)</f>
        <v>BEN AZIZA SLAH</v>
      </c>
      <c r="D21" s="14" t="s">
        <v>1438</v>
      </c>
      <c r="E21" s="15">
        <v>45931</v>
      </c>
      <c r="F21" s="14" t="s">
        <v>23</v>
      </c>
      <c r="G21" s="16">
        <v>50</v>
      </c>
    </row>
    <row r="22" spans="1:7" x14ac:dyDescent="0.25">
      <c r="A22" s="13" t="s">
        <v>2586</v>
      </c>
      <c r="B22" s="13">
        <v>923</v>
      </c>
      <c r="C22" s="14" t="str">
        <f>+VLOOKUP(B22,[1]LISTE!$A$1:$D$431,4,FALSE)</f>
        <v>BEN AZIZA SLAH</v>
      </c>
      <c r="D22" s="15" t="s">
        <v>1438</v>
      </c>
      <c r="E22" s="15">
        <v>45940</v>
      </c>
      <c r="F22" s="14" t="s">
        <v>20</v>
      </c>
      <c r="G22" s="16">
        <v>4.2450000000000001</v>
      </c>
    </row>
    <row r="23" spans="1:7" x14ac:dyDescent="0.25">
      <c r="A23" s="13" t="s">
        <v>2586</v>
      </c>
      <c r="B23" s="13">
        <v>923</v>
      </c>
      <c r="C23" s="14" t="str">
        <f>+VLOOKUP(B23,[1]LISTE!$A$1:$D$431,4,FALSE)</f>
        <v>BEN AZIZA SLAH</v>
      </c>
      <c r="D23" s="14" t="s">
        <v>1438</v>
      </c>
      <c r="E23" s="15">
        <v>45940</v>
      </c>
      <c r="F23" s="14" t="s">
        <v>24</v>
      </c>
      <c r="G23" s="16">
        <v>233</v>
      </c>
    </row>
    <row r="24" spans="1:7" x14ac:dyDescent="0.25">
      <c r="A24" s="13" t="s">
        <v>2585</v>
      </c>
      <c r="B24" s="13">
        <v>1510</v>
      </c>
      <c r="C24" s="14" t="str">
        <f>+VLOOKUP(B24,[1]LISTE!$A$1:$D$431,4,FALSE)</f>
        <v>GAALOUL FETHI</v>
      </c>
      <c r="D24" s="14" t="s">
        <v>22</v>
      </c>
      <c r="E24" s="15">
        <v>45939</v>
      </c>
      <c r="F24" s="14" t="s">
        <v>23</v>
      </c>
      <c r="G24" s="16">
        <v>24</v>
      </c>
    </row>
    <row r="25" spans="1:7" x14ac:dyDescent="0.25">
      <c r="A25" s="13" t="s">
        <v>2585</v>
      </c>
      <c r="B25" s="13">
        <v>1510</v>
      </c>
      <c r="C25" s="14" t="str">
        <f>+VLOOKUP(B25,[1]LISTE!$A$1:$D$431,4,FALSE)</f>
        <v>GAALOUL FETHI</v>
      </c>
      <c r="D25" s="14" t="s">
        <v>22</v>
      </c>
      <c r="E25" s="15">
        <v>45918</v>
      </c>
      <c r="F25" s="14" t="s">
        <v>20</v>
      </c>
      <c r="G25" s="16">
        <v>29.388000000000002</v>
      </c>
    </row>
    <row r="26" spans="1:7" x14ac:dyDescent="0.25">
      <c r="A26" s="13" t="s">
        <v>2567</v>
      </c>
      <c r="B26" s="13">
        <v>1535</v>
      </c>
      <c r="C26" s="14" t="str">
        <f>+VLOOKUP(B26,[1]LISTE!$A$1:$D$431,4,FALSE)</f>
        <v>ROUIS LOTFI</v>
      </c>
      <c r="D26" s="14" t="s">
        <v>147</v>
      </c>
      <c r="E26" s="15">
        <v>45924</v>
      </c>
      <c r="F26" s="14" t="s">
        <v>23</v>
      </c>
      <c r="G26" s="16">
        <v>50</v>
      </c>
    </row>
    <row r="27" spans="1:7" x14ac:dyDescent="0.25">
      <c r="A27" s="13" t="s">
        <v>2567</v>
      </c>
      <c r="B27" s="13">
        <v>1535</v>
      </c>
      <c r="C27" s="14" t="str">
        <f>+VLOOKUP(B27,[1]LISTE!$A$1:$D$431,4,FALSE)</f>
        <v>ROUIS LOTFI</v>
      </c>
      <c r="D27" s="15" t="s">
        <v>147</v>
      </c>
      <c r="E27" s="15">
        <v>45924</v>
      </c>
      <c r="F27" s="14" t="s">
        <v>20</v>
      </c>
      <c r="G27" s="16">
        <v>13.975</v>
      </c>
    </row>
    <row r="28" spans="1:7" x14ac:dyDescent="0.25">
      <c r="A28" s="13" t="s">
        <v>2537</v>
      </c>
      <c r="B28" s="13">
        <v>1548</v>
      </c>
      <c r="C28" s="14" t="str">
        <f>+VLOOKUP(B28,[1]LISTE!$A$1:$D$431,4,FALSE)</f>
        <v>YOUSSEF WAHID</v>
      </c>
      <c r="D28" s="15" t="s">
        <v>613</v>
      </c>
      <c r="E28" s="15">
        <v>45923</v>
      </c>
      <c r="F28" s="14" t="s">
        <v>23</v>
      </c>
      <c r="G28" s="16">
        <v>45</v>
      </c>
    </row>
    <row r="29" spans="1:7" x14ac:dyDescent="0.25">
      <c r="A29" s="13" t="s">
        <v>2537</v>
      </c>
      <c r="B29" s="13">
        <v>1548</v>
      </c>
      <c r="C29" s="14" t="str">
        <f>+VLOOKUP(B29,[1]LISTE!$A$1:$D$431,4,FALSE)</f>
        <v>YOUSSEF WAHID</v>
      </c>
      <c r="D29" s="14" t="s">
        <v>613</v>
      </c>
      <c r="E29" s="15">
        <v>45923</v>
      </c>
      <c r="F29" s="14" t="s">
        <v>20</v>
      </c>
      <c r="G29" s="16">
        <v>71.180000000000007</v>
      </c>
    </row>
    <row r="30" spans="1:7" x14ac:dyDescent="0.25">
      <c r="A30" s="13" t="s">
        <v>2537</v>
      </c>
      <c r="B30" s="13">
        <v>1548</v>
      </c>
      <c r="C30" s="14" t="str">
        <f>+VLOOKUP(B30,[1]LISTE!$A$1:$D$431,4,FALSE)</f>
        <v>YOUSSEF WAHID</v>
      </c>
      <c r="D30" s="14" t="s">
        <v>613</v>
      </c>
      <c r="E30" s="15">
        <v>45929</v>
      </c>
      <c r="F30" s="14" t="s">
        <v>20</v>
      </c>
      <c r="G30" s="16">
        <v>70.709999999999994</v>
      </c>
    </row>
    <row r="31" spans="1:7" x14ac:dyDescent="0.25">
      <c r="A31" s="13" t="s">
        <v>2537</v>
      </c>
      <c r="B31" s="13">
        <v>1548</v>
      </c>
      <c r="C31" s="14" t="str">
        <f>+VLOOKUP(B31,[1]LISTE!$A$1:$D$431,4,FALSE)</f>
        <v>YOUSSEF WAHID</v>
      </c>
      <c r="D31" s="14" t="s">
        <v>613</v>
      </c>
      <c r="E31" s="15">
        <v>45929</v>
      </c>
      <c r="F31" s="14" t="s">
        <v>21</v>
      </c>
      <c r="G31" s="16">
        <v>70</v>
      </c>
    </row>
    <row r="32" spans="1:7" x14ac:dyDescent="0.25">
      <c r="A32" s="13" t="s">
        <v>2578</v>
      </c>
      <c r="B32" s="13">
        <v>1555</v>
      </c>
      <c r="C32" s="14" t="str">
        <f>+VLOOKUP(B32,[1]LISTE!$A$1:$D$431,4,FALSE)</f>
        <v>FHIMA HAMDI</v>
      </c>
      <c r="D32" s="14" t="s">
        <v>506</v>
      </c>
      <c r="E32" s="15">
        <v>45922</v>
      </c>
      <c r="F32" s="14" t="s">
        <v>18</v>
      </c>
      <c r="G32" s="16">
        <v>70</v>
      </c>
    </row>
    <row r="33" spans="1:7" x14ac:dyDescent="0.25">
      <c r="A33" s="13" t="s">
        <v>2578</v>
      </c>
      <c r="B33" s="13">
        <v>1555</v>
      </c>
      <c r="C33" s="14" t="str">
        <f>+VLOOKUP(B33,[1]LISTE!$A$1:$D$431,4,FALSE)</f>
        <v>FHIMA HAMDI</v>
      </c>
      <c r="D33" s="14" t="s">
        <v>506</v>
      </c>
      <c r="E33" s="15">
        <v>45922</v>
      </c>
      <c r="F33" s="14" t="s">
        <v>20</v>
      </c>
      <c r="G33" s="16">
        <v>16.456</v>
      </c>
    </row>
    <row r="34" spans="1:7" x14ac:dyDescent="0.25">
      <c r="A34" s="13" t="s">
        <v>2578</v>
      </c>
      <c r="B34" s="13">
        <v>1555</v>
      </c>
      <c r="C34" s="14" t="str">
        <f>+VLOOKUP(B34,[1]LISTE!$A$1:$D$431,4,FALSE)</f>
        <v>FHIMA HAMDI</v>
      </c>
      <c r="D34" s="14" t="s">
        <v>506</v>
      </c>
      <c r="E34" s="15">
        <v>45932</v>
      </c>
      <c r="F34" s="14" t="s">
        <v>20</v>
      </c>
      <c r="G34" s="16">
        <v>128.767</v>
      </c>
    </row>
    <row r="35" spans="1:7" x14ac:dyDescent="0.25">
      <c r="A35" s="13" t="s">
        <v>2578</v>
      </c>
      <c r="B35" s="13">
        <v>1555</v>
      </c>
      <c r="C35" s="14" t="str">
        <f>+VLOOKUP(B35,[1]LISTE!$A$1:$D$431,4,FALSE)</f>
        <v>FHIMA HAMDI</v>
      </c>
      <c r="D35" s="14" t="s">
        <v>506</v>
      </c>
      <c r="E35" s="15">
        <v>45923</v>
      </c>
      <c r="F35" s="14" t="s">
        <v>363</v>
      </c>
      <c r="G35" s="16">
        <v>150</v>
      </c>
    </row>
    <row r="36" spans="1:7" x14ac:dyDescent="0.25">
      <c r="A36" s="13" t="s">
        <v>2578</v>
      </c>
      <c r="B36" s="13">
        <v>1555</v>
      </c>
      <c r="C36" s="14" t="str">
        <f>+VLOOKUP(B36,[1]LISTE!$A$1:$D$431,4,FALSE)</f>
        <v>FHIMA HAMDI</v>
      </c>
      <c r="D36" s="14" t="s">
        <v>506</v>
      </c>
      <c r="E36" s="15">
        <v>45932</v>
      </c>
      <c r="F36" s="14" t="s">
        <v>21</v>
      </c>
      <c r="G36" s="16">
        <v>360</v>
      </c>
    </row>
    <row r="37" spans="1:7" x14ac:dyDescent="0.25">
      <c r="A37" s="13" t="s">
        <v>2578</v>
      </c>
      <c r="B37" s="13">
        <v>1555</v>
      </c>
      <c r="C37" s="14" t="str">
        <f>+VLOOKUP(B37,[1]LISTE!$A$1:$D$431,4,FALSE)</f>
        <v>FHIMA HAMDI</v>
      </c>
      <c r="D37" s="14" t="s">
        <v>506</v>
      </c>
      <c r="E37" s="15">
        <v>45923</v>
      </c>
      <c r="F37" s="14" t="s">
        <v>364</v>
      </c>
      <c r="G37" s="16">
        <v>405.93400000000003</v>
      </c>
    </row>
    <row r="38" spans="1:7" x14ac:dyDescent="0.25">
      <c r="A38" s="13" t="s">
        <v>2579</v>
      </c>
      <c r="B38" s="13">
        <v>1555</v>
      </c>
      <c r="C38" s="14" t="str">
        <f>+VLOOKUP(B38,[1]LISTE!$A$1:$D$431,4,FALSE)</f>
        <v>FHIMA HAMDI</v>
      </c>
      <c r="D38" s="14" t="s">
        <v>506</v>
      </c>
      <c r="E38" s="15">
        <v>45915</v>
      </c>
      <c r="F38" s="14" t="s">
        <v>18</v>
      </c>
      <c r="G38" s="16">
        <v>70</v>
      </c>
    </row>
    <row r="39" spans="1:7" x14ac:dyDescent="0.25">
      <c r="A39" s="13" t="s">
        <v>2579</v>
      </c>
      <c r="B39" s="13">
        <v>1555</v>
      </c>
      <c r="C39" s="14" t="str">
        <f>+VLOOKUP(B39,[1]LISTE!$A$1:$D$431,4,FALSE)</f>
        <v>FHIMA HAMDI</v>
      </c>
      <c r="D39" s="14" t="s">
        <v>506</v>
      </c>
      <c r="E39" s="15">
        <v>45937</v>
      </c>
      <c r="F39" s="14" t="s">
        <v>69</v>
      </c>
      <c r="G39" s="16">
        <v>200</v>
      </c>
    </row>
    <row r="40" spans="1:7" x14ac:dyDescent="0.25">
      <c r="A40" s="13" t="s">
        <v>2580</v>
      </c>
      <c r="B40" s="13">
        <v>1555</v>
      </c>
      <c r="C40" s="14" t="str">
        <f>+VLOOKUP(B40,[1]LISTE!$A$1:$D$431,4,FALSE)</f>
        <v>FHIMA HAMDI</v>
      </c>
      <c r="D40" s="14" t="s">
        <v>2581</v>
      </c>
      <c r="E40" s="15">
        <v>45915</v>
      </c>
      <c r="F40" s="14" t="s">
        <v>18</v>
      </c>
      <c r="G40" s="16">
        <v>70</v>
      </c>
    </row>
    <row r="41" spans="1:7" x14ac:dyDescent="0.25">
      <c r="A41" s="13" t="s">
        <v>2580</v>
      </c>
      <c r="B41" s="13">
        <v>1555</v>
      </c>
      <c r="C41" s="14" t="str">
        <f>+VLOOKUP(B41,[1]LISTE!$A$1:$D$431,4,FALSE)</f>
        <v>FHIMA HAMDI</v>
      </c>
      <c r="D41" s="15" t="s">
        <v>2581</v>
      </c>
      <c r="E41" s="15">
        <v>45937</v>
      </c>
      <c r="F41" s="14" t="s">
        <v>69</v>
      </c>
      <c r="G41" s="16">
        <v>400</v>
      </c>
    </row>
    <row r="42" spans="1:7" x14ac:dyDescent="0.25">
      <c r="A42" s="13" t="s">
        <v>2621</v>
      </c>
      <c r="B42" s="13">
        <v>1555</v>
      </c>
      <c r="C42" s="14" t="str">
        <f>+VLOOKUP(B42,[1]LISTE!$A$1:$D$431,4,FALSE)</f>
        <v>FHIMA HAMDI</v>
      </c>
      <c r="D42" s="14" t="s">
        <v>22</v>
      </c>
      <c r="E42" s="15">
        <v>45915</v>
      </c>
      <c r="F42" s="14" t="s">
        <v>18</v>
      </c>
      <c r="G42" s="16">
        <v>70</v>
      </c>
    </row>
    <row r="43" spans="1:7" x14ac:dyDescent="0.25">
      <c r="A43" s="13" t="s">
        <v>2621</v>
      </c>
      <c r="B43" s="13">
        <v>1555</v>
      </c>
      <c r="C43" s="14" t="str">
        <f>+VLOOKUP(B43,[1]LISTE!$A$1:$D$431,4,FALSE)</f>
        <v>FHIMA HAMDI</v>
      </c>
      <c r="D43" s="14" t="s">
        <v>22</v>
      </c>
      <c r="E43" s="15">
        <v>45915</v>
      </c>
      <c r="F43" s="14" t="s">
        <v>20</v>
      </c>
      <c r="G43" s="16">
        <v>8.64</v>
      </c>
    </row>
    <row r="44" spans="1:7" x14ac:dyDescent="0.25">
      <c r="A44" s="13" t="s">
        <v>2621</v>
      </c>
      <c r="B44" s="13">
        <v>1555</v>
      </c>
      <c r="C44" s="14" t="str">
        <f>+VLOOKUP(B44,[1]LISTE!$A$1:$D$431,4,FALSE)</f>
        <v>FHIMA HAMDI</v>
      </c>
      <c r="D44" s="14" t="s">
        <v>22</v>
      </c>
      <c r="E44" s="15">
        <v>45937</v>
      </c>
      <c r="F44" s="14" t="s">
        <v>69</v>
      </c>
      <c r="G44" s="16">
        <v>200</v>
      </c>
    </row>
    <row r="45" spans="1:7" x14ac:dyDescent="0.25">
      <c r="A45" s="13" t="s">
        <v>2568</v>
      </c>
      <c r="B45" s="13">
        <v>1561</v>
      </c>
      <c r="C45" s="14" t="str">
        <f>+VLOOKUP(B45,[1]LISTE!$A$1:$D$431,4,FALSE)</f>
        <v>JMEGUER SAMI</v>
      </c>
      <c r="D45" s="15" t="s">
        <v>22</v>
      </c>
      <c r="E45" s="15">
        <v>45932</v>
      </c>
      <c r="F45" s="14" t="s">
        <v>20</v>
      </c>
      <c r="G45" s="16">
        <v>90.314999999999998</v>
      </c>
    </row>
    <row r="46" spans="1:7" x14ac:dyDescent="0.25">
      <c r="A46" s="13" t="s">
        <v>2503</v>
      </c>
      <c r="B46" s="13">
        <v>1569</v>
      </c>
      <c r="C46" s="14" t="str">
        <f>+VLOOKUP(B46,[1]LISTE!$A$1:$D$431,4,FALSE)</f>
        <v>BETTAIEB MOULDI</v>
      </c>
      <c r="D46" s="14" t="s">
        <v>22</v>
      </c>
      <c r="E46" s="15">
        <v>45915</v>
      </c>
      <c r="F46" s="14" t="s">
        <v>23</v>
      </c>
      <c r="G46" s="16">
        <v>45</v>
      </c>
    </row>
    <row r="47" spans="1:7" x14ac:dyDescent="0.25">
      <c r="A47" s="13" t="s">
        <v>2503</v>
      </c>
      <c r="B47" s="13">
        <v>1569</v>
      </c>
      <c r="C47" s="14" t="str">
        <f>+VLOOKUP(B47,[1]LISTE!$A$1:$D$431,4,FALSE)</f>
        <v>BETTAIEB MOULDI</v>
      </c>
      <c r="D47" s="14" t="s">
        <v>22</v>
      </c>
      <c r="E47" s="15">
        <v>45915</v>
      </c>
      <c r="F47" s="14" t="s">
        <v>20</v>
      </c>
      <c r="G47" s="16">
        <v>27.02</v>
      </c>
    </row>
    <row r="48" spans="1:7" x14ac:dyDescent="0.25">
      <c r="A48" s="13" t="s">
        <v>2551</v>
      </c>
      <c r="B48" s="13">
        <v>1569</v>
      </c>
      <c r="C48" s="14" t="str">
        <f>+VLOOKUP(B48,[1]LISTE!$A$1:$D$431,4,FALSE)</f>
        <v>BETTAIEB MOULDI</v>
      </c>
      <c r="D48" s="14" t="s">
        <v>513</v>
      </c>
      <c r="E48" s="15">
        <v>45935</v>
      </c>
      <c r="F48" s="14" t="s">
        <v>23</v>
      </c>
      <c r="G48" s="16">
        <v>2</v>
      </c>
    </row>
    <row r="49" spans="1:7" x14ac:dyDescent="0.25">
      <c r="A49" s="13" t="s">
        <v>2551</v>
      </c>
      <c r="B49" s="13">
        <v>1569</v>
      </c>
      <c r="C49" s="14" t="str">
        <f>+VLOOKUP(B49,[1]LISTE!$A$1:$D$431,4,FALSE)</f>
        <v>BETTAIEB MOULDI</v>
      </c>
      <c r="D49" s="15" t="s">
        <v>513</v>
      </c>
      <c r="E49" s="15">
        <v>45935</v>
      </c>
      <c r="F49" s="14" t="s">
        <v>20</v>
      </c>
      <c r="G49" s="16">
        <v>19.648</v>
      </c>
    </row>
    <row r="50" spans="1:7" x14ac:dyDescent="0.25">
      <c r="A50" s="13" t="s">
        <v>2606</v>
      </c>
      <c r="B50" s="13">
        <v>1576</v>
      </c>
      <c r="C50" s="14" t="s">
        <v>1667</v>
      </c>
      <c r="D50" s="14" t="s">
        <v>22</v>
      </c>
      <c r="E50" s="15">
        <v>45934</v>
      </c>
      <c r="F50" s="14" t="s">
        <v>18</v>
      </c>
      <c r="G50" s="16">
        <v>70</v>
      </c>
    </row>
    <row r="51" spans="1:7" x14ac:dyDescent="0.25">
      <c r="A51" s="13" t="s">
        <v>2606</v>
      </c>
      <c r="B51" s="13">
        <v>1576</v>
      </c>
      <c r="C51" s="14" t="s">
        <v>1667</v>
      </c>
      <c r="D51" s="15" t="s">
        <v>22</v>
      </c>
      <c r="E51" s="15">
        <v>45934</v>
      </c>
      <c r="F51" s="14" t="s">
        <v>20</v>
      </c>
      <c r="G51" s="16">
        <v>4.2450000000000001</v>
      </c>
    </row>
    <row r="52" spans="1:7" x14ac:dyDescent="0.25">
      <c r="A52" s="13" t="s">
        <v>2521</v>
      </c>
      <c r="B52" s="13">
        <v>1600</v>
      </c>
      <c r="C52" s="14" t="str">
        <f>+VLOOKUP(B52,[1]LISTE!$A$1:$D$431,4,FALSE)</f>
        <v>MAOUA MOHAMED</v>
      </c>
      <c r="D52" s="15" t="s">
        <v>2181</v>
      </c>
      <c r="E52" s="15">
        <v>45926</v>
      </c>
      <c r="F52" s="14" t="s">
        <v>69</v>
      </c>
      <c r="G52" s="16">
        <v>320</v>
      </c>
    </row>
    <row r="53" spans="1:7" x14ac:dyDescent="0.25">
      <c r="A53" s="13" t="s">
        <v>2522</v>
      </c>
      <c r="B53" s="13">
        <v>1600</v>
      </c>
      <c r="C53" s="14" t="str">
        <f>+VLOOKUP(B53,[1]LISTE!$A$1:$D$431,4,FALSE)</f>
        <v>MAOUA MOHAMED</v>
      </c>
      <c r="D53" s="15" t="s">
        <v>699</v>
      </c>
      <c r="E53" s="15">
        <v>45926</v>
      </c>
      <c r="F53" s="14" t="s">
        <v>23</v>
      </c>
      <c r="G53" s="16">
        <v>45</v>
      </c>
    </row>
    <row r="54" spans="1:7" x14ac:dyDescent="0.25">
      <c r="A54" s="13" t="s">
        <v>2522</v>
      </c>
      <c r="B54" s="13">
        <v>1600</v>
      </c>
      <c r="C54" s="14" t="str">
        <f>+VLOOKUP(B54,[1]LISTE!$A$1:$D$431,4,FALSE)</f>
        <v>MAOUA MOHAMED</v>
      </c>
      <c r="D54" s="15" t="s">
        <v>699</v>
      </c>
      <c r="E54" s="15">
        <v>45926</v>
      </c>
      <c r="F54" s="14" t="s">
        <v>20</v>
      </c>
      <c r="G54" s="16">
        <v>51.63</v>
      </c>
    </row>
    <row r="55" spans="1:7" x14ac:dyDescent="0.25">
      <c r="A55" s="13" t="s">
        <v>2492</v>
      </c>
      <c r="B55" s="13">
        <v>1643</v>
      </c>
      <c r="C55" s="14" t="str">
        <f>+VLOOKUP(B55,[1]LISTE!$A$1:$D$431,4,FALSE)</f>
        <v>HALLEB SALAH</v>
      </c>
      <c r="D55" s="14" t="s">
        <v>108</v>
      </c>
      <c r="E55" s="15">
        <v>45922</v>
      </c>
      <c r="F55" s="14" t="s">
        <v>23</v>
      </c>
      <c r="G55" s="16">
        <v>40</v>
      </c>
    </row>
    <row r="56" spans="1:7" x14ac:dyDescent="0.25">
      <c r="A56" s="13" t="s">
        <v>2492</v>
      </c>
      <c r="B56" s="13">
        <v>1643</v>
      </c>
      <c r="C56" s="14" t="str">
        <f>+VLOOKUP(B56,[1]LISTE!$A$1:$D$431,4,FALSE)</f>
        <v>HALLEB SALAH</v>
      </c>
      <c r="D56" s="14" t="s">
        <v>108</v>
      </c>
      <c r="E56" s="15">
        <v>45927</v>
      </c>
      <c r="F56" s="14" t="s">
        <v>20</v>
      </c>
      <c r="G56" s="16">
        <v>2.68</v>
      </c>
    </row>
    <row r="57" spans="1:7" x14ac:dyDescent="0.25">
      <c r="A57" s="13" t="s">
        <v>2492</v>
      </c>
      <c r="B57" s="13">
        <v>1643</v>
      </c>
      <c r="C57" s="14" t="str">
        <f>+VLOOKUP(B57,[1]LISTE!$A$1:$D$431,4,FALSE)</f>
        <v>HALLEB SALAH</v>
      </c>
      <c r="D57" s="14" t="s">
        <v>108</v>
      </c>
      <c r="E57" s="15">
        <v>45926</v>
      </c>
      <c r="F57" s="14" t="s">
        <v>24</v>
      </c>
      <c r="G57" s="16">
        <v>180</v>
      </c>
    </row>
    <row r="58" spans="1:7" x14ac:dyDescent="0.25">
      <c r="A58" s="13" t="s">
        <v>2575</v>
      </c>
      <c r="B58" s="13">
        <v>1643</v>
      </c>
      <c r="C58" s="14" t="str">
        <f>+VLOOKUP(B58,[1]LISTE!$A$1:$D$431,4,FALSE)</f>
        <v>HALLEB SALAH</v>
      </c>
      <c r="D58" s="14" t="s">
        <v>22</v>
      </c>
      <c r="E58" s="15">
        <v>45932</v>
      </c>
      <c r="F58" s="14" t="s">
        <v>23</v>
      </c>
      <c r="G58" s="16">
        <v>45</v>
      </c>
    </row>
    <row r="59" spans="1:7" x14ac:dyDescent="0.25">
      <c r="A59" s="13" t="s">
        <v>2575</v>
      </c>
      <c r="B59" s="13">
        <v>1643</v>
      </c>
      <c r="C59" s="14" t="str">
        <f>+VLOOKUP(B59,[1]LISTE!$A$1:$D$431,4,FALSE)</f>
        <v>HALLEB SALAH</v>
      </c>
      <c r="D59" s="14" t="s">
        <v>22</v>
      </c>
      <c r="E59" s="15">
        <v>45932</v>
      </c>
      <c r="F59" s="14" t="s">
        <v>20</v>
      </c>
      <c r="G59" s="16">
        <v>36.558999999999997</v>
      </c>
    </row>
    <row r="60" spans="1:7" x14ac:dyDescent="0.25">
      <c r="A60" s="13" t="s">
        <v>2575</v>
      </c>
      <c r="B60" s="13">
        <v>1643</v>
      </c>
      <c r="C60" s="14" t="str">
        <f>+VLOOKUP(B60,[1]LISTE!$A$1:$D$431,4,FALSE)</f>
        <v>HALLEB SALAH</v>
      </c>
      <c r="D60" s="14" t="s">
        <v>22</v>
      </c>
      <c r="E60" s="15">
        <v>45932</v>
      </c>
      <c r="F60" s="14" t="s">
        <v>21</v>
      </c>
      <c r="G60" s="16">
        <v>90</v>
      </c>
    </row>
    <row r="61" spans="1:7" x14ac:dyDescent="0.25">
      <c r="A61" s="13" t="s">
        <v>2552</v>
      </c>
      <c r="B61" s="13">
        <v>1657</v>
      </c>
      <c r="C61" s="14" t="str">
        <f>+VLOOKUP(B61,[1]LISTE!$A$1:$D$431,4,FALSE)</f>
        <v>BELLALOUNA NIDHAL</v>
      </c>
      <c r="D61" s="14" t="s">
        <v>1260</v>
      </c>
      <c r="E61" s="15">
        <v>45937</v>
      </c>
      <c r="F61" s="14" t="s">
        <v>18</v>
      </c>
      <c r="G61" s="16">
        <v>70</v>
      </c>
    </row>
    <row r="62" spans="1:7" x14ac:dyDescent="0.25">
      <c r="A62" s="13" t="s">
        <v>2552</v>
      </c>
      <c r="B62" s="13">
        <v>1657</v>
      </c>
      <c r="C62" s="14" t="str">
        <f>+VLOOKUP(B62,[1]LISTE!$A$1:$D$431,4,FALSE)</f>
        <v>BELLALOUNA NIDHAL</v>
      </c>
      <c r="D62" s="14" t="s">
        <v>1260</v>
      </c>
      <c r="E62" s="15">
        <v>45937</v>
      </c>
      <c r="F62" s="14" t="s">
        <v>20</v>
      </c>
      <c r="G62" s="16">
        <v>11.5</v>
      </c>
    </row>
    <row r="63" spans="1:7" x14ac:dyDescent="0.25">
      <c r="A63" s="13" t="s">
        <v>2553</v>
      </c>
      <c r="B63" s="13">
        <v>1657</v>
      </c>
      <c r="C63" s="14" t="str">
        <f>+VLOOKUP(B63,[1]LISTE!$A$1:$D$431,4,FALSE)</f>
        <v>BELLALOUNA NIDHAL</v>
      </c>
      <c r="D63" s="14" t="s">
        <v>22</v>
      </c>
      <c r="E63" s="15">
        <v>45937</v>
      </c>
      <c r="F63" s="14" t="s">
        <v>18</v>
      </c>
      <c r="G63" s="16">
        <v>70</v>
      </c>
    </row>
    <row r="64" spans="1:7" x14ac:dyDescent="0.25">
      <c r="A64" s="13" t="s">
        <v>2553</v>
      </c>
      <c r="B64" s="13">
        <v>1657</v>
      </c>
      <c r="C64" s="14" t="str">
        <f>+VLOOKUP(B64,[1]LISTE!$A$1:$D$431,4,FALSE)</f>
        <v>BELLALOUNA NIDHAL</v>
      </c>
      <c r="D64" s="14" t="s">
        <v>22</v>
      </c>
      <c r="E64" s="15">
        <v>45937</v>
      </c>
      <c r="F64" s="14" t="s">
        <v>20</v>
      </c>
      <c r="G64" s="16">
        <v>8.82</v>
      </c>
    </row>
    <row r="65" spans="1:7" x14ac:dyDescent="0.25">
      <c r="A65" s="13" t="s">
        <v>2556</v>
      </c>
      <c r="B65" s="13">
        <v>1667</v>
      </c>
      <c r="C65" s="14" t="str">
        <f>+VLOOKUP(B65,[1]LISTE!$A$1:$D$431,4,FALSE)</f>
        <v>MRIZEK TAOUFIK</v>
      </c>
      <c r="D65" s="14" t="s">
        <v>2557</v>
      </c>
      <c r="E65" s="15">
        <v>45936</v>
      </c>
      <c r="F65" s="14" t="s">
        <v>18</v>
      </c>
      <c r="G65" s="16">
        <v>60</v>
      </c>
    </row>
    <row r="66" spans="1:7" x14ac:dyDescent="0.25">
      <c r="A66" s="13" t="s">
        <v>2556</v>
      </c>
      <c r="B66" s="13">
        <v>1667</v>
      </c>
      <c r="C66" s="14" t="str">
        <f>+VLOOKUP(B66,[1]LISTE!$A$1:$D$431,4,FALSE)</f>
        <v>MRIZEK TAOUFIK</v>
      </c>
      <c r="D66" s="14" t="s">
        <v>2557</v>
      </c>
      <c r="E66" s="15">
        <v>45936</v>
      </c>
      <c r="F66" s="14" t="s">
        <v>20</v>
      </c>
      <c r="G66" s="16">
        <v>35.034999999999997</v>
      </c>
    </row>
    <row r="67" spans="1:7" x14ac:dyDescent="0.25">
      <c r="A67" s="13" t="s">
        <v>2546</v>
      </c>
      <c r="B67" s="13">
        <v>1671</v>
      </c>
      <c r="C67" s="14" t="str">
        <f>+VLOOKUP(B67,[1]LISTE!$A$1:$D$431,4,FALSE)</f>
        <v>EL BACH ADEL</v>
      </c>
      <c r="D67" s="14" t="s">
        <v>22</v>
      </c>
      <c r="E67" s="15">
        <v>45930</v>
      </c>
      <c r="F67" s="14" t="s">
        <v>23</v>
      </c>
      <c r="G67" s="16">
        <v>20</v>
      </c>
    </row>
    <row r="68" spans="1:7" x14ac:dyDescent="0.25">
      <c r="A68" s="13" t="s">
        <v>2546</v>
      </c>
      <c r="B68" s="13">
        <v>1671</v>
      </c>
      <c r="C68" s="14" t="str">
        <f>+VLOOKUP(B68,[1]LISTE!$A$1:$D$431,4,FALSE)</f>
        <v>EL BACH ADEL</v>
      </c>
      <c r="D68" s="14" t="s">
        <v>22</v>
      </c>
      <c r="E68" s="15">
        <v>45930</v>
      </c>
      <c r="F68" s="14" t="s">
        <v>20</v>
      </c>
      <c r="G68" s="16">
        <v>39.615000000000002</v>
      </c>
    </row>
    <row r="69" spans="1:7" x14ac:dyDescent="0.25">
      <c r="A69" s="13" t="s">
        <v>2589</v>
      </c>
      <c r="B69" s="13">
        <v>1677</v>
      </c>
      <c r="C69" s="14" t="str">
        <f>+VLOOKUP(B69,[1]LISTE!$A$1:$D$431,4,FALSE)</f>
        <v>HADJ AMMAR BRAHIM</v>
      </c>
      <c r="D69" s="15" t="s">
        <v>677</v>
      </c>
      <c r="E69" s="15">
        <v>45938</v>
      </c>
      <c r="F69" s="14" t="s">
        <v>18</v>
      </c>
      <c r="G69" s="16">
        <v>60</v>
      </c>
    </row>
    <row r="70" spans="1:7" x14ac:dyDescent="0.25">
      <c r="A70" s="13" t="s">
        <v>2589</v>
      </c>
      <c r="B70" s="13">
        <v>1677</v>
      </c>
      <c r="C70" s="14" t="str">
        <f>+VLOOKUP(B70,[1]LISTE!$A$1:$D$431,4,FALSE)</f>
        <v>HADJ AMMAR BRAHIM</v>
      </c>
      <c r="D70" s="15" t="s">
        <v>677</v>
      </c>
      <c r="E70" s="15">
        <v>45938</v>
      </c>
      <c r="F70" s="14" t="s">
        <v>20</v>
      </c>
      <c r="G70" s="16">
        <v>140.89099999999999</v>
      </c>
    </row>
    <row r="71" spans="1:7" x14ac:dyDescent="0.25">
      <c r="A71" s="13" t="s">
        <v>2589</v>
      </c>
      <c r="B71" s="13">
        <v>1677</v>
      </c>
      <c r="C71" s="14" t="str">
        <f>+VLOOKUP(B71,[1]LISTE!$A$1:$D$431,4,FALSE)</f>
        <v>HADJ AMMAR BRAHIM</v>
      </c>
      <c r="D71" s="14" t="s">
        <v>677</v>
      </c>
      <c r="E71" s="15">
        <v>45938</v>
      </c>
      <c r="F71" s="14" t="s">
        <v>21</v>
      </c>
      <c r="G71" s="16">
        <v>90</v>
      </c>
    </row>
    <row r="72" spans="1:7" x14ac:dyDescent="0.25">
      <c r="A72" s="13" t="s">
        <v>2562</v>
      </c>
      <c r="B72" s="13">
        <v>1683</v>
      </c>
      <c r="C72" s="14" t="str">
        <f>+VLOOKUP(B72,[1]LISTE!$A$1:$D$431,4,FALSE)</f>
        <v>HEDHILI MOHAMED</v>
      </c>
      <c r="D72" s="15" t="s">
        <v>242</v>
      </c>
      <c r="E72" s="15">
        <v>45922</v>
      </c>
      <c r="F72" s="14" t="s">
        <v>20</v>
      </c>
      <c r="G72" s="16">
        <v>52.02</v>
      </c>
    </row>
    <row r="73" spans="1:7" x14ac:dyDescent="0.25">
      <c r="A73" s="13" t="s">
        <v>2562</v>
      </c>
      <c r="B73" s="13">
        <v>1683</v>
      </c>
      <c r="C73" s="14" t="str">
        <f>+VLOOKUP(B73,[1]LISTE!$A$1:$D$431,4,FALSE)</f>
        <v>HEDHILI MOHAMED</v>
      </c>
      <c r="D73" s="15" t="s">
        <v>242</v>
      </c>
      <c r="E73" s="15">
        <v>45927</v>
      </c>
      <c r="F73" s="14" t="s">
        <v>20</v>
      </c>
      <c r="G73" s="16">
        <v>17.34</v>
      </c>
    </row>
    <row r="74" spans="1:7" x14ac:dyDescent="0.25">
      <c r="A74" s="13" t="s">
        <v>2560</v>
      </c>
      <c r="B74" s="13">
        <v>1685</v>
      </c>
      <c r="C74" s="14" t="str">
        <f>+VLOOKUP(B74,[1]LISTE!$A$1:$D$431,4,FALSE)</f>
        <v>MAHJOUB MOHAMED KARIM</v>
      </c>
      <c r="D74" s="14" t="s">
        <v>198</v>
      </c>
      <c r="E74" s="15">
        <v>45932</v>
      </c>
      <c r="F74" s="14" t="s">
        <v>23</v>
      </c>
      <c r="G74" s="16">
        <v>7</v>
      </c>
    </row>
    <row r="75" spans="1:7" x14ac:dyDescent="0.25">
      <c r="A75" s="13" t="s">
        <v>2560</v>
      </c>
      <c r="B75" s="13">
        <v>1685</v>
      </c>
      <c r="C75" s="14" t="str">
        <f>+VLOOKUP(B75,[1]LISTE!$A$1:$D$431,4,FALSE)</f>
        <v>MAHJOUB MOHAMED KARIM</v>
      </c>
      <c r="D75" s="14" t="s">
        <v>198</v>
      </c>
      <c r="E75" s="15">
        <v>45932</v>
      </c>
      <c r="F75" s="14" t="s">
        <v>20</v>
      </c>
      <c r="G75" s="16">
        <v>35.215000000000003</v>
      </c>
    </row>
    <row r="76" spans="1:7" x14ac:dyDescent="0.25">
      <c r="A76" s="13" t="s">
        <v>2560</v>
      </c>
      <c r="B76" s="13">
        <v>1685</v>
      </c>
      <c r="C76" s="14" t="str">
        <f>+VLOOKUP(B76,[1]LISTE!$A$1:$D$431,4,FALSE)</f>
        <v>MAHJOUB MOHAMED KARIM</v>
      </c>
      <c r="D76" s="14" t="s">
        <v>198</v>
      </c>
      <c r="E76" s="15">
        <v>45932</v>
      </c>
      <c r="F76" s="14" t="s">
        <v>20</v>
      </c>
      <c r="G76" s="16">
        <v>30</v>
      </c>
    </row>
    <row r="77" spans="1:7" x14ac:dyDescent="0.25">
      <c r="A77" s="13" t="s">
        <v>2506</v>
      </c>
      <c r="B77" s="13">
        <v>1687</v>
      </c>
      <c r="C77" s="14" t="str">
        <f>+VLOOKUP(B77,[1]LISTE!$A$1:$D$431,4,FALSE)</f>
        <v>LACHHAB SAHBI</v>
      </c>
      <c r="D77" s="14" t="s">
        <v>54</v>
      </c>
      <c r="E77" s="15">
        <v>45926</v>
      </c>
      <c r="F77" s="14" t="s">
        <v>18</v>
      </c>
      <c r="G77" s="16">
        <v>70</v>
      </c>
    </row>
    <row r="78" spans="1:7" x14ac:dyDescent="0.25">
      <c r="A78" s="13" t="s">
        <v>2506</v>
      </c>
      <c r="B78" s="13">
        <v>1687</v>
      </c>
      <c r="C78" s="14" t="str">
        <f>+VLOOKUP(B78,[1]LISTE!$A$1:$D$431,4,FALSE)</f>
        <v>LACHHAB SAHBI</v>
      </c>
      <c r="D78" s="14" t="s">
        <v>54</v>
      </c>
      <c r="E78" s="15">
        <v>45926</v>
      </c>
      <c r="F78" s="14" t="s">
        <v>69</v>
      </c>
      <c r="G78" s="16">
        <v>570</v>
      </c>
    </row>
    <row r="79" spans="1:7" x14ac:dyDescent="0.25">
      <c r="A79" s="13" t="s">
        <v>2609</v>
      </c>
      <c r="B79" s="13">
        <v>1687</v>
      </c>
      <c r="C79" s="14" t="str">
        <f>+VLOOKUP(B79,[1]LISTE!$A$1:$D$431,4,FALSE)</f>
        <v>LACHHAB SAHBI</v>
      </c>
      <c r="D79" s="15" t="s">
        <v>125</v>
      </c>
      <c r="E79" s="15">
        <v>45934</v>
      </c>
      <c r="F79" s="14" t="s">
        <v>18</v>
      </c>
      <c r="G79" s="16">
        <v>70</v>
      </c>
    </row>
    <row r="80" spans="1:7" x14ac:dyDescent="0.25">
      <c r="A80" s="13" t="s">
        <v>2609</v>
      </c>
      <c r="B80" s="13">
        <v>1687</v>
      </c>
      <c r="C80" s="14" t="str">
        <f>+VLOOKUP(B80,[1]LISTE!$A$1:$D$431,4,FALSE)</f>
        <v>LACHHAB SAHBI</v>
      </c>
      <c r="D80" s="14" t="s">
        <v>125</v>
      </c>
      <c r="E80" s="15">
        <v>45938</v>
      </c>
      <c r="F80" s="14" t="s">
        <v>69</v>
      </c>
      <c r="G80" s="16">
        <v>400</v>
      </c>
    </row>
    <row r="81" spans="1:7" x14ac:dyDescent="0.25">
      <c r="A81" s="13" t="s">
        <v>2610</v>
      </c>
      <c r="B81" s="13">
        <v>1687</v>
      </c>
      <c r="C81" s="14" t="str">
        <f>+VLOOKUP(B81,[1]LISTE!$A$1:$D$431,4,FALSE)</f>
        <v>LACHHAB SAHBI</v>
      </c>
      <c r="D81" s="14" t="s">
        <v>22</v>
      </c>
      <c r="E81" s="15">
        <v>45938</v>
      </c>
      <c r="F81" s="14" t="s">
        <v>69</v>
      </c>
      <c r="G81" s="16">
        <v>350</v>
      </c>
    </row>
    <row r="82" spans="1:7" x14ac:dyDescent="0.25">
      <c r="A82" s="13" t="s">
        <v>2611</v>
      </c>
      <c r="B82" s="13">
        <v>1688</v>
      </c>
      <c r="C82" s="14" t="str">
        <f>+VLOOKUP(B82,[1]LISTE!$A$1:$D$431,4,FALSE)</f>
        <v>BEN ABDELJELIL MED ANIS</v>
      </c>
      <c r="D82" s="14" t="s">
        <v>2612</v>
      </c>
      <c r="E82" s="15">
        <v>45925</v>
      </c>
      <c r="F82" s="14" t="s">
        <v>18</v>
      </c>
      <c r="G82" s="16">
        <v>80</v>
      </c>
    </row>
    <row r="83" spans="1:7" x14ac:dyDescent="0.25">
      <c r="A83" s="13" t="s">
        <v>2611</v>
      </c>
      <c r="B83" s="13">
        <v>1688</v>
      </c>
      <c r="C83" s="14" t="str">
        <f>+VLOOKUP(B83,[1]LISTE!$A$1:$D$431,4,FALSE)</f>
        <v>BEN ABDELJELIL MED ANIS</v>
      </c>
      <c r="D83" s="14" t="s">
        <v>2612</v>
      </c>
      <c r="E83" s="15">
        <v>45925</v>
      </c>
      <c r="F83" s="14" t="s">
        <v>20</v>
      </c>
      <c r="G83" s="16">
        <v>311.11500000000001</v>
      </c>
    </row>
    <row r="84" spans="1:7" x14ac:dyDescent="0.25">
      <c r="A84" s="13" t="s">
        <v>2540</v>
      </c>
      <c r="B84" s="13">
        <v>1689</v>
      </c>
      <c r="C84" s="14" t="str">
        <f>+VLOOKUP(B84,[1]LISTE!$A$1:$D$431,4,FALSE)</f>
        <v>GRAA SKANDER</v>
      </c>
      <c r="D84" s="14" t="s">
        <v>200</v>
      </c>
      <c r="E84" s="15">
        <v>45930</v>
      </c>
      <c r="F84" s="14" t="s">
        <v>23</v>
      </c>
      <c r="G84" s="16">
        <v>40</v>
      </c>
    </row>
    <row r="85" spans="1:7" x14ac:dyDescent="0.25">
      <c r="A85" s="13" t="s">
        <v>2540</v>
      </c>
      <c r="B85" s="13">
        <v>1689</v>
      </c>
      <c r="C85" s="14" t="str">
        <f>+VLOOKUP(B85,[1]LISTE!$A$1:$D$431,4,FALSE)</f>
        <v>GRAA SKANDER</v>
      </c>
      <c r="D85" s="14" t="s">
        <v>200</v>
      </c>
      <c r="E85" s="15">
        <v>45930</v>
      </c>
      <c r="F85" s="14" t="s">
        <v>20</v>
      </c>
      <c r="G85" s="16">
        <v>20.734000000000002</v>
      </c>
    </row>
    <row r="86" spans="1:7" x14ac:dyDescent="0.25">
      <c r="A86" s="13" t="s">
        <v>2547</v>
      </c>
      <c r="B86" s="13">
        <v>1689</v>
      </c>
      <c r="C86" s="14" t="str">
        <f>+VLOOKUP(B86,[1]LISTE!$A$1:$D$431,4,FALSE)</f>
        <v>GRAA SKANDER</v>
      </c>
      <c r="D86" s="14" t="s">
        <v>805</v>
      </c>
      <c r="E86" s="15">
        <v>45934</v>
      </c>
      <c r="F86" s="14" t="s">
        <v>23</v>
      </c>
      <c r="G86" s="16">
        <v>60</v>
      </c>
    </row>
    <row r="87" spans="1:7" x14ac:dyDescent="0.25">
      <c r="A87" s="13" t="s">
        <v>2547</v>
      </c>
      <c r="B87" s="13">
        <v>1689</v>
      </c>
      <c r="C87" s="14" t="str">
        <f>+VLOOKUP(B87,[1]LISTE!$A$1:$D$431,4,FALSE)</f>
        <v>GRAA SKANDER</v>
      </c>
      <c r="D87" s="14" t="s">
        <v>805</v>
      </c>
      <c r="E87" s="15">
        <v>45934</v>
      </c>
      <c r="F87" s="14" t="s">
        <v>20</v>
      </c>
      <c r="G87" s="16">
        <v>63.433999999999997</v>
      </c>
    </row>
    <row r="88" spans="1:7" x14ac:dyDescent="0.25">
      <c r="A88" s="13" t="s">
        <v>2595</v>
      </c>
      <c r="B88" s="13">
        <v>1691</v>
      </c>
      <c r="C88" s="14" t="str">
        <f>+VLOOKUP(B88,[1]LISTE!$A$1:$D$431,4,FALSE)</f>
        <v>GADHI MOHAMED</v>
      </c>
      <c r="D88" s="14" t="s">
        <v>1849</v>
      </c>
      <c r="E88" s="15">
        <v>45926</v>
      </c>
      <c r="F88" s="14" t="s">
        <v>18</v>
      </c>
      <c r="G88" s="16">
        <v>70</v>
      </c>
    </row>
    <row r="89" spans="1:7" x14ac:dyDescent="0.25">
      <c r="A89" s="13" t="s">
        <v>2595</v>
      </c>
      <c r="B89" s="13">
        <v>1691</v>
      </c>
      <c r="C89" s="14" t="str">
        <f>+VLOOKUP(B89,[1]LISTE!$A$1:$D$431,4,FALSE)</f>
        <v>GADHI MOHAMED</v>
      </c>
      <c r="D89" s="14" t="s">
        <v>1849</v>
      </c>
      <c r="E89" s="15">
        <v>45937</v>
      </c>
      <c r="F89" s="14" t="s">
        <v>69</v>
      </c>
      <c r="G89" s="16">
        <v>121</v>
      </c>
    </row>
    <row r="90" spans="1:7" x14ac:dyDescent="0.25">
      <c r="A90" s="13" t="s">
        <v>2619</v>
      </c>
      <c r="B90" s="13">
        <v>1693</v>
      </c>
      <c r="C90" s="14" t="str">
        <f>+VLOOKUP(B90,[1]LISTE!$A$1:$D$431,4,FALSE)</f>
        <v>REBAI MOHAMED</v>
      </c>
      <c r="D90" s="14" t="s">
        <v>349</v>
      </c>
      <c r="E90" s="15">
        <v>45934</v>
      </c>
      <c r="F90" s="14" t="s">
        <v>23</v>
      </c>
      <c r="G90" s="16">
        <v>40</v>
      </c>
    </row>
    <row r="91" spans="1:7" x14ac:dyDescent="0.25">
      <c r="A91" s="13" t="s">
        <v>2619</v>
      </c>
      <c r="B91" s="13">
        <v>1693</v>
      </c>
      <c r="C91" s="14" t="str">
        <f>+VLOOKUP(B91,[1]LISTE!$A$1:$D$431,4,FALSE)</f>
        <v>REBAI MOHAMED</v>
      </c>
      <c r="D91" s="14" t="s">
        <v>349</v>
      </c>
      <c r="E91" s="15">
        <v>45943</v>
      </c>
      <c r="F91" s="14" t="s">
        <v>20</v>
      </c>
      <c r="G91" s="16">
        <v>10.11</v>
      </c>
    </row>
    <row r="92" spans="1:7" x14ac:dyDescent="0.25">
      <c r="A92" s="13" t="s">
        <v>2619</v>
      </c>
      <c r="B92" s="13">
        <v>1693</v>
      </c>
      <c r="C92" s="14" t="str">
        <f>+VLOOKUP(B92,[1]LISTE!$A$1:$D$431,4,FALSE)</f>
        <v>REBAI MOHAMED</v>
      </c>
      <c r="D92" s="14" t="s">
        <v>349</v>
      </c>
      <c r="E92" s="15">
        <v>45937</v>
      </c>
      <c r="F92" s="14" t="s">
        <v>24</v>
      </c>
      <c r="G92" s="16">
        <v>90</v>
      </c>
    </row>
    <row r="93" spans="1:7" x14ac:dyDescent="0.25">
      <c r="A93" s="13" t="s">
        <v>2485</v>
      </c>
      <c r="B93" s="13">
        <v>1698</v>
      </c>
      <c r="C93" s="14" t="str">
        <f>+VLOOKUP(B93,[1]LISTE!$A$1:$D$431,4,FALSE)</f>
        <v>BEL HADJ NABIL</v>
      </c>
      <c r="D93" s="14" t="s">
        <v>1628</v>
      </c>
      <c r="E93" s="15">
        <v>45927</v>
      </c>
      <c r="F93" s="14" t="s">
        <v>23</v>
      </c>
      <c r="G93" s="16">
        <v>1.5</v>
      </c>
    </row>
    <row r="94" spans="1:7" x14ac:dyDescent="0.25">
      <c r="A94" s="13" t="s">
        <v>2485</v>
      </c>
      <c r="B94" s="13">
        <v>1698</v>
      </c>
      <c r="C94" s="14" t="str">
        <f>+VLOOKUP(B94,[1]LISTE!$A$1:$D$431,4,FALSE)</f>
        <v>BEL HADJ NABIL</v>
      </c>
      <c r="D94" s="15" t="s">
        <v>1628</v>
      </c>
      <c r="E94" s="15">
        <v>45927</v>
      </c>
      <c r="F94" s="14" t="s">
        <v>20</v>
      </c>
      <c r="G94" s="16">
        <v>22.895</v>
      </c>
    </row>
    <row r="95" spans="1:7" x14ac:dyDescent="0.25">
      <c r="A95" s="13" t="s">
        <v>2495</v>
      </c>
      <c r="B95" s="13">
        <v>1706</v>
      </c>
      <c r="C95" s="14" t="str">
        <f>+VLOOKUP(B95,[1]LISTE!$A$1:$D$431,4,FALSE)</f>
        <v>GRIRA LOKHDHIRI FREDJ</v>
      </c>
      <c r="D95" s="14" t="s">
        <v>186</v>
      </c>
      <c r="E95" s="15">
        <v>45923</v>
      </c>
      <c r="F95" s="14" t="s">
        <v>23</v>
      </c>
      <c r="G95" s="16">
        <v>45</v>
      </c>
    </row>
    <row r="96" spans="1:7" x14ac:dyDescent="0.25">
      <c r="A96" s="13" t="s">
        <v>2495</v>
      </c>
      <c r="B96" s="13">
        <v>1706</v>
      </c>
      <c r="C96" s="14" t="str">
        <f>+VLOOKUP(B96,[1]LISTE!$A$1:$D$431,4,FALSE)</f>
        <v>GRIRA LOKHDHIRI FREDJ</v>
      </c>
      <c r="D96" s="14" t="s">
        <v>186</v>
      </c>
      <c r="E96" s="15">
        <v>45923</v>
      </c>
      <c r="F96" s="14" t="s">
        <v>20</v>
      </c>
      <c r="G96" s="16">
        <v>38.159999999999997</v>
      </c>
    </row>
    <row r="97" spans="1:7" x14ac:dyDescent="0.25">
      <c r="A97" s="13" t="s">
        <v>990</v>
      </c>
      <c r="B97" s="13">
        <v>1713</v>
      </c>
      <c r="C97" s="14" t="s">
        <v>939</v>
      </c>
      <c r="D97" s="14" t="s">
        <v>22</v>
      </c>
      <c r="E97" s="15">
        <v>45920</v>
      </c>
      <c r="F97" s="14" t="s">
        <v>23</v>
      </c>
      <c r="G97" s="16">
        <v>40</v>
      </c>
    </row>
    <row r="98" spans="1:7" x14ac:dyDescent="0.25">
      <c r="A98" s="13" t="s">
        <v>990</v>
      </c>
      <c r="B98" s="13">
        <v>1713</v>
      </c>
      <c r="C98" s="14" t="s">
        <v>939</v>
      </c>
      <c r="D98" s="14" t="s">
        <v>22</v>
      </c>
      <c r="E98" s="15">
        <v>45920</v>
      </c>
      <c r="F98" s="14" t="s">
        <v>20</v>
      </c>
      <c r="G98" s="16">
        <v>47.85</v>
      </c>
    </row>
    <row r="99" spans="1:7" x14ac:dyDescent="0.25">
      <c r="A99" s="13" t="s">
        <v>2544</v>
      </c>
      <c r="B99" s="13">
        <v>1714</v>
      </c>
      <c r="C99" s="14" t="str">
        <f>+VLOOKUP(B99,[1]LISTE!$A$1:$D$431,4,FALSE)</f>
        <v>MATHLOUTHI MONDHER</v>
      </c>
      <c r="D99" s="14" t="s">
        <v>268</v>
      </c>
      <c r="E99" s="15">
        <v>45929</v>
      </c>
      <c r="F99" s="14" t="s">
        <v>363</v>
      </c>
      <c r="G99" s="16">
        <v>150</v>
      </c>
    </row>
    <row r="100" spans="1:7" x14ac:dyDescent="0.25">
      <c r="A100" s="13" t="s">
        <v>2544</v>
      </c>
      <c r="B100" s="13">
        <v>1714</v>
      </c>
      <c r="C100" s="14" t="str">
        <f>+VLOOKUP(B100,[1]LISTE!$A$1:$D$431,4,FALSE)</f>
        <v>MATHLOUTHI MONDHER</v>
      </c>
      <c r="D100" s="14" t="s">
        <v>268</v>
      </c>
      <c r="E100" s="15">
        <v>45930</v>
      </c>
      <c r="F100" s="14" t="s">
        <v>20</v>
      </c>
      <c r="G100" s="16">
        <v>3.8849999999999998</v>
      </c>
    </row>
    <row r="101" spans="1:7" x14ac:dyDescent="0.25">
      <c r="A101" s="13" t="s">
        <v>2572</v>
      </c>
      <c r="B101" s="13">
        <v>1716</v>
      </c>
      <c r="C101" s="14" t="s">
        <v>219</v>
      </c>
      <c r="D101" s="15" t="s">
        <v>44</v>
      </c>
      <c r="E101" s="15">
        <v>45926</v>
      </c>
      <c r="F101" s="14" t="s">
        <v>20</v>
      </c>
      <c r="G101" s="16">
        <v>62.616</v>
      </c>
    </row>
    <row r="102" spans="1:7" x14ac:dyDescent="0.25">
      <c r="A102" s="13" t="s">
        <v>2602</v>
      </c>
      <c r="B102" s="13">
        <v>1733</v>
      </c>
      <c r="C102" s="14" t="str">
        <f>+VLOOKUP(B102,[1]LISTE!$A$1:$D$431,4,FALSE)</f>
        <v>BEN ABDELJELIL MED RIDHA</v>
      </c>
      <c r="D102" s="14" t="s">
        <v>2603</v>
      </c>
      <c r="E102" s="15">
        <v>45932</v>
      </c>
      <c r="F102" s="14" t="s">
        <v>18</v>
      </c>
      <c r="G102" s="16">
        <v>30</v>
      </c>
    </row>
    <row r="103" spans="1:7" x14ac:dyDescent="0.25">
      <c r="A103" s="13" t="s">
        <v>2602</v>
      </c>
      <c r="B103" s="13">
        <v>1733</v>
      </c>
      <c r="C103" s="14" t="str">
        <f>+VLOOKUP(B103,[1]LISTE!$A$1:$D$431,4,FALSE)</f>
        <v>BEN ABDELJELIL MED RIDHA</v>
      </c>
      <c r="D103" s="14" t="s">
        <v>2603</v>
      </c>
      <c r="E103" s="15">
        <v>45937</v>
      </c>
      <c r="F103" s="14" t="s">
        <v>69</v>
      </c>
      <c r="G103" s="16">
        <v>340</v>
      </c>
    </row>
    <row r="104" spans="1:7" x14ac:dyDescent="0.25">
      <c r="A104" s="13" t="s">
        <v>2596</v>
      </c>
      <c r="B104" s="13">
        <v>1735</v>
      </c>
      <c r="C104" s="14" t="str">
        <f>+VLOOKUP(B104,[1]LISTE!$A$1:$D$431,4,FALSE)</f>
        <v>SAKKA ROUIS MED HAFEDH</v>
      </c>
      <c r="D104" s="14" t="s">
        <v>125</v>
      </c>
      <c r="E104" s="15">
        <v>45937</v>
      </c>
      <c r="F104" s="14" t="s">
        <v>23</v>
      </c>
      <c r="G104" s="16">
        <v>40</v>
      </c>
    </row>
    <row r="105" spans="1:7" x14ac:dyDescent="0.25">
      <c r="A105" s="13" t="s">
        <v>2596</v>
      </c>
      <c r="B105" s="13">
        <v>1735</v>
      </c>
      <c r="C105" s="14" t="str">
        <f>+VLOOKUP(B105,[1]LISTE!$A$1:$D$431,4,FALSE)</f>
        <v>SAKKA ROUIS MED HAFEDH</v>
      </c>
      <c r="D105" s="14" t="s">
        <v>125</v>
      </c>
      <c r="E105" s="15">
        <v>45937</v>
      </c>
      <c r="F105" s="14" t="s">
        <v>20</v>
      </c>
      <c r="G105" s="16">
        <v>22.484999999999999</v>
      </c>
    </row>
    <row r="106" spans="1:7" x14ac:dyDescent="0.25">
      <c r="A106" s="13" t="s">
        <v>2597</v>
      </c>
      <c r="B106" s="13">
        <v>1745</v>
      </c>
      <c r="C106" s="14" t="str">
        <f>+VLOOKUP(B106,[1]LISTE!$A$1:$D$431,4,FALSE)</f>
        <v>CHATTI EZZEDDINE</v>
      </c>
      <c r="D106" s="15" t="s">
        <v>22</v>
      </c>
      <c r="E106" s="15">
        <v>45937</v>
      </c>
      <c r="F106" s="14" t="s">
        <v>23</v>
      </c>
      <c r="G106" s="16">
        <v>50</v>
      </c>
    </row>
    <row r="107" spans="1:7" x14ac:dyDescent="0.25">
      <c r="A107" s="13" t="s">
        <v>2597</v>
      </c>
      <c r="B107" s="13">
        <v>1745</v>
      </c>
      <c r="C107" s="14" t="str">
        <f>+VLOOKUP(B107,[1]LISTE!$A$1:$D$431,4,FALSE)</f>
        <v>CHATTI EZZEDDINE</v>
      </c>
      <c r="D107" s="14" t="s">
        <v>22</v>
      </c>
      <c r="E107" s="15">
        <v>45938</v>
      </c>
      <c r="F107" s="14" t="s">
        <v>20</v>
      </c>
      <c r="G107" s="16">
        <v>4.2450000000000001</v>
      </c>
    </row>
    <row r="108" spans="1:7" x14ac:dyDescent="0.25">
      <c r="A108" s="13" t="s">
        <v>2597</v>
      </c>
      <c r="B108" s="13">
        <v>1745</v>
      </c>
      <c r="C108" s="14" t="str">
        <f>+VLOOKUP(B108,[1]LISTE!$A$1:$D$431,4,FALSE)</f>
        <v>CHATTI EZZEDDINE</v>
      </c>
      <c r="D108" s="14" t="s">
        <v>22</v>
      </c>
      <c r="E108" s="15">
        <v>45937</v>
      </c>
      <c r="F108" s="14" t="s">
        <v>21</v>
      </c>
      <c r="G108" s="16">
        <v>60</v>
      </c>
    </row>
    <row r="109" spans="1:7" x14ac:dyDescent="0.25">
      <c r="A109" s="13" t="s">
        <v>2597</v>
      </c>
      <c r="B109" s="13">
        <v>1745</v>
      </c>
      <c r="C109" s="14" t="str">
        <f>+VLOOKUP(B109,[1]LISTE!$A$1:$D$431,4,FALSE)</f>
        <v>CHATTI EZZEDDINE</v>
      </c>
      <c r="D109" s="14" t="s">
        <v>22</v>
      </c>
      <c r="E109" s="15">
        <v>45938</v>
      </c>
      <c r="F109" s="14" t="s">
        <v>24</v>
      </c>
      <c r="G109" s="16">
        <v>60</v>
      </c>
    </row>
    <row r="110" spans="1:7" x14ac:dyDescent="0.25">
      <c r="A110" s="13" t="s">
        <v>2577</v>
      </c>
      <c r="B110" s="13">
        <v>1768</v>
      </c>
      <c r="C110" s="14" t="str">
        <f>+VLOOKUP(B110,[1]LISTE!$A$1:$D$431,4,FALSE)</f>
        <v>LADJIMI MAHER</v>
      </c>
      <c r="D110" s="14" t="s">
        <v>22</v>
      </c>
      <c r="E110" s="15">
        <v>45933</v>
      </c>
      <c r="F110" s="14" t="s">
        <v>20</v>
      </c>
      <c r="G110" s="16">
        <v>59.49</v>
      </c>
    </row>
    <row r="111" spans="1:7" x14ac:dyDescent="0.25">
      <c r="A111" s="13" t="s">
        <v>2588</v>
      </c>
      <c r="B111" s="13">
        <v>1773</v>
      </c>
      <c r="C111" s="14" t="str">
        <f>+VLOOKUP(B111,[1]LISTE!$A$1:$D$431,4,FALSE)</f>
        <v>GAIEB SAMI</v>
      </c>
      <c r="D111" s="15" t="s">
        <v>22</v>
      </c>
      <c r="E111" s="15">
        <v>45931</v>
      </c>
      <c r="F111" s="14" t="s">
        <v>18</v>
      </c>
      <c r="G111" s="16">
        <v>90</v>
      </c>
    </row>
    <row r="112" spans="1:7" x14ac:dyDescent="0.25">
      <c r="A112" s="13" t="s">
        <v>2588</v>
      </c>
      <c r="B112" s="13">
        <v>1773</v>
      </c>
      <c r="C112" s="14" t="str">
        <f>+VLOOKUP(B112,[1]LISTE!$A$1:$D$431,4,FALSE)</f>
        <v>GAIEB SAMI</v>
      </c>
      <c r="D112" s="14" t="s">
        <v>22</v>
      </c>
      <c r="E112" s="15">
        <v>45931</v>
      </c>
      <c r="F112" s="14" t="s">
        <v>20</v>
      </c>
      <c r="G112" s="16">
        <v>47.865000000000002</v>
      </c>
    </row>
    <row r="113" spans="1:7" x14ac:dyDescent="0.25">
      <c r="A113" s="13" t="s">
        <v>2587</v>
      </c>
      <c r="B113" s="13">
        <v>1777</v>
      </c>
      <c r="C113" s="14" t="str">
        <f>+VLOOKUP(B113,[1]LISTE!$A$1:$D$431,4,FALSE)</f>
        <v>JARRAR MOHAMED FAOUZI</v>
      </c>
      <c r="D113" s="14" t="s">
        <v>119</v>
      </c>
      <c r="E113" s="15">
        <v>45924</v>
      </c>
      <c r="F113" s="14" t="s">
        <v>20</v>
      </c>
      <c r="G113" s="16">
        <v>59.408000000000001</v>
      </c>
    </row>
    <row r="114" spans="1:7" x14ac:dyDescent="0.25">
      <c r="A114" s="13" t="s">
        <v>2519</v>
      </c>
      <c r="B114" s="13">
        <v>1781</v>
      </c>
      <c r="C114" s="14" t="str">
        <f>+VLOOKUP(B114,[1]LISTE!$A$1:$D$431,4,FALSE)</f>
        <v>KEMIMECH MOHAMED</v>
      </c>
      <c r="D114" s="15" t="s">
        <v>153</v>
      </c>
      <c r="E114" s="15">
        <v>45922</v>
      </c>
      <c r="F114" s="14" t="s">
        <v>20</v>
      </c>
      <c r="G114" s="16">
        <v>30.625</v>
      </c>
    </row>
    <row r="115" spans="1:7" x14ac:dyDescent="0.25">
      <c r="A115" s="13" t="s">
        <v>2519</v>
      </c>
      <c r="B115" s="13">
        <v>1781</v>
      </c>
      <c r="C115" s="14" t="str">
        <f>+VLOOKUP(B115,[1]LISTE!$A$1:$D$431,4,FALSE)</f>
        <v>KEMIMECH MOHAMED</v>
      </c>
      <c r="D115" s="14" t="s">
        <v>153</v>
      </c>
      <c r="E115" s="15">
        <v>45922</v>
      </c>
      <c r="F115" s="14" t="s">
        <v>21</v>
      </c>
      <c r="G115" s="16">
        <v>500</v>
      </c>
    </row>
    <row r="116" spans="1:7" x14ac:dyDescent="0.25">
      <c r="A116" s="13" t="s">
        <v>2517</v>
      </c>
      <c r="B116" s="13">
        <v>1782</v>
      </c>
      <c r="C116" s="14" t="str">
        <f>+VLOOKUP(B116,[1]LISTE!$A$1:$D$431,4,FALSE)</f>
        <v>IBRAHIM JAMEL</v>
      </c>
      <c r="D116" s="14" t="s">
        <v>860</v>
      </c>
      <c r="E116" s="15">
        <v>45910</v>
      </c>
      <c r="F116" s="14" t="s">
        <v>18</v>
      </c>
      <c r="G116" s="16">
        <v>80</v>
      </c>
    </row>
    <row r="117" spans="1:7" x14ac:dyDescent="0.25">
      <c r="A117" s="13" t="s">
        <v>2517</v>
      </c>
      <c r="B117" s="13">
        <v>1782</v>
      </c>
      <c r="C117" s="14" t="str">
        <f>+VLOOKUP(B117,[1]LISTE!$A$1:$D$431,4,FALSE)</f>
        <v>IBRAHIM JAMEL</v>
      </c>
      <c r="D117" s="14" t="s">
        <v>860</v>
      </c>
      <c r="E117" s="15">
        <v>45910</v>
      </c>
      <c r="F117" s="14" t="s">
        <v>20</v>
      </c>
      <c r="G117" s="16">
        <v>381.64499999999998</v>
      </c>
    </row>
    <row r="118" spans="1:7" x14ac:dyDescent="0.25">
      <c r="A118" s="13" t="s">
        <v>2511</v>
      </c>
      <c r="B118" s="13">
        <v>1784</v>
      </c>
      <c r="C118" s="14" t="str">
        <f>+VLOOKUP(B118,[1]LISTE!$A$1:$D$431,4,FALSE)</f>
        <v>LAYOUNI KHALED</v>
      </c>
      <c r="D118" s="14" t="s">
        <v>421</v>
      </c>
      <c r="E118" s="15">
        <v>45909</v>
      </c>
      <c r="F118" s="14" t="s">
        <v>23</v>
      </c>
      <c r="G118" s="16">
        <v>50</v>
      </c>
    </row>
    <row r="119" spans="1:7" x14ac:dyDescent="0.25">
      <c r="A119" s="13" t="s">
        <v>2511</v>
      </c>
      <c r="B119" s="13">
        <v>1784</v>
      </c>
      <c r="C119" s="14" t="str">
        <f>+VLOOKUP(B119,[1]LISTE!$A$1:$D$431,4,FALSE)</f>
        <v>LAYOUNI KHALED</v>
      </c>
      <c r="D119" s="15" t="s">
        <v>421</v>
      </c>
      <c r="E119" s="15">
        <v>45909</v>
      </c>
      <c r="F119" s="14" t="s">
        <v>20</v>
      </c>
      <c r="G119" s="16">
        <v>17.105</v>
      </c>
    </row>
    <row r="120" spans="1:7" x14ac:dyDescent="0.25">
      <c r="A120" s="13" t="s">
        <v>2545</v>
      </c>
      <c r="B120" s="13">
        <v>1787</v>
      </c>
      <c r="C120" s="14" t="str">
        <f>+VLOOKUP(B120,[1]LISTE!$A$1:$D$431,4,FALSE)</f>
        <v>BEN ALITA NEBIL</v>
      </c>
      <c r="D120" s="14" t="s">
        <v>22</v>
      </c>
      <c r="E120" s="15">
        <v>45924</v>
      </c>
      <c r="F120" s="14" t="s">
        <v>23</v>
      </c>
      <c r="G120" s="16">
        <v>20</v>
      </c>
    </row>
    <row r="121" spans="1:7" x14ac:dyDescent="0.25">
      <c r="A121" s="13" t="s">
        <v>2545</v>
      </c>
      <c r="B121" s="13">
        <v>1787</v>
      </c>
      <c r="C121" s="14" t="str">
        <f>+VLOOKUP(B121,[1]LISTE!$A$1:$D$431,4,FALSE)</f>
        <v>BEN ALITA NEBIL</v>
      </c>
      <c r="D121" s="14" t="s">
        <v>22</v>
      </c>
      <c r="E121" s="15">
        <v>45924</v>
      </c>
      <c r="F121" s="14" t="s">
        <v>20</v>
      </c>
      <c r="G121" s="16">
        <v>32.075000000000003</v>
      </c>
    </row>
    <row r="122" spans="1:7" x14ac:dyDescent="0.25">
      <c r="A122" s="13" t="s">
        <v>2545</v>
      </c>
      <c r="B122" s="13">
        <v>1787</v>
      </c>
      <c r="C122" s="14" t="str">
        <f>+VLOOKUP(B122,[1]LISTE!$A$1:$D$431,4,FALSE)</f>
        <v>BEN ALITA NEBIL</v>
      </c>
      <c r="D122" s="15" t="s">
        <v>22</v>
      </c>
      <c r="E122" s="15">
        <v>45929</v>
      </c>
      <c r="F122" s="14" t="s">
        <v>20</v>
      </c>
      <c r="G122" s="16">
        <v>13.593999999999999</v>
      </c>
    </row>
    <row r="123" spans="1:7" x14ac:dyDescent="0.25">
      <c r="A123" s="13" t="s">
        <v>2545</v>
      </c>
      <c r="B123" s="13">
        <v>1787</v>
      </c>
      <c r="C123" s="14" t="str">
        <f>+VLOOKUP(B123,[1]LISTE!$A$1:$D$431,4,FALSE)</f>
        <v>BEN ALITA NEBIL</v>
      </c>
      <c r="D123" s="14" t="s">
        <v>22</v>
      </c>
      <c r="E123" s="15">
        <v>45926</v>
      </c>
      <c r="F123" s="14" t="s">
        <v>21</v>
      </c>
      <c r="G123" s="16">
        <v>30</v>
      </c>
    </row>
    <row r="124" spans="1:7" x14ac:dyDescent="0.25">
      <c r="A124" s="13" t="s">
        <v>2501</v>
      </c>
      <c r="B124" s="13">
        <v>1789</v>
      </c>
      <c r="C124" s="14" t="str">
        <f>+VLOOKUP(B124,[1]LISTE!$A$1:$D$431,4,FALSE)</f>
        <v>CHIHI MOHAMED SALAH</v>
      </c>
      <c r="D124" s="15" t="s">
        <v>22</v>
      </c>
      <c r="E124" s="15">
        <v>45920</v>
      </c>
      <c r="F124" s="14" t="s">
        <v>18</v>
      </c>
      <c r="G124" s="16">
        <v>60</v>
      </c>
    </row>
    <row r="125" spans="1:7" x14ac:dyDescent="0.25">
      <c r="A125" s="13" t="s">
        <v>2501</v>
      </c>
      <c r="B125" s="13">
        <v>1789</v>
      </c>
      <c r="C125" s="14" t="str">
        <f>+VLOOKUP(B125,[1]LISTE!$A$1:$D$431,4,FALSE)</f>
        <v>CHIHI MOHAMED SALAH</v>
      </c>
      <c r="D125" s="15" t="s">
        <v>22</v>
      </c>
      <c r="E125" s="15">
        <v>45920</v>
      </c>
      <c r="F125" s="14" t="s">
        <v>20</v>
      </c>
      <c r="G125" s="16">
        <v>58.209000000000003</v>
      </c>
    </row>
    <row r="126" spans="1:7" x14ac:dyDescent="0.25">
      <c r="A126" s="13" t="s">
        <v>2566</v>
      </c>
      <c r="B126" s="13">
        <v>1796</v>
      </c>
      <c r="C126" s="14" t="str">
        <f>+VLOOKUP(B126,[1]LISTE!$A$1:$D$431,4,FALSE)</f>
        <v>BEL HADJ HASSINE IMED</v>
      </c>
      <c r="D126" s="14" t="s">
        <v>1436</v>
      </c>
      <c r="E126" s="15">
        <v>45932</v>
      </c>
      <c r="F126" s="14" t="s">
        <v>23</v>
      </c>
      <c r="G126" s="16">
        <v>1.5</v>
      </c>
    </row>
    <row r="127" spans="1:7" x14ac:dyDescent="0.25">
      <c r="A127" s="13" t="s">
        <v>2566</v>
      </c>
      <c r="B127" s="13">
        <v>1796</v>
      </c>
      <c r="C127" s="14" t="str">
        <f>+VLOOKUP(B127,[1]LISTE!$A$1:$D$431,4,FALSE)</f>
        <v>BEL HADJ HASSINE IMED</v>
      </c>
      <c r="D127" s="14" t="s">
        <v>1436</v>
      </c>
      <c r="E127" s="15">
        <v>45932</v>
      </c>
      <c r="F127" s="14" t="s">
        <v>20</v>
      </c>
      <c r="G127" s="16">
        <v>58.936999999999998</v>
      </c>
    </row>
    <row r="128" spans="1:7" x14ac:dyDescent="0.25">
      <c r="A128" s="13" t="s">
        <v>2558</v>
      </c>
      <c r="B128" s="13">
        <v>1797</v>
      </c>
      <c r="C128" s="14" t="str">
        <f>+VLOOKUP(B128,[1]LISTE!$A$1:$D$431,4,FALSE)</f>
        <v>ABBADI MOHAMED</v>
      </c>
      <c r="D128" s="14" t="s">
        <v>253</v>
      </c>
      <c r="E128" s="15">
        <v>45932</v>
      </c>
      <c r="F128" s="14" t="s">
        <v>18</v>
      </c>
      <c r="G128" s="16">
        <v>60</v>
      </c>
    </row>
    <row r="129" spans="1:7" x14ac:dyDescent="0.25">
      <c r="A129" s="13" t="s">
        <v>2558</v>
      </c>
      <c r="B129" s="13">
        <v>1797</v>
      </c>
      <c r="C129" s="14" t="str">
        <f>+VLOOKUP(B129,[1]LISTE!$A$1:$D$431,4,FALSE)</f>
        <v>ABBADI MOHAMED</v>
      </c>
      <c r="D129" s="15" t="s">
        <v>253</v>
      </c>
      <c r="E129" s="15">
        <v>45933</v>
      </c>
      <c r="F129" s="14" t="s">
        <v>19</v>
      </c>
      <c r="G129" s="16">
        <v>103.26</v>
      </c>
    </row>
    <row r="130" spans="1:7" x14ac:dyDescent="0.25">
      <c r="A130" s="13" t="s">
        <v>2558</v>
      </c>
      <c r="B130" s="13">
        <v>1797</v>
      </c>
      <c r="C130" s="14" t="str">
        <f>+VLOOKUP(B130,[1]LISTE!$A$1:$D$431,4,FALSE)</f>
        <v>ABBADI MOHAMED</v>
      </c>
      <c r="D130" s="15" t="s">
        <v>253</v>
      </c>
      <c r="E130" s="15">
        <v>45933</v>
      </c>
      <c r="F130" s="14" t="s">
        <v>20</v>
      </c>
      <c r="G130" s="16">
        <v>65.64</v>
      </c>
    </row>
    <row r="131" spans="1:7" x14ac:dyDescent="0.25">
      <c r="A131" s="13" t="s">
        <v>2558</v>
      </c>
      <c r="B131" s="13">
        <v>1797</v>
      </c>
      <c r="C131" s="14" t="str">
        <f>+VLOOKUP(B131,[1]LISTE!$A$1:$D$431,4,FALSE)</f>
        <v>ABBADI MOHAMED</v>
      </c>
      <c r="D131" s="14" t="s">
        <v>253</v>
      </c>
      <c r="E131" s="15">
        <v>45933</v>
      </c>
      <c r="F131" s="14" t="s">
        <v>20</v>
      </c>
      <c r="G131" s="16">
        <v>100</v>
      </c>
    </row>
    <row r="132" spans="1:7" x14ac:dyDescent="0.25">
      <c r="A132" s="13" t="s">
        <v>2504</v>
      </c>
      <c r="B132" s="13">
        <v>1817</v>
      </c>
      <c r="C132" s="14" t="str">
        <f>+VLOOKUP(B132,[1]LISTE!$A$1:$D$431,4,FALSE)</f>
        <v>ZOUITEN MUSTAPHA</v>
      </c>
      <c r="D132" s="14" t="s">
        <v>1378</v>
      </c>
      <c r="E132" s="15">
        <v>45899</v>
      </c>
      <c r="F132" s="14" t="s">
        <v>18</v>
      </c>
      <c r="G132" s="16">
        <v>70</v>
      </c>
    </row>
    <row r="133" spans="1:7" x14ac:dyDescent="0.25">
      <c r="A133" s="13" t="s">
        <v>2504</v>
      </c>
      <c r="B133" s="13">
        <v>1817</v>
      </c>
      <c r="C133" s="14" t="str">
        <f>+VLOOKUP(B133,[1]LISTE!$A$1:$D$431,4,FALSE)</f>
        <v>ZOUITEN MUSTAPHA</v>
      </c>
      <c r="D133" s="14" t="s">
        <v>1378</v>
      </c>
      <c r="E133" s="15">
        <v>45899</v>
      </c>
      <c r="F133" s="14" t="s">
        <v>363</v>
      </c>
      <c r="G133" s="16">
        <v>180</v>
      </c>
    </row>
    <row r="134" spans="1:7" x14ac:dyDescent="0.25">
      <c r="A134" s="13" t="s">
        <v>2504</v>
      </c>
      <c r="B134" s="13">
        <v>1817</v>
      </c>
      <c r="C134" s="14" t="str">
        <f>+VLOOKUP(B134,[1]LISTE!$A$1:$D$431,4,FALSE)</f>
        <v>ZOUITEN MUSTAPHA</v>
      </c>
      <c r="D134" s="15" t="s">
        <v>1378</v>
      </c>
      <c r="E134" s="15">
        <v>45920</v>
      </c>
      <c r="F134" s="14" t="s">
        <v>21</v>
      </c>
      <c r="G134" s="16">
        <v>38.450000000000003</v>
      </c>
    </row>
    <row r="135" spans="1:7" x14ac:dyDescent="0.25">
      <c r="A135" s="13" t="s">
        <v>2504</v>
      </c>
      <c r="B135" s="13">
        <v>1817</v>
      </c>
      <c r="C135" s="14" t="str">
        <f>+VLOOKUP(B135,[1]LISTE!$A$1:$D$431,4,FALSE)</f>
        <v>ZOUITEN MUSTAPHA</v>
      </c>
      <c r="D135" s="14" t="s">
        <v>1378</v>
      </c>
      <c r="E135" s="15">
        <v>45920</v>
      </c>
      <c r="F135" s="14" t="s">
        <v>21</v>
      </c>
      <c r="G135" s="16">
        <v>15</v>
      </c>
    </row>
    <row r="136" spans="1:7" x14ac:dyDescent="0.25">
      <c r="A136" s="13" t="s">
        <v>2505</v>
      </c>
      <c r="B136" s="13">
        <v>1817</v>
      </c>
      <c r="C136" s="14" t="str">
        <f>+VLOOKUP(B136,[1]LISTE!$A$1:$D$431,4,FALSE)</f>
        <v>ZOUITEN MUSTAPHA</v>
      </c>
      <c r="D136" s="14" t="s">
        <v>22</v>
      </c>
      <c r="E136" s="15">
        <v>45919</v>
      </c>
      <c r="F136" s="14" t="s">
        <v>20</v>
      </c>
      <c r="G136" s="16">
        <v>134.56899999999999</v>
      </c>
    </row>
    <row r="137" spans="1:7" x14ac:dyDescent="0.25">
      <c r="A137" s="13" t="s">
        <v>2505</v>
      </c>
      <c r="B137" s="13">
        <v>1817</v>
      </c>
      <c r="C137" s="14" t="str">
        <f>+VLOOKUP(B137,[1]LISTE!$A$1:$D$431,4,FALSE)</f>
        <v>ZOUITEN MUSTAPHA</v>
      </c>
      <c r="D137" s="14" t="s">
        <v>22</v>
      </c>
      <c r="E137" s="15">
        <v>45919</v>
      </c>
      <c r="F137" s="14" t="s">
        <v>21</v>
      </c>
      <c r="G137" s="16">
        <v>70</v>
      </c>
    </row>
    <row r="138" spans="1:7" x14ac:dyDescent="0.25">
      <c r="A138" s="13" t="s">
        <v>2570</v>
      </c>
      <c r="B138" s="13">
        <v>1817</v>
      </c>
      <c r="C138" s="14" t="str">
        <f>+VLOOKUP(B138,[1]LISTE!$A$1:$D$431,4,FALSE)</f>
        <v>ZOUITEN MUSTAPHA</v>
      </c>
      <c r="D138" s="15" t="s">
        <v>22</v>
      </c>
      <c r="E138" s="15">
        <v>45929</v>
      </c>
      <c r="F138" s="14" t="s">
        <v>18</v>
      </c>
      <c r="G138" s="16">
        <v>20</v>
      </c>
    </row>
    <row r="139" spans="1:7" x14ac:dyDescent="0.25">
      <c r="A139" s="13" t="s">
        <v>2570</v>
      </c>
      <c r="B139" s="13">
        <v>1817</v>
      </c>
      <c r="C139" s="14" t="str">
        <f>+VLOOKUP(B139,[1]LISTE!$A$1:$D$431,4,FALSE)</f>
        <v>ZOUITEN MUSTAPHA</v>
      </c>
      <c r="D139" s="15" t="s">
        <v>22</v>
      </c>
      <c r="E139" s="15">
        <v>45930</v>
      </c>
      <c r="F139" s="14" t="s">
        <v>69</v>
      </c>
      <c r="G139" s="16">
        <v>450</v>
      </c>
    </row>
    <row r="140" spans="1:7" x14ac:dyDescent="0.25">
      <c r="A140" s="13" t="s">
        <v>2514</v>
      </c>
      <c r="B140" s="13">
        <v>1819</v>
      </c>
      <c r="C140" s="14" t="str">
        <f>+VLOOKUP(B140,[1]LISTE!$A$1:$D$431,4,FALSE)</f>
        <v>SASSI MOHAMED WALID</v>
      </c>
      <c r="D140" s="14" t="s">
        <v>22</v>
      </c>
      <c r="E140" s="15">
        <v>45919</v>
      </c>
      <c r="F140" s="14" t="s">
        <v>65</v>
      </c>
      <c r="G140" s="16">
        <v>600</v>
      </c>
    </row>
    <row r="141" spans="1:7" x14ac:dyDescent="0.25">
      <c r="A141" s="13" t="s">
        <v>2496</v>
      </c>
      <c r="B141" s="13">
        <v>1823</v>
      </c>
      <c r="C141" s="14" t="str">
        <f>+VLOOKUP(B141,[1]LISTE!$A$1:$D$431,4,FALSE)</f>
        <v>ACHOUR RAOUF</v>
      </c>
      <c r="D141" s="14" t="s">
        <v>22</v>
      </c>
      <c r="E141" s="15">
        <v>45898</v>
      </c>
      <c r="F141" s="14" t="s">
        <v>18</v>
      </c>
      <c r="G141" s="16">
        <v>80</v>
      </c>
    </row>
    <row r="142" spans="1:7" x14ac:dyDescent="0.25">
      <c r="A142" s="13" t="s">
        <v>2496</v>
      </c>
      <c r="B142" s="13">
        <v>1823</v>
      </c>
      <c r="C142" s="14" t="str">
        <f>+VLOOKUP(B142,[1]LISTE!$A$1:$D$431,4,FALSE)</f>
        <v>ACHOUR RAOUF</v>
      </c>
      <c r="D142" s="14" t="s">
        <v>22</v>
      </c>
      <c r="E142" s="15">
        <v>45898</v>
      </c>
      <c r="F142" s="14" t="s">
        <v>20</v>
      </c>
      <c r="G142" s="16">
        <v>172.065</v>
      </c>
    </row>
    <row r="143" spans="1:7" x14ac:dyDescent="0.25">
      <c r="A143" s="13" t="s">
        <v>2508</v>
      </c>
      <c r="B143" s="13">
        <v>1827</v>
      </c>
      <c r="C143" s="14" t="str">
        <f>+VLOOKUP(B143,[1]LISTE!$A$1:$D$431,4,FALSE)</f>
        <v>CHTIOUI HAMADI</v>
      </c>
      <c r="D143" s="14" t="s">
        <v>394</v>
      </c>
      <c r="E143" s="15">
        <v>45919</v>
      </c>
      <c r="F143" s="14" t="s">
        <v>18</v>
      </c>
      <c r="G143" s="16">
        <v>70</v>
      </c>
    </row>
    <row r="144" spans="1:7" x14ac:dyDescent="0.25">
      <c r="A144" s="13" t="s">
        <v>2508</v>
      </c>
      <c r="B144" s="13">
        <v>1827</v>
      </c>
      <c r="C144" s="14" t="str">
        <f>+VLOOKUP(B144,[1]LISTE!$A$1:$D$431,4,FALSE)</f>
        <v>CHTIOUI HAMADI</v>
      </c>
      <c r="D144" s="14" t="s">
        <v>394</v>
      </c>
      <c r="E144" s="15">
        <v>45925</v>
      </c>
      <c r="F144" s="14" t="s">
        <v>20</v>
      </c>
      <c r="G144" s="16">
        <v>2.68</v>
      </c>
    </row>
    <row r="145" spans="1:7" x14ac:dyDescent="0.25">
      <c r="A145" s="13" t="s">
        <v>2561</v>
      </c>
      <c r="B145" s="13">
        <v>1832</v>
      </c>
      <c r="C145" s="14" t="str">
        <f>+VLOOKUP(B145,[1]LISTE!$A$1:$D$431,4,FALSE)</f>
        <v>ERGUEZ MEJDI</v>
      </c>
      <c r="D145" s="14" t="s">
        <v>753</v>
      </c>
      <c r="E145" s="15">
        <v>45906</v>
      </c>
      <c r="F145" s="14" t="s">
        <v>18</v>
      </c>
      <c r="G145" s="16">
        <v>70</v>
      </c>
    </row>
    <row r="146" spans="1:7" x14ac:dyDescent="0.25">
      <c r="A146" s="13" t="s">
        <v>2561</v>
      </c>
      <c r="B146" s="13">
        <v>1832</v>
      </c>
      <c r="C146" s="14" t="str">
        <f>+VLOOKUP(B146,[1]LISTE!$A$1:$D$431,4,FALSE)</f>
        <v>ERGUEZ MEJDI</v>
      </c>
      <c r="D146" s="15" t="s">
        <v>753</v>
      </c>
      <c r="E146" s="15">
        <v>45906</v>
      </c>
      <c r="F146" s="14" t="s">
        <v>20</v>
      </c>
      <c r="G146" s="16">
        <v>137.07499999999999</v>
      </c>
    </row>
    <row r="147" spans="1:7" x14ac:dyDescent="0.25">
      <c r="A147" s="13" t="s">
        <v>2569</v>
      </c>
      <c r="B147" s="13">
        <v>1832</v>
      </c>
      <c r="C147" s="14" t="str">
        <f>+VLOOKUP(B147,[1]LISTE!$A$1:$D$431,4,FALSE)</f>
        <v>ERGUEZ MEJDI</v>
      </c>
      <c r="D147" s="15" t="s">
        <v>742</v>
      </c>
      <c r="E147" s="15">
        <v>45920</v>
      </c>
      <c r="F147" s="14" t="s">
        <v>18</v>
      </c>
      <c r="G147" s="16">
        <v>25</v>
      </c>
    </row>
    <row r="148" spans="1:7" x14ac:dyDescent="0.25">
      <c r="A148" s="13" t="s">
        <v>2569</v>
      </c>
      <c r="B148" s="13">
        <v>1832</v>
      </c>
      <c r="C148" s="14" t="str">
        <f>+VLOOKUP(B148,[1]LISTE!$A$1:$D$431,4,FALSE)</f>
        <v>ERGUEZ MEJDI</v>
      </c>
      <c r="D148" s="14" t="s">
        <v>742</v>
      </c>
      <c r="E148" s="15">
        <v>45927</v>
      </c>
      <c r="F148" s="14" t="s">
        <v>19</v>
      </c>
      <c r="G148" s="16">
        <v>37.31</v>
      </c>
    </row>
    <row r="149" spans="1:7" x14ac:dyDescent="0.25">
      <c r="A149" s="13" t="s">
        <v>2569</v>
      </c>
      <c r="B149" s="13">
        <v>1832</v>
      </c>
      <c r="C149" s="14" t="str">
        <f>+VLOOKUP(B149,[1]LISTE!$A$1:$D$431,4,FALSE)</f>
        <v>ERGUEZ MEJDI</v>
      </c>
      <c r="D149" s="14" t="s">
        <v>742</v>
      </c>
      <c r="E149" s="15">
        <v>45930</v>
      </c>
      <c r="F149" s="14" t="s">
        <v>20</v>
      </c>
      <c r="G149" s="16">
        <v>36.86</v>
      </c>
    </row>
    <row r="150" spans="1:7" x14ac:dyDescent="0.25">
      <c r="A150" s="13" t="s">
        <v>2516</v>
      </c>
      <c r="B150" s="13">
        <v>1833</v>
      </c>
      <c r="C150" s="14" t="str">
        <f>+VLOOKUP(B150,[1]LISTE!$A$1:$D$431,4,FALSE)</f>
        <v>BOUZAABIA MOHAMED</v>
      </c>
      <c r="D150" s="14" t="s">
        <v>22</v>
      </c>
      <c r="E150" s="15">
        <v>45929</v>
      </c>
      <c r="F150" s="14" t="s">
        <v>23</v>
      </c>
      <c r="G150" s="16">
        <v>40</v>
      </c>
    </row>
    <row r="151" spans="1:7" x14ac:dyDescent="0.25">
      <c r="A151" s="13" t="s">
        <v>2516</v>
      </c>
      <c r="B151" s="13">
        <v>1833</v>
      </c>
      <c r="C151" s="14" t="str">
        <f>+VLOOKUP(B151,[1]LISTE!$A$1:$D$431,4,FALSE)</f>
        <v>BOUZAABIA MOHAMED</v>
      </c>
      <c r="D151" s="14" t="s">
        <v>22</v>
      </c>
      <c r="E151" s="15">
        <v>45929</v>
      </c>
      <c r="F151" s="14" t="s">
        <v>20</v>
      </c>
      <c r="G151" s="16">
        <v>15.085000000000001</v>
      </c>
    </row>
    <row r="152" spans="1:7" x14ac:dyDescent="0.25">
      <c r="A152" s="13" t="s">
        <v>2548</v>
      </c>
      <c r="B152" s="13">
        <v>1833</v>
      </c>
      <c r="C152" s="14" t="str">
        <f>+VLOOKUP(B152,[1]LISTE!$A$1:$D$431,4,FALSE)</f>
        <v>BOUZAABIA MOHAMED</v>
      </c>
      <c r="D152" s="14" t="s">
        <v>22</v>
      </c>
      <c r="E152" s="15">
        <v>45936</v>
      </c>
      <c r="F152" s="14" t="s">
        <v>23</v>
      </c>
      <c r="G152" s="16">
        <v>40</v>
      </c>
    </row>
    <row r="153" spans="1:7" x14ac:dyDescent="0.25">
      <c r="A153" s="13" t="s">
        <v>2548</v>
      </c>
      <c r="B153" s="13">
        <v>1833</v>
      </c>
      <c r="C153" s="14" t="str">
        <f>+VLOOKUP(B153,[1]LISTE!$A$1:$D$431,4,FALSE)</f>
        <v>BOUZAABIA MOHAMED</v>
      </c>
      <c r="D153" s="14" t="s">
        <v>22</v>
      </c>
      <c r="E153" s="15">
        <v>45936</v>
      </c>
      <c r="F153" s="14" t="s">
        <v>20</v>
      </c>
      <c r="G153" s="16">
        <v>56.514000000000003</v>
      </c>
    </row>
    <row r="154" spans="1:7" x14ac:dyDescent="0.25">
      <c r="A154" s="13" t="s">
        <v>2620</v>
      </c>
      <c r="B154" s="13">
        <v>1833</v>
      </c>
      <c r="C154" s="14" t="str">
        <f>+VLOOKUP(B154,[1]LISTE!$A$1:$D$431,4,FALSE)</f>
        <v>BOUZAABIA MOHAMED</v>
      </c>
      <c r="D154" s="14" t="s">
        <v>79</v>
      </c>
      <c r="E154" s="15">
        <v>45940</v>
      </c>
      <c r="F154" s="14" t="s">
        <v>23</v>
      </c>
      <c r="G154" s="16">
        <v>40</v>
      </c>
    </row>
    <row r="155" spans="1:7" x14ac:dyDescent="0.25">
      <c r="A155" s="13" t="s">
        <v>2620</v>
      </c>
      <c r="B155" s="13">
        <v>1833</v>
      </c>
      <c r="C155" s="14" t="str">
        <f>+VLOOKUP(B155,[1]LISTE!$A$1:$D$431,4,FALSE)</f>
        <v>BOUZAABIA MOHAMED</v>
      </c>
      <c r="D155" s="14" t="s">
        <v>79</v>
      </c>
      <c r="E155" s="15">
        <v>45941</v>
      </c>
      <c r="F155" s="14" t="s">
        <v>20</v>
      </c>
      <c r="G155" s="16">
        <v>70.212000000000003</v>
      </c>
    </row>
    <row r="156" spans="1:7" x14ac:dyDescent="0.25">
      <c r="A156" s="13" t="s">
        <v>2500</v>
      </c>
      <c r="B156" s="13">
        <v>1849</v>
      </c>
      <c r="C156" s="14" t="str">
        <f>+VLOOKUP(B156,[1]LISTE!$A$1:$D$431,4,FALSE)</f>
        <v>GANHOUBA MEHDI</v>
      </c>
      <c r="D156" s="15" t="s">
        <v>22</v>
      </c>
      <c r="E156" s="15">
        <v>45925</v>
      </c>
      <c r="F156" s="14" t="s">
        <v>23</v>
      </c>
      <c r="G156" s="16">
        <v>45</v>
      </c>
    </row>
    <row r="157" spans="1:7" x14ac:dyDescent="0.25">
      <c r="A157" s="13" t="s">
        <v>2500</v>
      </c>
      <c r="B157" s="13">
        <v>1849</v>
      </c>
      <c r="C157" s="14" t="str">
        <f>+VLOOKUP(B157,[1]LISTE!$A$1:$D$431,4,FALSE)</f>
        <v>GANHOUBA MEHDI</v>
      </c>
      <c r="D157" s="14" t="s">
        <v>22</v>
      </c>
      <c r="E157" s="15">
        <v>45925</v>
      </c>
      <c r="F157" s="14" t="s">
        <v>20</v>
      </c>
      <c r="G157" s="16">
        <v>31.015000000000001</v>
      </c>
    </row>
    <row r="158" spans="1:7" x14ac:dyDescent="0.25">
      <c r="A158" s="13" t="s">
        <v>2509</v>
      </c>
      <c r="B158" s="13">
        <v>1857</v>
      </c>
      <c r="C158" s="14" t="str">
        <f>+VLOOKUP(B158,[1]LISTE!$A$1:$D$431,4,FALSE)</f>
        <v>NOUIRA BOUJEBHA RAMZI</v>
      </c>
      <c r="D158" s="14" t="s">
        <v>22</v>
      </c>
      <c r="E158" s="15">
        <v>45919</v>
      </c>
      <c r="F158" s="14" t="s">
        <v>18</v>
      </c>
      <c r="G158" s="16">
        <v>70</v>
      </c>
    </row>
    <row r="159" spans="1:7" x14ac:dyDescent="0.25">
      <c r="A159" s="13" t="s">
        <v>2509</v>
      </c>
      <c r="B159" s="13">
        <v>1857</v>
      </c>
      <c r="C159" s="14" t="str">
        <f>+VLOOKUP(B159,[1]LISTE!$A$1:$D$431,4,FALSE)</f>
        <v>NOUIRA BOUJEBHA RAMZI</v>
      </c>
      <c r="D159" s="14" t="s">
        <v>22</v>
      </c>
      <c r="E159" s="15">
        <v>45919</v>
      </c>
      <c r="F159" s="14" t="s">
        <v>20</v>
      </c>
      <c r="G159" s="16">
        <v>30.445</v>
      </c>
    </row>
    <row r="160" spans="1:7" x14ac:dyDescent="0.25">
      <c r="A160" s="13" t="s">
        <v>2549</v>
      </c>
      <c r="B160" s="13">
        <v>1861</v>
      </c>
      <c r="C160" s="14" t="str">
        <f>+VLOOKUP(B160,[1]LISTE!$A$1:$D$431,4,FALSE)</f>
        <v>BOUHLEL ANIS BEN MUSTAPHA</v>
      </c>
      <c r="D160" s="14" t="s">
        <v>22</v>
      </c>
      <c r="E160" s="15">
        <v>45936</v>
      </c>
      <c r="F160" s="14" t="s">
        <v>23</v>
      </c>
      <c r="G160" s="16">
        <v>40</v>
      </c>
    </row>
    <row r="161" spans="1:7" x14ac:dyDescent="0.25">
      <c r="A161" s="13" t="s">
        <v>2549</v>
      </c>
      <c r="B161" s="13">
        <v>1861</v>
      </c>
      <c r="C161" s="14" t="str">
        <f>+VLOOKUP(B161,[1]LISTE!$A$1:$D$431,4,FALSE)</f>
        <v>BOUHLEL ANIS BEN MUSTAPHA</v>
      </c>
      <c r="D161" s="15" t="s">
        <v>22</v>
      </c>
      <c r="E161" s="15">
        <v>45936</v>
      </c>
      <c r="F161" s="14" t="s">
        <v>20</v>
      </c>
      <c r="G161" s="16">
        <v>67.807000000000002</v>
      </c>
    </row>
    <row r="162" spans="1:7" x14ac:dyDescent="0.25">
      <c r="A162" s="13" t="s">
        <v>2532</v>
      </c>
      <c r="B162" s="13">
        <v>1896</v>
      </c>
      <c r="C162" s="14" t="str">
        <f>+VLOOKUP(B162,[1]LISTE!$A$1:$D$431,4,FALSE)</f>
        <v>LAJIMI ABDELKADER</v>
      </c>
      <c r="D162" s="14" t="s">
        <v>47</v>
      </c>
      <c r="E162" s="15">
        <v>45925</v>
      </c>
      <c r="F162" s="14" t="s">
        <v>20</v>
      </c>
      <c r="G162" s="16">
        <v>143.184</v>
      </c>
    </row>
    <row r="163" spans="1:7" x14ac:dyDescent="0.25">
      <c r="A163" s="13" t="s">
        <v>2594</v>
      </c>
      <c r="B163" s="13">
        <v>1897</v>
      </c>
      <c r="C163" s="14" t="str">
        <f>+VLOOKUP(B163,[1]LISTE!$A$1:$D$431,4,FALSE)</f>
        <v>BOHLI AMOR</v>
      </c>
      <c r="D163" s="14" t="s">
        <v>22</v>
      </c>
      <c r="E163" s="15">
        <v>45937</v>
      </c>
      <c r="F163" s="14" t="s">
        <v>23</v>
      </c>
      <c r="G163" s="16">
        <v>40</v>
      </c>
    </row>
    <row r="164" spans="1:7" x14ac:dyDescent="0.25">
      <c r="A164" s="13" t="s">
        <v>2594</v>
      </c>
      <c r="B164" s="13">
        <v>1897</v>
      </c>
      <c r="C164" s="14" t="str">
        <f>+VLOOKUP(B164,[1]LISTE!$A$1:$D$431,4,FALSE)</f>
        <v>BOHLI AMOR</v>
      </c>
      <c r="D164" s="14" t="s">
        <v>22</v>
      </c>
      <c r="E164" s="15">
        <v>45937</v>
      </c>
      <c r="F164" s="14" t="s">
        <v>20</v>
      </c>
      <c r="G164" s="16">
        <v>99.22</v>
      </c>
    </row>
    <row r="165" spans="1:7" x14ac:dyDescent="0.25">
      <c r="A165" s="13" t="s">
        <v>2484</v>
      </c>
      <c r="B165" s="13">
        <v>1905</v>
      </c>
      <c r="C165" s="14" t="str">
        <f>+VLOOKUP(B165,[1]LISTE!$A$1:$D$431,4,FALSE)</f>
        <v>LADHARI MOHAMED</v>
      </c>
      <c r="D165" s="14" t="s">
        <v>2299</v>
      </c>
      <c r="E165" s="15">
        <v>45927</v>
      </c>
      <c r="F165" s="14" t="s">
        <v>18</v>
      </c>
      <c r="G165" s="16">
        <v>70</v>
      </c>
    </row>
    <row r="166" spans="1:7" x14ac:dyDescent="0.25">
      <c r="A166" s="13" t="s">
        <v>2484</v>
      </c>
      <c r="B166" s="13">
        <v>1905</v>
      </c>
      <c r="C166" s="14" t="str">
        <f>+VLOOKUP(B166,[1]LISTE!$A$1:$D$431,4,FALSE)</f>
        <v>LADHARI MOHAMED</v>
      </c>
      <c r="D166" s="14" t="s">
        <v>2299</v>
      </c>
      <c r="E166" s="15">
        <v>45927</v>
      </c>
      <c r="F166" s="14" t="s">
        <v>69</v>
      </c>
      <c r="G166" s="16">
        <v>141</v>
      </c>
    </row>
    <row r="167" spans="1:7" x14ac:dyDescent="0.25">
      <c r="A167" s="13" t="s">
        <v>2526</v>
      </c>
      <c r="B167" s="13">
        <v>1915</v>
      </c>
      <c r="C167" s="14" t="str">
        <f>+VLOOKUP(B167,[1]LISTE!$A$1:$D$431,4,FALSE)</f>
        <v>BEN ABDALLAH MOHAMED SALAH</v>
      </c>
      <c r="D167" s="14" t="s">
        <v>206</v>
      </c>
      <c r="E167" s="15">
        <v>45909</v>
      </c>
      <c r="F167" s="14" t="s">
        <v>23</v>
      </c>
      <c r="G167" s="16">
        <v>50</v>
      </c>
    </row>
    <row r="168" spans="1:7" x14ac:dyDescent="0.25">
      <c r="A168" s="13" t="s">
        <v>2526</v>
      </c>
      <c r="B168" s="13">
        <v>1915</v>
      </c>
      <c r="C168" s="14" t="str">
        <f>+VLOOKUP(B168,[1]LISTE!$A$1:$D$431,4,FALSE)</f>
        <v>BEN ABDALLAH MOHAMED SALAH</v>
      </c>
      <c r="D168" s="15" t="s">
        <v>206</v>
      </c>
      <c r="E168" s="15">
        <v>45909</v>
      </c>
      <c r="F168" s="14" t="s">
        <v>20</v>
      </c>
      <c r="G168" s="16">
        <v>16.966999999999999</v>
      </c>
    </row>
    <row r="169" spans="1:7" x14ac:dyDescent="0.25">
      <c r="A169" s="13" t="s">
        <v>2526</v>
      </c>
      <c r="B169" s="13">
        <v>1915</v>
      </c>
      <c r="C169" s="14" t="str">
        <f>+VLOOKUP(B169,[1]LISTE!$A$1:$D$431,4,FALSE)</f>
        <v>BEN ABDALLAH MOHAMED SALAH</v>
      </c>
      <c r="D169" s="14" t="s">
        <v>206</v>
      </c>
      <c r="E169" s="15">
        <v>45909</v>
      </c>
      <c r="F169" s="14" t="s">
        <v>20</v>
      </c>
      <c r="G169" s="16">
        <v>25</v>
      </c>
    </row>
    <row r="170" spans="1:7" x14ac:dyDescent="0.25">
      <c r="A170" s="13" t="s">
        <v>2526</v>
      </c>
      <c r="B170" s="13">
        <v>1915</v>
      </c>
      <c r="C170" s="14" t="str">
        <f>+VLOOKUP(B170,[1]LISTE!$A$1:$D$431,4,FALSE)</f>
        <v>BEN ABDALLAH MOHAMED SALAH</v>
      </c>
      <c r="D170" s="14" t="s">
        <v>206</v>
      </c>
      <c r="E170" s="15">
        <v>45915</v>
      </c>
      <c r="F170" s="14" t="s">
        <v>24</v>
      </c>
      <c r="G170" s="16">
        <v>50</v>
      </c>
    </row>
    <row r="171" spans="1:7" x14ac:dyDescent="0.25">
      <c r="A171" s="13" t="s">
        <v>2527</v>
      </c>
      <c r="B171" s="13">
        <v>1915</v>
      </c>
      <c r="C171" s="14" t="str">
        <f>+VLOOKUP(B171,[1]LISTE!$A$1:$D$431,4,FALSE)</f>
        <v>BEN ABDALLAH MOHAMED SALAH</v>
      </c>
      <c r="D171" s="14" t="s">
        <v>22</v>
      </c>
      <c r="E171" s="15">
        <v>45918</v>
      </c>
      <c r="F171" s="14" t="s">
        <v>23</v>
      </c>
      <c r="G171" s="16">
        <v>40</v>
      </c>
    </row>
    <row r="172" spans="1:7" x14ac:dyDescent="0.25">
      <c r="A172" s="13" t="s">
        <v>2527</v>
      </c>
      <c r="B172" s="13">
        <v>1915</v>
      </c>
      <c r="C172" s="14" t="str">
        <f>+VLOOKUP(B172,[1]LISTE!$A$1:$D$431,4,FALSE)</f>
        <v>BEN ABDALLAH MOHAMED SALAH</v>
      </c>
      <c r="D172" s="14" t="s">
        <v>22</v>
      </c>
      <c r="E172" s="15">
        <v>45918</v>
      </c>
      <c r="F172" s="14" t="s">
        <v>20</v>
      </c>
      <c r="G172" s="16">
        <v>11.535</v>
      </c>
    </row>
    <row r="173" spans="1:7" x14ac:dyDescent="0.25">
      <c r="A173" s="13" t="s">
        <v>2584</v>
      </c>
      <c r="B173" s="13">
        <v>1919</v>
      </c>
      <c r="C173" s="14" t="str">
        <f>+VLOOKUP(B173,[1]LISTE!$A$1:$D$431,4,FALSE)</f>
        <v>SOUA LAYOUNI MOHAMED</v>
      </c>
      <c r="D173" s="14" t="s">
        <v>790</v>
      </c>
      <c r="E173" s="15">
        <v>45933</v>
      </c>
      <c r="F173" s="14" t="s">
        <v>21</v>
      </c>
      <c r="G173" s="16">
        <v>160</v>
      </c>
    </row>
    <row r="174" spans="1:7" x14ac:dyDescent="0.25">
      <c r="A174" s="13" t="s">
        <v>2482</v>
      </c>
      <c r="B174" s="13">
        <v>1922</v>
      </c>
      <c r="C174" s="14" t="str">
        <f>+VLOOKUP(B174,[1]LISTE!$A$1:$D$431,4,FALSE)</f>
        <v>MAHJOUB FAKER</v>
      </c>
      <c r="D174" s="14" t="s">
        <v>22</v>
      </c>
      <c r="E174" s="15">
        <v>45927</v>
      </c>
      <c r="F174" s="14" t="s">
        <v>23</v>
      </c>
      <c r="G174" s="16">
        <v>45</v>
      </c>
    </row>
    <row r="175" spans="1:7" x14ac:dyDescent="0.25">
      <c r="A175" s="13" t="s">
        <v>2482</v>
      </c>
      <c r="B175" s="13">
        <v>1922</v>
      </c>
      <c r="C175" s="14" t="str">
        <f>+VLOOKUP(B175,[1]LISTE!$A$1:$D$431,4,FALSE)</f>
        <v>MAHJOUB FAKER</v>
      </c>
      <c r="D175" s="15" t="s">
        <v>22</v>
      </c>
      <c r="E175" s="15">
        <v>45927</v>
      </c>
      <c r="F175" s="14" t="s">
        <v>20</v>
      </c>
      <c r="G175" s="16">
        <v>76.507000000000005</v>
      </c>
    </row>
    <row r="176" spans="1:7" x14ac:dyDescent="0.25">
      <c r="A176" s="13" t="s">
        <v>2541</v>
      </c>
      <c r="B176" s="13">
        <v>1922</v>
      </c>
      <c r="C176" s="14" t="str">
        <f>+VLOOKUP(B176,[1]LISTE!$A$1:$D$431,4,FALSE)</f>
        <v>MAHJOUB FAKER</v>
      </c>
      <c r="D176" s="14" t="s">
        <v>371</v>
      </c>
      <c r="E176" s="15">
        <v>45892</v>
      </c>
      <c r="F176" s="14" t="s">
        <v>18</v>
      </c>
      <c r="G176" s="16">
        <v>80</v>
      </c>
    </row>
    <row r="177" spans="1:7" x14ac:dyDescent="0.25">
      <c r="A177" s="13" t="s">
        <v>2541</v>
      </c>
      <c r="B177" s="13">
        <v>1922</v>
      </c>
      <c r="C177" s="14" t="str">
        <f>+VLOOKUP(B177,[1]LISTE!$A$1:$D$431,4,FALSE)</f>
        <v>MAHJOUB FAKER</v>
      </c>
      <c r="D177" s="14" t="s">
        <v>371</v>
      </c>
      <c r="E177" s="15">
        <v>45898</v>
      </c>
      <c r="F177" s="14" t="s">
        <v>20</v>
      </c>
      <c r="G177" s="16">
        <v>24.37</v>
      </c>
    </row>
    <row r="178" spans="1:7" x14ac:dyDescent="0.25">
      <c r="A178" s="13" t="s">
        <v>2590</v>
      </c>
      <c r="B178" s="13">
        <v>1928</v>
      </c>
      <c r="C178" s="14" t="str">
        <f>+VLOOKUP(B178,[1]LISTE!$A$1:$D$431,4,FALSE)</f>
        <v>ZAGGAR JAMEL</v>
      </c>
      <c r="D178" s="14" t="s">
        <v>2591</v>
      </c>
      <c r="E178" s="15">
        <v>45894</v>
      </c>
      <c r="F178" s="14" t="s">
        <v>21</v>
      </c>
      <c r="G178" s="16">
        <v>70</v>
      </c>
    </row>
    <row r="179" spans="1:7" x14ac:dyDescent="0.25">
      <c r="A179" s="13" t="s">
        <v>2600</v>
      </c>
      <c r="B179" s="13">
        <v>1954</v>
      </c>
      <c r="C179" s="14" t="str">
        <f>+VLOOKUP(B179,[1]LISTE!$A$1:$D$431,4,FALSE)</f>
        <v>REGAIEG NADER</v>
      </c>
      <c r="D179" s="14" t="s">
        <v>2601</v>
      </c>
      <c r="E179" s="15">
        <v>45936</v>
      </c>
      <c r="F179" s="14" t="s">
        <v>18</v>
      </c>
      <c r="G179" s="16">
        <v>60</v>
      </c>
    </row>
    <row r="180" spans="1:7" x14ac:dyDescent="0.25">
      <c r="A180" s="13" t="s">
        <v>2600</v>
      </c>
      <c r="B180" s="13">
        <v>1954</v>
      </c>
      <c r="C180" s="14" t="str">
        <f>+VLOOKUP(B180,[1]LISTE!$A$1:$D$431,4,FALSE)</f>
        <v>REGAIEG NADER</v>
      </c>
      <c r="D180" s="14" t="s">
        <v>2601</v>
      </c>
      <c r="E180" s="15">
        <v>45936</v>
      </c>
      <c r="F180" s="14" t="s">
        <v>20</v>
      </c>
      <c r="G180" s="16">
        <v>55.66</v>
      </c>
    </row>
    <row r="181" spans="1:7" x14ac:dyDescent="0.25">
      <c r="A181" s="13" t="s">
        <v>2520</v>
      </c>
      <c r="B181" s="13">
        <v>1961</v>
      </c>
      <c r="C181" s="14" t="str">
        <f>+VLOOKUP(B181,[1]LISTE!$A$1:$D$431,4,FALSE)</f>
        <v>HEDFI ANIS</v>
      </c>
      <c r="D181" s="14" t="s">
        <v>1088</v>
      </c>
      <c r="E181" s="15">
        <v>45915</v>
      </c>
      <c r="F181" s="14" t="s">
        <v>18</v>
      </c>
      <c r="G181" s="16">
        <v>70</v>
      </c>
    </row>
    <row r="182" spans="1:7" x14ac:dyDescent="0.25">
      <c r="A182" s="13" t="s">
        <v>2520</v>
      </c>
      <c r="B182" s="13">
        <v>1961</v>
      </c>
      <c r="C182" s="14" t="str">
        <f>+VLOOKUP(B182,[1]LISTE!$A$1:$D$431,4,FALSE)</f>
        <v>HEDFI ANIS</v>
      </c>
      <c r="D182" s="14" t="s">
        <v>1088</v>
      </c>
      <c r="E182" s="15">
        <v>45915</v>
      </c>
      <c r="F182" s="14" t="s">
        <v>20</v>
      </c>
      <c r="G182" s="16">
        <v>27.34</v>
      </c>
    </row>
    <row r="183" spans="1:7" x14ac:dyDescent="0.25">
      <c r="A183" s="13" t="s">
        <v>2623</v>
      </c>
      <c r="B183" s="13">
        <v>1978</v>
      </c>
      <c r="C183" s="14" t="str">
        <f>+VLOOKUP(B183,[1]LISTE!$A$1:$D$431,4,FALSE)</f>
        <v>MAHJOUB AHMED</v>
      </c>
      <c r="D183" s="14" t="s">
        <v>2624</v>
      </c>
      <c r="E183" s="15">
        <v>45939</v>
      </c>
      <c r="F183" s="14" t="s">
        <v>18</v>
      </c>
      <c r="G183" s="16">
        <v>70</v>
      </c>
    </row>
    <row r="184" spans="1:7" x14ac:dyDescent="0.25">
      <c r="A184" s="13" t="s">
        <v>2623</v>
      </c>
      <c r="B184" s="13">
        <v>1978</v>
      </c>
      <c r="C184" s="14" t="str">
        <f>+VLOOKUP(B184,[1]LISTE!$A$1:$D$431,4,FALSE)</f>
        <v>MAHJOUB AHMED</v>
      </c>
      <c r="D184" s="14" t="s">
        <v>2624</v>
      </c>
      <c r="E184" s="15">
        <v>45939</v>
      </c>
      <c r="F184" s="14" t="s">
        <v>20</v>
      </c>
      <c r="G184" s="16">
        <v>7.18</v>
      </c>
    </row>
    <row r="185" spans="1:7" x14ac:dyDescent="0.25">
      <c r="A185" s="13" t="s">
        <v>2623</v>
      </c>
      <c r="B185" s="13">
        <v>1978</v>
      </c>
      <c r="C185" s="14" t="str">
        <f>+VLOOKUP(B185,[1]LISTE!$A$1:$D$431,4,FALSE)</f>
        <v>MAHJOUB AHMED</v>
      </c>
      <c r="D185" s="14" t="s">
        <v>2624</v>
      </c>
      <c r="E185" s="15">
        <v>45939</v>
      </c>
      <c r="F185" s="14" t="s">
        <v>69</v>
      </c>
      <c r="G185" s="16">
        <v>120</v>
      </c>
    </row>
    <row r="186" spans="1:7" x14ac:dyDescent="0.25">
      <c r="A186" s="13" t="s">
        <v>2625</v>
      </c>
      <c r="B186" s="13">
        <v>1978</v>
      </c>
      <c r="C186" s="14" t="str">
        <f>+VLOOKUP(B186,[1]LISTE!$A$1:$D$431,4,FALSE)</f>
        <v>MAHJOUB AHMED</v>
      </c>
      <c r="D186" s="14" t="s">
        <v>418</v>
      </c>
      <c r="E186" s="15">
        <v>45939</v>
      </c>
      <c r="F186" s="14" t="s">
        <v>18</v>
      </c>
      <c r="G186" s="16">
        <v>70</v>
      </c>
    </row>
    <row r="187" spans="1:7" x14ac:dyDescent="0.25">
      <c r="A187" s="13" t="s">
        <v>2625</v>
      </c>
      <c r="B187" s="13">
        <v>1978</v>
      </c>
      <c r="C187" s="14" t="str">
        <f>+VLOOKUP(B187,[1]LISTE!$A$1:$D$431,4,FALSE)</f>
        <v>MAHJOUB AHMED</v>
      </c>
      <c r="D187" s="14" t="s">
        <v>418</v>
      </c>
      <c r="E187" s="15">
        <v>45939</v>
      </c>
      <c r="F187" s="14" t="s">
        <v>20</v>
      </c>
      <c r="G187" s="16">
        <v>7.18</v>
      </c>
    </row>
    <row r="188" spans="1:7" x14ac:dyDescent="0.25">
      <c r="A188" s="13" t="s">
        <v>2625</v>
      </c>
      <c r="B188" s="13">
        <v>1978</v>
      </c>
      <c r="C188" s="14" t="str">
        <f>+VLOOKUP(B188,[1]LISTE!$A$1:$D$431,4,FALSE)</f>
        <v>MAHJOUB AHMED</v>
      </c>
      <c r="D188" s="14" t="s">
        <v>418</v>
      </c>
      <c r="E188" s="15">
        <v>45939</v>
      </c>
      <c r="F188" s="14" t="s">
        <v>69</v>
      </c>
      <c r="G188" s="16">
        <v>120</v>
      </c>
    </row>
    <row r="189" spans="1:7" x14ac:dyDescent="0.25">
      <c r="A189" s="13" t="s">
        <v>2523</v>
      </c>
      <c r="B189" s="13">
        <v>1980</v>
      </c>
      <c r="C189" s="14" t="str">
        <f>+VLOOKUP(B189,[1]LISTE!$A$1:$D$431,4,FALSE)</f>
        <v>MLAYEH YOUSSEF</v>
      </c>
      <c r="D189" s="15" t="s">
        <v>2262</v>
      </c>
      <c r="E189" s="15">
        <v>45927</v>
      </c>
      <c r="F189" s="14" t="s">
        <v>24</v>
      </c>
      <c r="G189" s="16">
        <v>50</v>
      </c>
    </row>
    <row r="190" spans="1:7" x14ac:dyDescent="0.25">
      <c r="A190" s="13" t="s">
        <v>2536</v>
      </c>
      <c r="B190" s="13">
        <v>1990</v>
      </c>
      <c r="C190" s="14" t="s">
        <v>360</v>
      </c>
      <c r="D190" s="14" t="s">
        <v>186</v>
      </c>
      <c r="E190" s="15">
        <v>45931</v>
      </c>
      <c r="F190" s="14" t="s">
        <v>18</v>
      </c>
      <c r="G190" s="16">
        <v>60</v>
      </c>
    </row>
    <row r="191" spans="1:7" x14ac:dyDescent="0.25">
      <c r="A191" s="13" t="s">
        <v>2536</v>
      </c>
      <c r="B191" s="13">
        <v>1990</v>
      </c>
      <c r="C191" s="14" t="s">
        <v>360</v>
      </c>
      <c r="D191" s="14" t="s">
        <v>186</v>
      </c>
      <c r="E191" s="15">
        <v>45931</v>
      </c>
      <c r="F191" s="14" t="s">
        <v>20</v>
      </c>
      <c r="G191" s="16">
        <v>17.161999999999999</v>
      </c>
    </row>
    <row r="192" spans="1:7" x14ac:dyDescent="0.25">
      <c r="A192" s="13" t="s">
        <v>2486</v>
      </c>
      <c r="B192" s="13">
        <v>2004</v>
      </c>
      <c r="C192" s="14" t="str">
        <f>+VLOOKUP(B192,[1]LISTE!$A$1:$D$431,4,FALSE)</f>
        <v>LAAJILI LOTFI</v>
      </c>
      <c r="D192" s="15" t="s">
        <v>22</v>
      </c>
      <c r="E192" s="15">
        <v>45925</v>
      </c>
      <c r="F192" s="14" t="s">
        <v>23</v>
      </c>
      <c r="G192" s="16">
        <v>45</v>
      </c>
    </row>
    <row r="193" spans="1:7" x14ac:dyDescent="0.25">
      <c r="A193" s="13" t="s">
        <v>2486</v>
      </c>
      <c r="B193" s="13">
        <v>2004</v>
      </c>
      <c r="C193" s="14" t="str">
        <f>+VLOOKUP(B193,[1]LISTE!$A$1:$D$431,4,FALSE)</f>
        <v>LAAJILI LOTFI</v>
      </c>
      <c r="D193" s="15" t="s">
        <v>22</v>
      </c>
      <c r="E193" s="15">
        <v>45926</v>
      </c>
      <c r="F193" s="14" t="s">
        <v>20</v>
      </c>
      <c r="G193" s="16">
        <v>5.125</v>
      </c>
    </row>
    <row r="194" spans="1:7" x14ac:dyDescent="0.25">
      <c r="A194" s="13" t="s">
        <v>2510</v>
      </c>
      <c r="B194" s="13">
        <v>2004</v>
      </c>
      <c r="C194" s="14" t="str">
        <f>+VLOOKUP(B194,[1]LISTE!$A$1:$D$431,4,FALSE)</f>
        <v>LAAJILI LOTFI</v>
      </c>
      <c r="D194" s="14" t="s">
        <v>1849</v>
      </c>
      <c r="E194" s="15">
        <v>45888</v>
      </c>
      <c r="F194" s="14" t="s">
        <v>18</v>
      </c>
      <c r="G194" s="16">
        <v>70</v>
      </c>
    </row>
    <row r="195" spans="1:7" x14ac:dyDescent="0.25">
      <c r="A195" s="13" t="s">
        <v>2510</v>
      </c>
      <c r="B195" s="13">
        <v>2004</v>
      </c>
      <c r="C195" s="14" t="str">
        <f>+VLOOKUP(B195,[1]LISTE!$A$1:$D$431,4,FALSE)</f>
        <v>LAAJILI LOTFI</v>
      </c>
      <c r="D195" s="14" t="s">
        <v>1849</v>
      </c>
      <c r="E195" s="15">
        <v>45926</v>
      </c>
      <c r="F195" s="14" t="s">
        <v>69</v>
      </c>
      <c r="G195" s="16">
        <v>310</v>
      </c>
    </row>
    <row r="196" spans="1:7" x14ac:dyDescent="0.25">
      <c r="A196" s="13" t="s">
        <v>2573</v>
      </c>
      <c r="B196" s="13">
        <v>2017</v>
      </c>
      <c r="C196" s="14" t="s">
        <v>1301</v>
      </c>
      <c r="D196" s="14" t="s">
        <v>2574</v>
      </c>
      <c r="E196" s="15">
        <v>45911</v>
      </c>
      <c r="F196" s="14" t="s">
        <v>18</v>
      </c>
      <c r="G196" s="16">
        <v>70</v>
      </c>
    </row>
    <row r="197" spans="1:7" x14ac:dyDescent="0.25">
      <c r="A197" s="13" t="s">
        <v>2573</v>
      </c>
      <c r="B197" s="13">
        <v>2017</v>
      </c>
      <c r="C197" s="14" t="s">
        <v>1301</v>
      </c>
      <c r="D197" s="14" t="s">
        <v>2574</v>
      </c>
      <c r="E197" s="15">
        <v>45911</v>
      </c>
      <c r="F197" s="14" t="s">
        <v>20</v>
      </c>
      <c r="G197" s="16">
        <v>26.166</v>
      </c>
    </row>
    <row r="198" spans="1:7" x14ac:dyDescent="0.25">
      <c r="A198" s="13" t="s">
        <v>2573</v>
      </c>
      <c r="B198" s="13">
        <v>2017</v>
      </c>
      <c r="C198" s="14" t="s">
        <v>1301</v>
      </c>
      <c r="D198" s="14" t="s">
        <v>2574</v>
      </c>
      <c r="E198" s="15">
        <v>45922</v>
      </c>
      <c r="F198" s="14" t="s">
        <v>20</v>
      </c>
      <c r="G198" s="16">
        <v>52.691000000000003</v>
      </c>
    </row>
    <row r="199" spans="1:7" x14ac:dyDescent="0.25">
      <c r="A199" s="13" t="s">
        <v>2489</v>
      </c>
      <c r="B199" s="13">
        <v>2048</v>
      </c>
      <c r="C199" s="14" t="str">
        <f>+VLOOKUP(B199,[1]LISTE!$A$1:$D$431,4,FALSE)</f>
        <v>BEL HADJ FREDJ NOUREDDINE</v>
      </c>
      <c r="D199" s="14" t="s">
        <v>22</v>
      </c>
      <c r="E199" s="15">
        <v>45927</v>
      </c>
      <c r="F199" s="14" t="s">
        <v>18</v>
      </c>
      <c r="G199" s="16">
        <v>90</v>
      </c>
    </row>
    <row r="200" spans="1:7" x14ac:dyDescent="0.25">
      <c r="A200" s="13" t="s">
        <v>2489</v>
      </c>
      <c r="B200" s="13">
        <v>2048</v>
      </c>
      <c r="C200" s="14" t="str">
        <f>+VLOOKUP(B200,[1]LISTE!$A$1:$D$431,4,FALSE)</f>
        <v>BEL HADJ FREDJ NOUREDDINE</v>
      </c>
      <c r="D200" s="14" t="s">
        <v>22</v>
      </c>
      <c r="E200" s="15">
        <v>45927</v>
      </c>
      <c r="F200" s="14" t="s">
        <v>20</v>
      </c>
      <c r="G200" s="16">
        <v>4.2450000000000001</v>
      </c>
    </row>
    <row r="201" spans="1:7" x14ac:dyDescent="0.25">
      <c r="A201" s="13" t="s">
        <v>2490</v>
      </c>
      <c r="B201" s="13">
        <v>2048</v>
      </c>
      <c r="C201" s="14" t="str">
        <f>+VLOOKUP(B201,[1]LISTE!$A$1:$D$431,4,FALSE)</f>
        <v>BEL HADJ FREDJ NOUREDDINE</v>
      </c>
      <c r="D201" s="14" t="s">
        <v>2491</v>
      </c>
      <c r="E201" s="15">
        <v>45926</v>
      </c>
      <c r="F201" s="14" t="s">
        <v>19</v>
      </c>
      <c r="G201" s="16">
        <v>46.87</v>
      </c>
    </row>
    <row r="202" spans="1:7" x14ac:dyDescent="0.25">
      <c r="A202" s="13" t="s">
        <v>2608</v>
      </c>
      <c r="B202" s="13">
        <v>2058</v>
      </c>
      <c r="C202" s="14" t="str">
        <f>+VLOOKUP(B202,[1]LISTE!$A$1:$D$431,4,FALSE)</f>
        <v>GUEZGUEZ HICHEM</v>
      </c>
      <c r="D202" s="14" t="s">
        <v>322</v>
      </c>
      <c r="E202" s="15">
        <v>45932</v>
      </c>
      <c r="F202" s="14" t="s">
        <v>18</v>
      </c>
      <c r="G202" s="16">
        <v>60</v>
      </c>
    </row>
    <row r="203" spans="1:7" x14ac:dyDescent="0.25">
      <c r="A203" s="13" t="s">
        <v>2499</v>
      </c>
      <c r="B203" s="13">
        <v>2059</v>
      </c>
      <c r="C203" s="14" t="str">
        <f>+VLOOKUP(B203,[1]LISTE!$A$1:$D$431,4,FALSE)</f>
        <v>LAHDHIRI KACEM</v>
      </c>
      <c r="D203" s="15" t="s">
        <v>22</v>
      </c>
      <c r="E203" s="15">
        <v>45925</v>
      </c>
      <c r="F203" s="14" t="s">
        <v>24</v>
      </c>
      <c r="G203" s="16">
        <v>180</v>
      </c>
    </row>
    <row r="204" spans="1:7" x14ac:dyDescent="0.25">
      <c r="A204" s="13" t="s">
        <v>2502</v>
      </c>
      <c r="B204" s="13">
        <v>2065</v>
      </c>
      <c r="C204" s="14" t="str">
        <f>+VLOOKUP(B204,[1]LISTE!$A$1:$D$431,4,FALSE)</f>
        <v>CHIHAOUI ALAAEDDINE</v>
      </c>
      <c r="D204" s="14" t="s">
        <v>22</v>
      </c>
      <c r="E204" s="15">
        <v>45925</v>
      </c>
      <c r="F204" s="14" t="s">
        <v>23</v>
      </c>
      <c r="G204" s="16">
        <v>40</v>
      </c>
    </row>
    <row r="205" spans="1:7" x14ac:dyDescent="0.25">
      <c r="A205" s="13" t="s">
        <v>2502</v>
      </c>
      <c r="B205" s="13">
        <v>2065</v>
      </c>
      <c r="C205" s="14" t="str">
        <f>+VLOOKUP(B205,[1]LISTE!$A$1:$D$431,4,FALSE)</f>
        <v>CHIHAOUI ALAAEDDINE</v>
      </c>
      <c r="D205" s="14" t="s">
        <v>22</v>
      </c>
      <c r="E205" s="15">
        <v>45925</v>
      </c>
      <c r="F205" s="14" t="s">
        <v>20</v>
      </c>
      <c r="G205" s="16">
        <v>52.68</v>
      </c>
    </row>
    <row r="206" spans="1:7" x14ac:dyDescent="0.25">
      <c r="A206" s="13" t="s">
        <v>2543</v>
      </c>
      <c r="B206" s="13">
        <v>2071</v>
      </c>
      <c r="C206" s="14" t="str">
        <f>+VLOOKUP(B206,[1]LISTE!$A$1:$D$431,4,FALSE)</f>
        <v>TRIAA FARES</v>
      </c>
      <c r="D206" s="14" t="s">
        <v>779</v>
      </c>
      <c r="E206" s="15">
        <v>45929</v>
      </c>
      <c r="F206" s="14" t="s">
        <v>23</v>
      </c>
      <c r="G206" s="16">
        <v>40</v>
      </c>
    </row>
    <row r="207" spans="1:7" x14ac:dyDescent="0.25">
      <c r="A207" s="13" t="s">
        <v>2543</v>
      </c>
      <c r="B207" s="13">
        <v>2071</v>
      </c>
      <c r="C207" s="14" t="str">
        <f>+VLOOKUP(B207,[1]LISTE!$A$1:$D$431,4,FALSE)</f>
        <v>TRIAA FARES</v>
      </c>
      <c r="D207" s="14" t="s">
        <v>779</v>
      </c>
      <c r="E207" s="15">
        <v>45929</v>
      </c>
      <c r="F207" s="14" t="s">
        <v>20</v>
      </c>
      <c r="G207" s="16">
        <v>18.350000000000001</v>
      </c>
    </row>
    <row r="208" spans="1:7" x14ac:dyDescent="0.25">
      <c r="A208" s="13" t="s">
        <v>2613</v>
      </c>
      <c r="B208" s="13">
        <v>2100</v>
      </c>
      <c r="C208" s="14" t="str">
        <f>+VLOOKUP(B208,[1]LISTE!$A$1:$D$431,4,FALSE)</f>
        <v>MLAYEH NEZIHA</v>
      </c>
      <c r="D208" s="14" t="s">
        <v>112</v>
      </c>
      <c r="E208" s="15">
        <v>45936</v>
      </c>
      <c r="F208" s="14" t="s">
        <v>23</v>
      </c>
      <c r="G208" s="16">
        <v>3</v>
      </c>
    </row>
    <row r="209" spans="1:7" x14ac:dyDescent="0.25">
      <c r="A209" s="13" t="s">
        <v>2613</v>
      </c>
      <c r="B209" s="13">
        <v>2100</v>
      </c>
      <c r="C209" s="14" t="str">
        <f>+VLOOKUP(B209,[1]LISTE!$A$1:$D$431,4,FALSE)</f>
        <v>MLAYEH NEZIHA</v>
      </c>
      <c r="D209" s="14" t="s">
        <v>112</v>
      </c>
      <c r="E209" s="15">
        <v>45938</v>
      </c>
      <c r="F209" s="14" t="s">
        <v>20</v>
      </c>
      <c r="G209" s="16">
        <v>26</v>
      </c>
    </row>
    <row r="210" spans="1:7" x14ac:dyDescent="0.25">
      <c r="A210" s="13" t="s">
        <v>2613</v>
      </c>
      <c r="B210" s="13">
        <v>2100</v>
      </c>
      <c r="C210" s="14" t="str">
        <f>+VLOOKUP(B210,[1]LISTE!$A$1:$D$431,4,FALSE)</f>
        <v>MLAYEH NEZIHA</v>
      </c>
      <c r="D210" s="14" t="s">
        <v>112</v>
      </c>
      <c r="E210" s="15">
        <v>45938</v>
      </c>
      <c r="F210" s="14" t="s">
        <v>20</v>
      </c>
      <c r="G210" s="16">
        <v>6.29</v>
      </c>
    </row>
    <row r="211" spans="1:7" x14ac:dyDescent="0.25">
      <c r="A211" s="13" t="s">
        <v>2613</v>
      </c>
      <c r="B211" s="13">
        <v>2100</v>
      </c>
      <c r="C211" s="14" t="str">
        <f>+VLOOKUP(B211,[1]LISTE!$A$1:$D$431,4,FALSE)</f>
        <v>MLAYEH NEZIHA</v>
      </c>
      <c r="D211" s="15" t="s">
        <v>112</v>
      </c>
      <c r="E211" s="15">
        <v>45942</v>
      </c>
      <c r="F211" s="14" t="s">
        <v>69</v>
      </c>
      <c r="G211" s="16">
        <v>501</v>
      </c>
    </row>
    <row r="212" spans="1:7" x14ac:dyDescent="0.25">
      <c r="A212" s="13" t="s">
        <v>2493</v>
      </c>
      <c r="B212" s="13">
        <v>2102</v>
      </c>
      <c r="C212" s="14" t="str">
        <f>+VLOOKUP(B212,[1]LISTE!$A$1:$D$431,4,FALSE)</f>
        <v>BENAMER MARWA</v>
      </c>
      <c r="D212" s="14" t="s">
        <v>22</v>
      </c>
      <c r="E212" s="15">
        <v>45927</v>
      </c>
      <c r="F212" s="14" t="s">
        <v>18</v>
      </c>
      <c r="G212" s="16">
        <v>70</v>
      </c>
    </row>
    <row r="213" spans="1:7" x14ac:dyDescent="0.25">
      <c r="A213" s="13" t="s">
        <v>2493</v>
      </c>
      <c r="B213" s="13">
        <v>2102</v>
      </c>
      <c r="C213" s="14" t="str">
        <f>+VLOOKUP(B213,[1]LISTE!$A$1:$D$431,4,FALSE)</f>
        <v>BENAMER MARWA</v>
      </c>
      <c r="D213" s="14" t="s">
        <v>22</v>
      </c>
      <c r="E213" s="15">
        <v>45927</v>
      </c>
      <c r="F213" s="14" t="s">
        <v>20</v>
      </c>
      <c r="G213" s="16">
        <v>89.89</v>
      </c>
    </row>
    <row r="214" spans="1:7" x14ac:dyDescent="0.25">
      <c r="A214" s="13" t="s">
        <v>2535</v>
      </c>
      <c r="B214" s="13">
        <v>2102</v>
      </c>
      <c r="C214" s="14" t="str">
        <f>+VLOOKUP(B214,[1]LISTE!$A$1:$D$431,4,FALSE)</f>
        <v>BENAMER MARWA</v>
      </c>
      <c r="D214" s="14" t="s">
        <v>190</v>
      </c>
      <c r="E214" s="15">
        <v>45926</v>
      </c>
      <c r="F214" s="14" t="s">
        <v>18</v>
      </c>
      <c r="G214" s="16">
        <v>60</v>
      </c>
    </row>
    <row r="215" spans="1:7" x14ac:dyDescent="0.25">
      <c r="A215" s="13" t="s">
        <v>2535</v>
      </c>
      <c r="B215" s="13">
        <v>2102</v>
      </c>
      <c r="C215" s="14" t="str">
        <f>+VLOOKUP(B215,[1]LISTE!$A$1:$D$431,4,FALSE)</f>
        <v>BENAMER MARWA</v>
      </c>
      <c r="D215" s="14" t="s">
        <v>190</v>
      </c>
      <c r="E215" s="15">
        <v>45926</v>
      </c>
      <c r="F215" s="14" t="s">
        <v>20</v>
      </c>
      <c r="G215" s="16">
        <v>183.12</v>
      </c>
    </row>
    <row r="216" spans="1:7" x14ac:dyDescent="0.25">
      <c r="A216" s="13" t="s">
        <v>2535</v>
      </c>
      <c r="B216" s="13">
        <v>2102</v>
      </c>
      <c r="C216" s="14" t="str">
        <f>+VLOOKUP(B216,[1]LISTE!$A$1:$D$431,4,FALSE)</f>
        <v>BENAMER MARWA</v>
      </c>
      <c r="D216" s="14" t="s">
        <v>190</v>
      </c>
      <c r="E216" s="15">
        <v>45926</v>
      </c>
      <c r="F216" s="14" t="s">
        <v>20</v>
      </c>
      <c r="G216" s="16">
        <v>28.9</v>
      </c>
    </row>
    <row r="217" spans="1:7" x14ac:dyDescent="0.25">
      <c r="A217" s="13" t="s">
        <v>2554</v>
      </c>
      <c r="B217" s="13">
        <v>2125</v>
      </c>
      <c r="C217" s="14" t="str">
        <f>+VLOOKUP(B217,[1]LISTE!$A$1:$D$431,4,FALSE)</f>
        <v>ACHRAF HASSEN</v>
      </c>
      <c r="D217" s="14" t="s">
        <v>1485</v>
      </c>
      <c r="E217" s="15">
        <v>45933</v>
      </c>
      <c r="F217" s="14" t="s">
        <v>23</v>
      </c>
      <c r="G217" s="16">
        <v>7.5</v>
      </c>
    </row>
    <row r="218" spans="1:7" x14ac:dyDescent="0.25">
      <c r="A218" s="13" t="s">
        <v>2554</v>
      </c>
      <c r="B218" s="13">
        <v>2125</v>
      </c>
      <c r="C218" s="14" t="str">
        <f>+VLOOKUP(B218,[1]LISTE!$A$1:$D$431,4,FALSE)</f>
        <v>ACHRAF HASSEN</v>
      </c>
      <c r="D218" s="14" t="s">
        <v>1485</v>
      </c>
      <c r="E218" s="15">
        <v>45933</v>
      </c>
      <c r="F218" s="14" t="s">
        <v>587</v>
      </c>
      <c r="G218" s="16">
        <v>66</v>
      </c>
    </row>
    <row r="219" spans="1:7" x14ac:dyDescent="0.25">
      <c r="A219" s="13" t="s">
        <v>2554</v>
      </c>
      <c r="B219" s="13">
        <v>2125</v>
      </c>
      <c r="C219" s="14" t="str">
        <f>+VLOOKUP(B219,[1]LISTE!$A$1:$D$431,4,FALSE)</f>
        <v>ACHRAF HASSEN</v>
      </c>
      <c r="D219" s="14" t="s">
        <v>1485</v>
      </c>
      <c r="E219" s="15">
        <v>45935</v>
      </c>
      <c r="F219" s="14" t="s">
        <v>587</v>
      </c>
      <c r="G219" s="16">
        <v>13.5</v>
      </c>
    </row>
    <row r="220" spans="1:7" x14ac:dyDescent="0.25">
      <c r="A220" s="13" t="s">
        <v>2555</v>
      </c>
      <c r="B220" s="13">
        <v>2125</v>
      </c>
      <c r="C220" s="14" t="str">
        <f>+VLOOKUP(B220,[1]LISTE!$A$1:$D$431,4,FALSE)</f>
        <v>ACHRAF HASSEN</v>
      </c>
      <c r="D220" s="14" t="s">
        <v>1485</v>
      </c>
      <c r="E220" s="15">
        <v>45936</v>
      </c>
      <c r="F220" s="14" t="s">
        <v>18</v>
      </c>
      <c r="G220" s="16">
        <v>70</v>
      </c>
    </row>
    <row r="221" spans="1:7" x14ac:dyDescent="0.25">
      <c r="A221" s="13" t="s">
        <v>2555</v>
      </c>
      <c r="B221" s="13">
        <v>2125</v>
      </c>
      <c r="C221" s="14" t="str">
        <f>+VLOOKUP(B221,[1]LISTE!$A$1:$D$431,4,FALSE)</f>
        <v>ACHRAF HASSEN</v>
      </c>
      <c r="D221" s="14" t="s">
        <v>1485</v>
      </c>
      <c r="E221" s="15">
        <v>45936</v>
      </c>
      <c r="F221" s="14" t="s">
        <v>20</v>
      </c>
      <c r="G221" s="16">
        <v>112.268</v>
      </c>
    </row>
    <row r="222" spans="1:7" x14ac:dyDescent="0.25">
      <c r="A222" s="13" t="s">
        <v>2607</v>
      </c>
      <c r="B222" s="13">
        <v>2145</v>
      </c>
      <c r="C222" s="14" t="str">
        <f>+VLOOKUP(B222,[1]LISTE!$A$1:$D$431,4,FALSE)</f>
        <v>MRIBAH HAMZA</v>
      </c>
      <c r="D222" s="15" t="s">
        <v>44</v>
      </c>
      <c r="E222" s="15">
        <v>45937</v>
      </c>
      <c r="F222" s="14" t="s">
        <v>18</v>
      </c>
      <c r="G222" s="16">
        <v>70</v>
      </c>
    </row>
    <row r="223" spans="1:7" x14ac:dyDescent="0.25">
      <c r="A223" s="13" t="s">
        <v>2607</v>
      </c>
      <c r="B223" s="13">
        <v>2145</v>
      </c>
      <c r="C223" s="14" t="str">
        <f>+VLOOKUP(B223,[1]LISTE!$A$1:$D$431,4,FALSE)</f>
        <v>MRIBAH HAMZA</v>
      </c>
      <c r="D223" s="14" t="s">
        <v>44</v>
      </c>
      <c r="E223" s="15">
        <v>45937</v>
      </c>
      <c r="F223" s="14" t="s">
        <v>20</v>
      </c>
      <c r="G223" s="16">
        <v>125.6</v>
      </c>
    </row>
    <row r="224" spans="1:7" x14ac:dyDescent="0.25">
      <c r="A224" s="13" t="s">
        <v>2576</v>
      </c>
      <c r="B224" s="13">
        <v>2148</v>
      </c>
      <c r="C224" s="14" t="str">
        <f>+VLOOKUP(B224,[1]LISTE!$A$1:$D$431,4,FALSE)</f>
        <v>CHIHI HOUSSEM</v>
      </c>
      <c r="D224" s="14" t="s">
        <v>327</v>
      </c>
      <c r="E224" s="15">
        <v>45934</v>
      </c>
      <c r="F224" s="14" t="s">
        <v>18</v>
      </c>
      <c r="G224" s="16">
        <v>70</v>
      </c>
    </row>
    <row r="225" spans="1:7" x14ac:dyDescent="0.25">
      <c r="A225" s="13" t="s">
        <v>2576</v>
      </c>
      <c r="B225" s="13">
        <v>2148</v>
      </c>
      <c r="C225" s="14" t="str">
        <f>+VLOOKUP(B225,[1]LISTE!$A$1:$D$431,4,FALSE)</f>
        <v>CHIHI HOUSSEM</v>
      </c>
      <c r="D225" s="14" t="s">
        <v>327</v>
      </c>
      <c r="E225" s="15">
        <v>45936</v>
      </c>
      <c r="F225" s="14" t="s">
        <v>20</v>
      </c>
      <c r="G225" s="16">
        <v>27.3</v>
      </c>
    </row>
    <row r="226" spans="1:7" x14ac:dyDescent="0.25">
      <c r="A226" s="13" t="s">
        <v>2480</v>
      </c>
      <c r="B226" s="13">
        <v>2170</v>
      </c>
      <c r="C226" s="14" t="str">
        <f>+VLOOKUP(B226,[1]LISTE!$A$1:$D$431,4,FALSE)</f>
        <v>BEN AHMED ANOUAR</v>
      </c>
      <c r="D226" s="14" t="s">
        <v>327</v>
      </c>
      <c r="E226" s="15">
        <v>45905</v>
      </c>
      <c r="F226" s="14" t="s">
        <v>18</v>
      </c>
      <c r="G226" s="16">
        <v>70</v>
      </c>
    </row>
    <row r="227" spans="1:7" x14ac:dyDescent="0.25">
      <c r="A227" s="13" t="s">
        <v>2480</v>
      </c>
      <c r="B227" s="13">
        <v>2170</v>
      </c>
      <c r="C227" s="14" t="str">
        <f>+VLOOKUP(B227,[1]LISTE!$A$1:$D$431,4,FALSE)</f>
        <v>BEN AHMED ANOUAR</v>
      </c>
      <c r="D227" s="14" t="s">
        <v>327</v>
      </c>
      <c r="E227" s="15">
        <v>45908</v>
      </c>
      <c r="F227" s="14" t="s">
        <v>19</v>
      </c>
      <c r="G227" s="16">
        <v>42.8</v>
      </c>
    </row>
    <row r="228" spans="1:7" x14ac:dyDescent="0.25">
      <c r="A228" s="13" t="s">
        <v>2539</v>
      </c>
      <c r="B228" s="13">
        <v>2170</v>
      </c>
      <c r="C228" s="14" t="str">
        <f>+VLOOKUP(B228,[1]LISTE!$A$1:$D$431,4,FALSE)</f>
        <v>BEN AHMED ANOUAR</v>
      </c>
      <c r="D228" s="14" t="s">
        <v>327</v>
      </c>
      <c r="E228" s="15">
        <v>45914</v>
      </c>
      <c r="F228" s="14" t="s">
        <v>18</v>
      </c>
      <c r="G228" s="16">
        <v>250</v>
      </c>
    </row>
    <row r="229" spans="1:7" x14ac:dyDescent="0.25">
      <c r="A229" s="13" t="s">
        <v>2539</v>
      </c>
      <c r="B229" s="13">
        <v>2170</v>
      </c>
      <c r="C229" s="14" t="str">
        <f>+VLOOKUP(B229,[1]LISTE!$A$1:$D$431,4,FALSE)</f>
        <v>BEN AHMED ANOUAR</v>
      </c>
      <c r="D229" s="14" t="s">
        <v>327</v>
      </c>
      <c r="E229" s="15">
        <v>45914</v>
      </c>
      <c r="F229" s="14" t="s">
        <v>19</v>
      </c>
      <c r="G229" s="16">
        <v>135.36000000000001</v>
      </c>
    </row>
    <row r="230" spans="1:7" x14ac:dyDescent="0.25">
      <c r="A230" s="13" t="s">
        <v>2539</v>
      </c>
      <c r="B230" s="13">
        <v>2170</v>
      </c>
      <c r="C230" s="14" t="str">
        <f>+VLOOKUP(B230,[1]LISTE!$A$1:$D$431,4,FALSE)</f>
        <v>BEN AHMED ANOUAR</v>
      </c>
      <c r="D230" s="14" t="s">
        <v>327</v>
      </c>
      <c r="E230" s="15">
        <v>45913</v>
      </c>
      <c r="F230" s="14" t="s">
        <v>363</v>
      </c>
      <c r="G230" s="16">
        <v>500</v>
      </c>
    </row>
    <row r="231" spans="1:7" x14ac:dyDescent="0.25">
      <c r="A231" s="13" t="s">
        <v>2539</v>
      </c>
      <c r="B231" s="13">
        <v>2170</v>
      </c>
      <c r="C231" s="14" t="str">
        <f>+VLOOKUP(B231,[1]LISTE!$A$1:$D$431,4,FALSE)</f>
        <v>BEN AHMED ANOUAR</v>
      </c>
      <c r="D231" s="14" t="s">
        <v>327</v>
      </c>
      <c r="E231" s="15">
        <v>45913</v>
      </c>
      <c r="F231" s="14" t="s">
        <v>363</v>
      </c>
      <c r="G231" s="16">
        <v>1300</v>
      </c>
    </row>
    <row r="232" spans="1:7" x14ac:dyDescent="0.25">
      <c r="A232" s="13" t="s">
        <v>2539</v>
      </c>
      <c r="B232" s="13">
        <v>2170</v>
      </c>
      <c r="C232" s="14" t="str">
        <f>+VLOOKUP(B232,[1]LISTE!$A$1:$D$431,4,FALSE)</f>
        <v>BEN AHMED ANOUAR</v>
      </c>
      <c r="D232" s="14" t="s">
        <v>327</v>
      </c>
      <c r="E232" s="15">
        <v>45914</v>
      </c>
      <c r="F232" s="14" t="s">
        <v>364</v>
      </c>
      <c r="G232" s="16">
        <v>738.52499999999998</v>
      </c>
    </row>
    <row r="233" spans="1:7" x14ac:dyDescent="0.25">
      <c r="A233" s="13" t="s">
        <v>2539</v>
      </c>
      <c r="B233" s="13">
        <v>2170</v>
      </c>
      <c r="C233" s="14" t="str">
        <f>+VLOOKUP(B233,[1]LISTE!$A$1:$D$431,4,FALSE)</f>
        <v>BEN AHMED ANOUAR</v>
      </c>
      <c r="D233" s="14" t="s">
        <v>327</v>
      </c>
      <c r="E233" s="15">
        <v>45913</v>
      </c>
      <c r="F233" s="14" t="s">
        <v>312</v>
      </c>
      <c r="G233" s="16"/>
    </row>
    <row r="234" spans="1:7" x14ac:dyDescent="0.25">
      <c r="A234" s="13" t="s">
        <v>2582</v>
      </c>
      <c r="B234" s="13">
        <v>2170</v>
      </c>
      <c r="C234" s="14" t="str">
        <f>+VLOOKUP(B234,[1]LISTE!$A$1:$D$431,4,FALSE)</f>
        <v>BEN AHMED ANOUAR</v>
      </c>
      <c r="D234" s="14" t="s">
        <v>2583</v>
      </c>
      <c r="E234" s="15">
        <v>45939</v>
      </c>
      <c r="F234" s="14" t="s">
        <v>18</v>
      </c>
      <c r="G234" s="16">
        <v>60</v>
      </c>
    </row>
    <row r="235" spans="1:7" x14ac:dyDescent="0.25">
      <c r="A235" s="13" t="s">
        <v>2582</v>
      </c>
      <c r="B235" s="13">
        <v>2170</v>
      </c>
      <c r="C235" s="14" t="str">
        <f>+VLOOKUP(B235,[1]LISTE!$A$1:$D$431,4,FALSE)</f>
        <v>BEN AHMED ANOUAR</v>
      </c>
      <c r="D235" s="14" t="s">
        <v>2583</v>
      </c>
      <c r="E235" s="15">
        <v>45939</v>
      </c>
      <c r="F235" s="14" t="s">
        <v>20</v>
      </c>
      <c r="G235" s="16">
        <v>13.478</v>
      </c>
    </row>
    <row r="236" spans="1:7" x14ac:dyDescent="0.25">
      <c r="A236" s="13" t="s">
        <v>2564</v>
      </c>
      <c r="B236" s="13">
        <v>2184</v>
      </c>
      <c r="C236" s="14" t="s">
        <v>2565</v>
      </c>
      <c r="D236" s="14" t="s">
        <v>387</v>
      </c>
      <c r="E236" s="15">
        <v>45919</v>
      </c>
      <c r="F236" s="14" t="s">
        <v>18</v>
      </c>
      <c r="G236" s="16">
        <v>80</v>
      </c>
    </row>
    <row r="237" spans="1:7" x14ac:dyDescent="0.25">
      <c r="A237" s="13" t="s">
        <v>2564</v>
      </c>
      <c r="B237" s="13">
        <v>2184</v>
      </c>
      <c r="C237" s="14" t="s">
        <v>825</v>
      </c>
      <c r="D237" s="14" t="s">
        <v>387</v>
      </c>
      <c r="E237" s="15">
        <v>45916</v>
      </c>
      <c r="F237" s="14" t="s">
        <v>19</v>
      </c>
      <c r="G237" s="16">
        <v>73.5</v>
      </c>
    </row>
    <row r="238" spans="1:7" x14ac:dyDescent="0.25">
      <c r="A238" s="13" t="s">
        <v>2564</v>
      </c>
      <c r="B238" s="13">
        <v>2184</v>
      </c>
      <c r="C238" s="14" t="s">
        <v>825</v>
      </c>
      <c r="D238" s="14" t="s">
        <v>387</v>
      </c>
      <c r="E238" s="15">
        <v>45925</v>
      </c>
      <c r="F238" s="14" t="s">
        <v>20</v>
      </c>
      <c r="G238" s="16">
        <v>86.537000000000006</v>
      </c>
    </row>
    <row r="239" spans="1:7" x14ac:dyDescent="0.25">
      <c r="A239" s="13" t="s">
        <v>2593</v>
      </c>
      <c r="B239" s="13">
        <v>2184</v>
      </c>
      <c r="C239" s="14" t="s">
        <v>825</v>
      </c>
      <c r="D239" s="15" t="s">
        <v>200</v>
      </c>
      <c r="E239" s="15">
        <v>45934</v>
      </c>
      <c r="F239" s="14" t="s">
        <v>312</v>
      </c>
      <c r="G239" s="16">
        <v>250</v>
      </c>
    </row>
    <row r="240" spans="1:7" x14ac:dyDescent="0.25">
      <c r="A240" s="13" t="s">
        <v>2598</v>
      </c>
      <c r="B240" s="13">
        <v>2184</v>
      </c>
      <c r="C240" s="14" t="s">
        <v>825</v>
      </c>
      <c r="D240" s="14" t="s">
        <v>387</v>
      </c>
      <c r="E240" s="15">
        <v>45926</v>
      </c>
      <c r="F240" s="14" t="s">
        <v>23</v>
      </c>
      <c r="G240" s="16">
        <v>35</v>
      </c>
    </row>
    <row r="241" spans="1:7" x14ac:dyDescent="0.25">
      <c r="A241" s="13" t="s">
        <v>2598</v>
      </c>
      <c r="B241" s="13">
        <v>2184</v>
      </c>
      <c r="C241" s="14" t="s">
        <v>825</v>
      </c>
      <c r="D241" s="14" t="s">
        <v>387</v>
      </c>
      <c r="E241" s="15">
        <v>45926</v>
      </c>
      <c r="F241" s="14" t="s">
        <v>20</v>
      </c>
      <c r="G241" s="16">
        <v>69.978999999999999</v>
      </c>
    </row>
    <row r="242" spans="1:7" x14ac:dyDescent="0.25">
      <c r="A242" s="13" t="s">
        <v>2599</v>
      </c>
      <c r="B242" s="13">
        <v>2184</v>
      </c>
      <c r="C242" s="14" t="s">
        <v>825</v>
      </c>
      <c r="D242" s="14" t="s">
        <v>22</v>
      </c>
      <c r="E242" s="15">
        <v>45926</v>
      </c>
      <c r="F242" s="14" t="s">
        <v>23</v>
      </c>
      <c r="G242" s="16">
        <v>35</v>
      </c>
    </row>
    <row r="243" spans="1:7" x14ac:dyDescent="0.25">
      <c r="A243" s="13" t="s">
        <v>2599</v>
      </c>
      <c r="B243" s="13">
        <v>2184</v>
      </c>
      <c r="C243" s="14" t="s">
        <v>825</v>
      </c>
      <c r="D243" s="15" t="s">
        <v>22</v>
      </c>
      <c r="E243" s="15">
        <v>45926</v>
      </c>
      <c r="F243" s="14" t="s">
        <v>20</v>
      </c>
      <c r="G243" s="16">
        <v>39.555</v>
      </c>
    </row>
    <row r="244" spans="1:7" x14ac:dyDescent="0.25">
      <c r="A244" s="13" t="s">
        <v>2487</v>
      </c>
      <c r="B244" s="13">
        <v>2195</v>
      </c>
      <c r="C244" s="14" t="s">
        <v>2488</v>
      </c>
      <c r="D244" s="14" t="s">
        <v>513</v>
      </c>
      <c r="E244" s="15">
        <v>45927</v>
      </c>
      <c r="F244" s="14" t="s">
        <v>23</v>
      </c>
      <c r="G244" s="16">
        <v>1.5</v>
      </c>
    </row>
    <row r="245" spans="1:7" x14ac:dyDescent="0.25">
      <c r="A245" s="13" t="s">
        <v>2487</v>
      </c>
      <c r="B245" s="13">
        <v>2195</v>
      </c>
      <c r="C245" s="14" t="s">
        <v>2488</v>
      </c>
      <c r="D245" s="14" t="s">
        <v>513</v>
      </c>
      <c r="E245" s="15">
        <v>45927</v>
      </c>
      <c r="F245" s="14" t="s">
        <v>20</v>
      </c>
      <c r="G245" s="16">
        <v>19.785</v>
      </c>
    </row>
    <row r="246" spans="1:7" x14ac:dyDescent="0.25">
      <c r="A246" s="13" t="s">
        <v>2563</v>
      </c>
      <c r="B246" s="13">
        <v>2195</v>
      </c>
      <c r="C246" s="14" t="s">
        <v>2488</v>
      </c>
      <c r="D246" s="14" t="s">
        <v>361</v>
      </c>
      <c r="E246" s="15">
        <v>45931</v>
      </c>
      <c r="F246" s="14" t="s">
        <v>23</v>
      </c>
      <c r="G246" s="16">
        <v>1.5</v>
      </c>
    </row>
    <row r="247" spans="1:7" x14ac:dyDescent="0.25">
      <c r="A247" s="13" t="s">
        <v>2563</v>
      </c>
      <c r="B247" s="13">
        <v>2195</v>
      </c>
      <c r="C247" s="14" t="s">
        <v>2488</v>
      </c>
      <c r="D247" s="15" t="s">
        <v>361</v>
      </c>
      <c r="E247" s="15">
        <v>45931</v>
      </c>
      <c r="F247" s="14" t="s">
        <v>20</v>
      </c>
      <c r="G247" s="16">
        <v>48</v>
      </c>
    </row>
    <row r="248" spans="1:7" x14ac:dyDescent="0.25">
      <c r="A248" s="13" t="s">
        <v>2524</v>
      </c>
      <c r="B248" s="13">
        <v>2213</v>
      </c>
      <c r="C248" s="14" t="s">
        <v>1523</v>
      </c>
      <c r="D248" s="14" t="s">
        <v>687</v>
      </c>
      <c r="E248" s="15">
        <v>45925</v>
      </c>
      <c r="F248" s="14" t="s">
        <v>18</v>
      </c>
      <c r="G248" s="16">
        <v>38</v>
      </c>
    </row>
    <row r="249" spans="1:7" x14ac:dyDescent="0.25">
      <c r="A249" s="13" t="s">
        <v>2524</v>
      </c>
      <c r="B249" s="13">
        <v>2213</v>
      </c>
      <c r="C249" s="14" t="s">
        <v>1523</v>
      </c>
      <c r="D249" s="14" t="s">
        <v>687</v>
      </c>
      <c r="E249" s="15">
        <v>45925</v>
      </c>
      <c r="F249" s="14" t="s">
        <v>21</v>
      </c>
      <c r="G249" s="16">
        <v>70</v>
      </c>
    </row>
    <row r="250" spans="1:7" x14ac:dyDescent="0.25">
      <c r="A250" s="13" t="s">
        <v>2524</v>
      </c>
      <c r="B250" s="13">
        <v>2213</v>
      </c>
      <c r="C250" s="14" t="s">
        <v>1523</v>
      </c>
      <c r="D250" s="14" t="s">
        <v>687</v>
      </c>
      <c r="E250" s="15">
        <v>45926</v>
      </c>
      <c r="F250" s="14" t="s">
        <v>19</v>
      </c>
      <c r="G250" s="16">
        <v>17.329999999999998</v>
      </c>
    </row>
    <row r="251" spans="1:7" x14ac:dyDescent="0.25">
      <c r="A251" s="13" t="s">
        <v>2524</v>
      </c>
      <c r="B251" s="13">
        <v>2213</v>
      </c>
      <c r="C251" s="14" t="s">
        <v>1523</v>
      </c>
      <c r="D251" s="14" t="s">
        <v>687</v>
      </c>
      <c r="E251" s="15">
        <v>45926</v>
      </c>
      <c r="F251" s="14" t="s">
        <v>20</v>
      </c>
      <c r="G251" s="16">
        <v>6.6849999999999996</v>
      </c>
    </row>
    <row r="252" spans="1:7" x14ac:dyDescent="0.25">
      <c r="A252" s="13" t="s">
        <v>2529</v>
      </c>
      <c r="B252" s="13">
        <v>2283</v>
      </c>
      <c r="C252" s="14" t="s">
        <v>2530</v>
      </c>
      <c r="D252" s="14" t="s">
        <v>2531</v>
      </c>
      <c r="E252" s="15">
        <v>45932</v>
      </c>
      <c r="F252" s="14" t="s">
        <v>18</v>
      </c>
      <c r="G252" s="16">
        <v>70</v>
      </c>
    </row>
    <row r="253" spans="1:7" x14ac:dyDescent="0.25">
      <c r="A253" s="13" t="s">
        <v>2529</v>
      </c>
      <c r="B253" s="13">
        <v>2283</v>
      </c>
      <c r="C253" s="14" t="s">
        <v>2530</v>
      </c>
      <c r="D253" s="14" t="s">
        <v>2531</v>
      </c>
      <c r="E253" s="15">
        <v>45932</v>
      </c>
      <c r="F253" s="14" t="s">
        <v>20</v>
      </c>
      <c r="G253" s="16">
        <v>18.5</v>
      </c>
    </row>
    <row r="254" spans="1:7" x14ac:dyDescent="0.25">
      <c r="A254" s="13" t="s">
        <v>2533</v>
      </c>
      <c r="B254" s="13">
        <v>2319</v>
      </c>
      <c r="C254" s="14" t="s">
        <v>1145</v>
      </c>
      <c r="D254" s="15" t="s">
        <v>22</v>
      </c>
      <c r="E254" s="15">
        <v>45931</v>
      </c>
      <c r="F254" s="14" t="s">
        <v>18</v>
      </c>
      <c r="G254" s="16">
        <v>70</v>
      </c>
    </row>
    <row r="255" spans="1:7" x14ac:dyDescent="0.25">
      <c r="A255" s="13" t="s">
        <v>2533</v>
      </c>
      <c r="B255" s="13">
        <v>2319</v>
      </c>
      <c r="C255" s="14" t="s">
        <v>1145</v>
      </c>
      <c r="D255" s="14" t="s">
        <v>22</v>
      </c>
      <c r="E255" s="15">
        <v>45931</v>
      </c>
      <c r="F255" s="14" t="s">
        <v>20</v>
      </c>
      <c r="G255" s="16">
        <v>13.815</v>
      </c>
    </row>
    <row r="256" spans="1:7" x14ac:dyDescent="0.25">
      <c r="A256" s="13" t="s">
        <v>2498</v>
      </c>
      <c r="B256" s="13">
        <v>2326</v>
      </c>
      <c r="C256" s="14" t="s">
        <v>28</v>
      </c>
      <c r="D256" s="14" t="s">
        <v>923</v>
      </c>
      <c r="E256" s="15">
        <v>45922</v>
      </c>
      <c r="F256" s="14" t="s">
        <v>18</v>
      </c>
      <c r="G256" s="16">
        <v>60</v>
      </c>
    </row>
    <row r="257" spans="1:7" x14ac:dyDescent="0.25">
      <c r="A257" s="13" t="s">
        <v>2498</v>
      </c>
      <c r="B257" s="13">
        <v>2326</v>
      </c>
      <c r="C257" s="14" t="s">
        <v>28</v>
      </c>
      <c r="D257" s="15" t="s">
        <v>923</v>
      </c>
      <c r="E257" s="15">
        <v>45922</v>
      </c>
      <c r="F257" s="14" t="s">
        <v>20</v>
      </c>
      <c r="G257" s="16">
        <v>38.603000000000002</v>
      </c>
    </row>
    <row r="258" spans="1:7" x14ac:dyDescent="0.25">
      <c r="A258" s="13" t="s">
        <v>2498</v>
      </c>
      <c r="B258" s="13">
        <v>2326</v>
      </c>
      <c r="C258" s="14" t="s">
        <v>28</v>
      </c>
      <c r="D258" s="14" t="s">
        <v>923</v>
      </c>
      <c r="E258" s="15">
        <v>45922</v>
      </c>
      <c r="F258" s="14" t="s">
        <v>363</v>
      </c>
      <c r="G258" s="16">
        <v>300</v>
      </c>
    </row>
    <row r="259" spans="1:7" x14ac:dyDescent="0.25">
      <c r="A259" s="13" t="s">
        <v>2605</v>
      </c>
      <c r="B259" s="13">
        <v>2330</v>
      </c>
      <c r="C259" s="14" t="s">
        <v>697</v>
      </c>
      <c r="D259" s="14" t="s">
        <v>22</v>
      </c>
      <c r="E259" s="15">
        <v>45932</v>
      </c>
      <c r="F259" s="14" t="s">
        <v>18</v>
      </c>
      <c r="G259" s="16">
        <v>70</v>
      </c>
    </row>
    <row r="260" spans="1:7" x14ac:dyDescent="0.25">
      <c r="A260" s="13" t="s">
        <v>2559</v>
      </c>
      <c r="B260" s="13">
        <v>2363</v>
      </c>
      <c r="C260" s="14" t="s">
        <v>1599</v>
      </c>
      <c r="D260" s="14" t="s">
        <v>22</v>
      </c>
      <c r="E260" s="15">
        <v>45931</v>
      </c>
      <c r="F260" s="14" t="s">
        <v>20</v>
      </c>
      <c r="G260" s="16">
        <v>10.06</v>
      </c>
    </row>
    <row r="261" spans="1:7" x14ac:dyDescent="0.25">
      <c r="A261" s="13" t="s">
        <v>2559</v>
      </c>
      <c r="B261" s="13">
        <v>2363</v>
      </c>
      <c r="C261" s="14" t="s">
        <v>1599</v>
      </c>
      <c r="D261" s="14" t="s">
        <v>22</v>
      </c>
      <c r="E261" s="15">
        <v>45936</v>
      </c>
      <c r="F261" s="14" t="s">
        <v>24</v>
      </c>
      <c r="G261" s="16">
        <v>240</v>
      </c>
    </row>
    <row r="262" spans="1:7" x14ac:dyDescent="0.25">
      <c r="A262" s="13" t="s">
        <v>2614</v>
      </c>
      <c r="B262" s="13">
        <v>2363</v>
      </c>
      <c r="C262" s="14" t="s">
        <v>1599</v>
      </c>
      <c r="D262" s="14" t="s">
        <v>22</v>
      </c>
      <c r="E262" s="15">
        <v>45937</v>
      </c>
      <c r="F262" s="14" t="s">
        <v>24</v>
      </c>
      <c r="G262" s="16">
        <v>1370</v>
      </c>
    </row>
    <row r="263" spans="1:7" x14ac:dyDescent="0.25">
      <c r="A263" s="13" t="s">
        <v>2542</v>
      </c>
      <c r="B263" s="13">
        <v>2397</v>
      </c>
      <c r="C263" s="14" t="s">
        <v>29</v>
      </c>
      <c r="D263" s="14" t="s">
        <v>1197</v>
      </c>
      <c r="E263" s="15">
        <v>45929</v>
      </c>
      <c r="F263" s="14" t="s">
        <v>18</v>
      </c>
      <c r="G263" s="16">
        <v>70</v>
      </c>
    </row>
    <row r="264" spans="1:7" x14ac:dyDescent="0.25">
      <c r="A264" s="13" t="s">
        <v>2542</v>
      </c>
      <c r="B264" s="13">
        <v>2397</v>
      </c>
      <c r="C264" s="14" t="s">
        <v>29</v>
      </c>
      <c r="D264" s="14" t="s">
        <v>1197</v>
      </c>
      <c r="E264" s="15">
        <v>45930</v>
      </c>
      <c r="F264" s="14" t="s">
        <v>20</v>
      </c>
      <c r="G264" s="16">
        <v>35.792000000000002</v>
      </c>
    </row>
    <row r="265" spans="1:7" x14ac:dyDescent="0.25">
      <c r="A265" s="13" t="s">
        <v>2538</v>
      </c>
      <c r="B265" s="13">
        <v>2404</v>
      </c>
      <c r="C265" s="14" t="s">
        <v>734</v>
      </c>
      <c r="D265" s="14" t="s">
        <v>22</v>
      </c>
      <c r="E265" s="15">
        <v>45927</v>
      </c>
      <c r="F265" s="14" t="s">
        <v>18</v>
      </c>
      <c r="G265" s="16">
        <v>60</v>
      </c>
    </row>
    <row r="266" spans="1:7" x14ac:dyDescent="0.25">
      <c r="A266" s="13" t="s">
        <v>2538</v>
      </c>
      <c r="B266" s="13">
        <v>2404</v>
      </c>
      <c r="C266" s="14" t="s">
        <v>734</v>
      </c>
      <c r="D266" s="14" t="s">
        <v>22</v>
      </c>
      <c r="E266" s="15">
        <v>45927</v>
      </c>
      <c r="F266" s="14" t="s">
        <v>20</v>
      </c>
      <c r="G266" s="16">
        <v>16.170000000000002</v>
      </c>
    </row>
    <row r="267" spans="1:7" x14ac:dyDescent="0.25">
      <c r="A267" s="13" t="s">
        <v>2497</v>
      </c>
      <c r="B267" s="13">
        <v>2497</v>
      </c>
      <c r="C267" s="14" t="s">
        <v>1263</v>
      </c>
      <c r="D267" s="14" t="s">
        <v>669</v>
      </c>
      <c r="E267" s="15">
        <v>45922</v>
      </c>
      <c r="F267" s="14" t="s">
        <v>18</v>
      </c>
      <c r="G267" s="16">
        <v>70</v>
      </c>
    </row>
    <row r="268" spans="1:7" x14ac:dyDescent="0.25">
      <c r="A268" s="13" t="s">
        <v>2497</v>
      </c>
      <c r="B268" s="13">
        <v>2497</v>
      </c>
      <c r="C268" s="14" t="s">
        <v>1263</v>
      </c>
      <c r="D268" s="14" t="s">
        <v>669</v>
      </c>
      <c r="E268" s="15">
        <v>45922</v>
      </c>
      <c r="F268" s="14" t="s">
        <v>20</v>
      </c>
      <c r="G268" s="16">
        <v>50.284999999999997</v>
      </c>
    </row>
    <row r="269" spans="1:7" x14ac:dyDescent="0.25">
      <c r="A269" s="13" t="s">
        <v>2550</v>
      </c>
      <c r="B269" s="13">
        <v>2497</v>
      </c>
      <c r="C269" s="14" t="s">
        <v>1263</v>
      </c>
      <c r="D269" s="14" t="s">
        <v>669</v>
      </c>
      <c r="E269" s="15">
        <v>45936</v>
      </c>
      <c r="F269" s="14" t="s">
        <v>18</v>
      </c>
      <c r="G269" s="16">
        <v>70</v>
      </c>
    </row>
    <row r="270" spans="1:7" x14ac:dyDescent="0.25">
      <c r="A270" s="13" t="s">
        <v>2550</v>
      </c>
      <c r="B270" s="13">
        <v>2497</v>
      </c>
      <c r="C270" s="14" t="s">
        <v>1263</v>
      </c>
      <c r="D270" s="14" t="s">
        <v>669</v>
      </c>
      <c r="E270" s="15">
        <v>45936</v>
      </c>
      <c r="F270" s="14" t="s">
        <v>20</v>
      </c>
      <c r="G270" s="16">
        <v>96.96</v>
      </c>
    </row>
    <row r="271" spans="1:7" x14ac:dyDescent="0.25">
      <c r="A271" s="13" t="s">
        <v>2528</v>
      </c>
      <c r="B271" s="13">
        <v>2509</v>
      </c>
      <c r="C271" s="14" t="s">
        <v>1963</v>
      </c>
      <c r="D271" s="14" t="s">
        <v>22</v>
      </c>
      <c r="E271" s="15">
        <v>45929</v>
      </c>
      <c r="F271" s="14" t="s">
        <v>23</v>
      </c>
      <c r="G271" s="16">
        <v>45</v>
      </c>
    </row>
    <row r="272" spans="1:7" x14ac:dyDescent="0.25">
      <c r="A272" s="13" t="s">
        <v>2528</v>
      </c>
      <c r="B272" s="13">
        <v>2509</v>
      </c>
      <c r="C272" s="14" t="s">
        <v>1963</v>
      </c>
      <c r="D272" s="14" t="s">
        <v>22</v>
      </c>
      <c r="E272" s="15">
        <v>45930</v>
      </c>
      <c r="F272" s="14" t="s">
        <v>19</v>
      </c>
      <c r="G272" s="16">
        <v>159.63999999999999</v>
      </c>
    </row>
    <row r="273" spans="1:7" x14ac:dyDescent="0.25">
      <c r="A273" s="13" t="s">
        <v>2528</v>
      </c>
      <c r="B273" s="13">
        <v>2509</v>
      </c>
      <c r="C273" s="14" t="s">
        <v>1963</v>
      </c>
      <c r="D273" s="14" t="s">
        <v>22</v>
      </c>
      <c r="E273" s="15">
        <v>45931</v>
      </c>
      <c r="F273" s="14" t="s">
        <v>20</v>
      </c>
      <c r="G273" s="16">
        <v>30.358000000000001</v>
      </c>
    </row>
    <row r="274" spans="1:7" x14ac:dyDescent="0.25">
      <c r="A274" s="13" t="s">
        <v>2525</v>
      </c>
      <c r="B274" s="13">
        <v>2519</v>
      </c>
      <c r="C274" s="14" t="s">
        <v>1069</v>
      </c>
      <c r="D274" s="14" t="s">
        <v>22</v>
      </c>
      <c r="E274" s="15">
        <v>45924</v>
      </c>
      <c r="F274" s="14" t="s">
        <v>23</v>
      </c>
      <c r="G274" s="16">
        <v>20</v>
      </c>
    </row>
    <row r="275" spans="1:7" x14ac:dyDescent="0.25">
      <c r="A275" s="13" t="s">
        <v>2525</v>
      </c>
      <c r="B275" s="13">
        <v>2519</v>
      </c>
      <c r="C275" s="14" t="s">
        <v>1069</v>
      </c>
      <c r="D275" s="14" t="s">
        <v>22</v>
      </c>
      <c r="E275" s="15">
        <v>45924</v>
      </c>
      <c r="F275" s="14" t="s">
        <v>20</v>
      </c>
      <c r="G275" s="16">
        <v>42.6</v>
      </c>
    </row>
    <row r="276" spans="1:7" x14ac:dyDescent="0.25">
      <c r="A276" s="13" t="s">
        <v>2615</v>
      </c>
      <c r="B276" s="13">
        <v>2521</v>
      </c>
      <c r="C276" s="14" t="s">
        <v>2616</v>
      </c>
      <c r="D276" s="14" t="s">
        <v>95</v>
      </c>
      <c r="E276" s="15">
        <v>45937</v>
      </c>
      <c r="F276" s="14" t="s">
        <v>312</v>
      </c>
      <c r="G276" s="16">
        <v>250</v>
      </c>
    </row>
    <row r="277" spans="1:7" x14ac:dyDescent="0.25">
      <c r="A277" s="13" t="s">
        <v>2534</v>
      </c>
      <c r="B277" s="13">
        <v>2535</v>
      </c>
      <c r="C277" s="14" t="s">
        <v>30</v>
      </c>
      <c r="D277" s="14" t="s">
        <v>306</v>
      </c>
      <c r="E277" s="15">
        <v>45924</v>
      </c>
      <c r="F277" s="14" t="s">
        <v>18</v>
      </c>
      <c r="G277" s="16">
        <v>60</v>
      </c>
    </row>
    <row r="278" spans="1:7" x14ac:dyDescent="0.25">
      <c r="A278" s="13" t="s">
        <v>2534</v>
      </c>
      <c r="B278" s="13">
        <v>2535</v>
      </c>
      <c r="C278" s="14" t="s">
        <v>30</v>
      </c>
      <c r="D278" s="14" t="s">
        <v>306</v>
      </c>
      <c r="E278" s="15">
        <v>45924</v>
      </c>
      <c r="F278" s="14" t="s">
        <v>20</v>
      </c>
      <c r="G278" s="16">
        <v>3.63</v>
      </c>
    </row>
    <row r="279" spans="1:7" x14ac:dyDescent="0.25">
      <c r="A279" s="13" t="s">
        <v>2494</v>
      </c>
      <c r="B279" s="13">
        <v>2565</v>
      </c>
      <c r="C279" s="14" t="s">
        <v>2165</v>
      </c>
      <c r="D279" s="14" t="s">
        <v>22</v>
      </c>
      <c r="E279" s="15">
        <v>45915</v>
      </c>
      <c r="F279" s="14" t="s">
        <v>23</v>
      </c>
      <c r="G279" s="16">
        <v>50</v>
      </c>
    </row>
    <row r="280" spans="1:7" x14ac:dyDescent="0.25">
      <c r="A280" s="13" t="s">
        <v>2494</v>
      </c>
      <c r="B280" s="13">
        <v>2565</v>
      </c>
      <c r="C280" s="14" t="s">
        <v>2165</v>
      </c>
      <c r="D280" s="14" t="s">
        <v>22</v>
      </c>
      <c r="E280" s="15">
        <v>45915</v>
      </c>
      <c r="F280" s="14" t="s">
        <v>20</v>
      </c>
      <c r="G280" s="16">
        <v>29.585000000000001</v>
      </c>
    </row>
    <row r="281" spans="1:7" x14ac:dyDescent="0.25">
      <c r="A281" s="13" t="s">
        <v>2494</v>
      </c>
      <c r="B281" s="13">
        <v>2565</v>
      </c>
      <c r="C281" s="14" t="s">
        <v>2165</v>
      </c>
      <c r="D281" s="15" t="s">
        <v>22</v>
      </c>
      <c r="E281" s="15">
        <v>45923</v>
      </c>
      <c r="F281" s="14" t="s">
        <v>24</v>
      </c>
      <c r="G281" s="16">
        <v>180</v>
      </c>
    </row>
    <row r="282" spans="1:7" x14ac:dyDescent="0.25">
      <c r="A282" s="13" t="s">
        <v>2483</v>
      </c>
      <c r="B282" s="13">
        <v>2572</v>
      </c>
      <c r="C282" s="14" t="s">
        <v>462</v>
      </c>
      <c r="D282" s="14" t="s">
        <v>1978</v>
      </c>
      <c r="E282" s="15">
        <v>45926</v>
      </c>
      <c r="F282" s="14" t="s">
        <v>18</v>
      </c>
      <c r="G282" s="16">
        <v>60</v>
      </c>
    </row>
    <row r="283" spans="1:7" x14ac:dyDescent="0.25">
      <c r="A283" s="13" t="s">
        <v>2483</v>
      </c>
      <c r="B283" s="13">
        <v>2572</v>
      </c>
      <c r="C283" s="14" t="s">
        <v>462</v>
      </c>
      <c r="D283" s="15" t="s">
        <v>1978</v>
      </c>
      <c r="E283" s="15">
        <v>45926</v>
      </c>
      <c r="F283" s="14" t="s">
        <v>20</v>
      </c>
      <c r="G283" s="16">
        <v>9.49</v>
      </c>
    </row>
    <row r="284" spans="1:7" x14ac:dyDescent="0.25">
      <c r="A284" s="13" t="s">
        <v>2513</v>
      </c>
      <c r="B284" s="13">
        <v>2572</v>
      </c>
      <c r="C284" s="14" t="s">
        <v>462</v>
      </c>
      <c r="D284" s="14" t="s">
        <v>540</v>
      </c>
      <c r="E284" s="15">
        <v>45929</v>
      </c>
      <c r="F284" s="14" t="s">
        <v>18</v>
      </c>
      <c r="G284" s="16">
        <v>60</v>
      </c>
    </row>
    <row r="285" spans="1:7" x14ac:dyDescent="0.25">
      <c r="A285" s="13" t="s">
        <v>2513</v>
      </c>
      <c r="B285" s="13">
        <v>2572</v>
      </c>
      <c r="C285" s="14" t="s">
        <v>462</v>
      </c>
      <c r="D285" s="15" t="s">
        <v>540</v>
      </c>
      <c r="E285" s="15">
        <v>45929</v>
      </c>
      <c r="F285" s="14" t="s">
        <v>20</v>
      </c>
      <c r="G285" s="16">
        <v>18.875</v>
      </c>
    </row>
    <row r="286" spans="1:7" x14ac:dyDescent="0.25">
      <c r="A286" s="13" t="s">
        <v>2515</v>
      </c>
      <c r="B286" s="13">
        <v>2582</v>
      </c>
      <c r="C286" s="14" t="s">
        <v>903</v>
      </c>
      <c r="D286" s="14" t="s">
        <v>22</v>
      </c>
      <c r="E286" s="15">
        <v>45926</v>
      </c>
      <c r="F286" s="14" t="s">
        <v>23</v>
      </c>
      <c r="G286" s="16">
        <v>60</v>
      </c>
    </row>
    <row r="287" spans="1:7" x14ac:dyDescent="0.25">
      <c r="A287" s="13" t="s">
        <v>2515</v>
      </c>
      <c r="B287" s="13">
        <v>2582</v>
      </c>
      <c r="C287" s="14" t="s">
        <v>903</v>
      </c>
      <c r="D287" s="15" t="s">
        <v>22</v>
      </c>
      <c r="E287" s="15">
        <v>45926</v>
      </c>
      <c r="F287" s="14" t="s">
        <v>20</v>
      </c>
      <c r="G287" s="16">
        <v>3.9</v>
      </c>
    </row>
    <row r="288" spans="1:7" x14ac:dyDescent="0.25">
      <c r="A288" s="13" t="s">
        <v>2512</v>
      </c>
      <c r="B288" s="13">
        <v>2633</v>
      </c>
      <c r="C288" s="14" t="s">
        <v>157</v>
      </c>
      <c r="D288" s="14" t="s">
        <v>2384</v>
      </c>
      <c r="E288" s="15">
        <v>45930</v>
      </c>
      <c r="F288" s="14" t="s">
        <v>18</v>
      </c>
      <c r="G288" s="16">
        <v>70</v>
      </c>
    </row>
    <row r="289" spans="1:7" x14ac:dyDescent="0.25">
      <c r="A289" s="13" t="s">
        <v>2512</v>
      </c>
      <c r="B289" s="13">
        <v>2633</v>
      </c>
      <c r="C289" s="14" t="s">
        <v>157</v>
      </c>
      <c r="D289" s="14" t="s">
        <v>2384</v>
      </c>
      <c r="E289" s="15">
        <v>45925</v>
      </c>
      <c r="F289" s="14" t="s">
        <v>21</v>
      </c>
      <c r="G289" s="16">
        <v>36.159999999999997</v>
      </c>
    </row>
    <row r="290" spans="1:7" x14ac:dyDescent="0.25">
      <c r="A290" s="13" t="s">
        <v>2512</v>
      </c>
      <c r="B290" s="13">
        <v>2633</v>
      </c>
      <c r="C290" s="14" t="s">
        <v>157</v>
      </c>
      <c r="D290" s="14" t="s">
        <v>2384</v>
      </c>
      <c r="E290" s="15">
        <v>45925</v>
      </c>
      <c r="F290" s="14" t="s">
        <v>364</v>
      </c>
      <c r="G290" s="16">
        <v>58.84</v>
      </c>
    </row>
    <row r="291" spans="1:7" x14ac:dyDescent="0.25">
      <c r="A291" s="13" t="s">
        <v>2507</v>
      </c>
      <c r="B291" s="13">
        <v>2637</v>
      </c>
      <c r="C291" s="14" t="s">
        <v>1792</v>
      </c>
      <c r="D291" s="14" t="s">
        <v>2299</v>
      </c>
      <c r="E291" s="15">
        <v>45916</v>
      </c>
      <c r="F291" s="14" t="s">
        <v>18</v>
      </c>
      <c r="G291" s="16">
        <v>60</v>
      </c>
    </row>
    <row r="292" spans="1:7" x14ac:dyDescent="0.25">
      <c r="A292" s="13" t="s">
        <v>2507</v>
      </c>
      <c r="B292" s="13">
        <v>2637</v>
      </c>
      <c r="C292" s="14" t="s">
        <v>1792</v>
      </c>
      <c r="D292" s="15" t="s">
        <v>2299</v>
      </c>
      <c r="E292" s="15">
        <v>45916</v>
      </c>
      <c r="F292" s="14" t="s">
        <v>20</v>
      </c>
      <c r="G292" s="16">
        <v>15.3</v>
      </c>
    </row>
    <row r="293" spans="1:7" x14ac:dyDescent="0.25">
      <c r="A293" s="13" t="s">
        <v>2617</v>
      </c>
      <c r="B293" s="13">
        <v>2659</v>
      </c>
      <c r="C293" s="14" t="s">
        <v>2618</v>
      </c>
      <c r="D293" s="14" t="s">
        <v>158</v>
      </c>
      <c r="E293" s="15">
        <v>45926</v>
      </c>
      <c r="F293" s="14" t="s">
        <v>23</v>
      </c>
      <c r="G293" s="16">
        <v>50</v>
      </c>
    </row>
    <row r="294" spans="1:7" x14ac:dyDescent="0.25">
      <c r="A294" s="13" t="s">
        <v>2617</v>
      </c>
      <c r="B294" s="13">
        <v>2659</v>
      </c>
      <c r="C294" s="14" t="s">
        <v>2618</v>
      </c>
      <c r="D294" s="15" t="s">
        <v>158</v>
      </c>
      <c r="E294" s="15">
        <v>45926</v>
      </c>
      <c r="F294" s="14" t="s">
        <v>20</v>
      </c>
      <c r="G294" s="16">
        <v>2.605</v>
      </c>
    </row>
    <row r="295" spans="1:7" x14ac:dyDescent="0.25">
      <c r="A295" s="13" t="s">
        <v>2617</v>
      </c>
      <c r="B295" s="13">
        <v>2659</v>
      </c>
      <c r="C295" s="14" t="s">
        <v>2618</v>
      </c>
      <c r="D295" s="15" t="s">
        <v>158</v>
      </c>
      <c r="E295" s="15">
        <v>45937</v>
      </c>
      <c r="F295" s="14" t="s">
        <v>25</v>
      </c>
      <c r="G295" s="16">
        <v>400</v>
      </c>
    </row>
    <row r="296" spans="1:7" ht="18.75" x14ac:dyDescent="0.3">
      <c r="A296" s="14"/>
      <c r="B296" s="28"/>
      <c r="C296" s="29"/>
      <c r="D296" s="14"/>
      <c r="E296" s="28"/>
      <c r="F296" s="17" t="s">
        <v>11</v>
      </c>
      <c r="G296" s="17">
        <f>SUM(G10:G295)</f>
        <v>26607.923000000003</v>
      </c>
    </row>
    <row r="297" spans="1:7" ht="18.75" x14ac:dyDescent="0.3">
      <c r="A297" s="38"/>
      <c r="B297" s="39"/>
      <c r="C297" s="40"/>
      <c r="D297" s="41"/>
      <c r="E297" s="19"/>
      <c r="F297" s="18"/>
      <c r="G297" s="34"/>
    </row>
    <row r="298" spans="1:7" ht="18.75" x14ac:dyDescent="0.3">
      <c r="A298" s="35"/>
      <c r="B298" s="36"/>
      <c r="C298" s="37"/>
      <c r="D298" s="42"/>
      <c r="E298" s="43"/>
      <c r="F298" s="44"/>
      <c r="G298" s="44"/>
    </row>
    <row r="299" spans="1:7" ht="15.75" x14ac:dyDescent="0.25">
      <c r="A299" s="35"/>
      <c r="B299" s="36" t="s">
        <v>12</v>
      </c>
      <c r="C299" s="37"/>
      <c r="E299" s="36" t="s">
        <v>13</v>
      </c>
      <c r="F299" s="18"/>
      <c r="G299" s="18"/>
    </row>
    <row r="300" spans="1:7" ht="15.75" x14ac:dyDescent="0.25">
      <c r="A300" s="45"/>
      <c r="B300" s="46" t="s">
        <v>14</v>
      </c>
      <c r="C300" s="47"/>
      <c r="E300" s="36" t="s">
        <v>15</v>
      </c>
      <c r="F300" s="18"/>
      <c r="G300" s="18"/>
    </row>
    <row r="301" spans="1:7" ht="15.75" x14ac:dyDescent="0.25">
      <c r="A301" s="23"/>
      <c r="B301" s="24"/>
      <c r="C301" s="25"/>
      <c r="E301" s="27"/>
      <c r="F301" s="18"/>
      <c r="G301" s="18"/>
    </row>
    <row r="302" spans="1:7" ht="18.75" x14ac:dyDescent="0.3">
      <c r="B302" s="19"/>
      <c r="C302" s="20"/>
      <c r="D302" s="21"/>
      <c r="E302" s="22"/>
      <c r="F302" s="19"/>
      <c r="G302" s="22"/>
    </row>
    <row r="303" spans="1:7" ht="15.75" x14ac:dyDescent="0.25">
      <c r="A303" s="23"/>
      <c r="B303" s="24"/>
      <c r="C303" s="25"/>
      <c r="D303" s="26"/>
      <c r="E303" s="22"/>
      <c r="F303" s="27"/>
      <c r="G303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Page &amp;P de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workbookViewId="0">
      <pane ySplit="9" topLeftCell="A10" activePane="bottomLeft" state="frozen"/>
      <selection pane="bottomLeft" activeCell="B4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2627</v>
      </c>
      <c r="C5" s="7"/>
      <c r="D5" s="4"/>
    </row>
    <row r="6" spans="1:7" ht="22.5" customHeight="1" x14ac:dyDescent="0.25">
      <c r="A6" s="6"/>
      <c r="B6" s="8" t="s">
        <v>2761</v>
      </c>
      <c r="C6" s="9"/>
      <c r="D6" s="4"/>
    </row>
    <row r="7" spans="1:7" ht="22.5" customHeight="1" x14ac:dyDescent="0.35">
      <c r="A7" s="4"/>
      <c r="B7" s="10"/>
      <c r="C7" s="11" t="s">
        <v>2762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2696</v>
      </c>
      <c r="B10" s="13">
        <v>700</v>
      </c>
      <c r="C10" s="14" t="str">
        <f>+VLOOKUP(B10,[1]LISTE!$A$1:$D$431,4,FALSE)</f>
        <v>ZORGATI ABDELFATTEH</v>
      </c>
      <c r="D10" s="14" t="s">
        <v>296</v>
      </c>
      <c r="E10" s="15">
        <v>45943</v>
      </c>
      <c r="F10" s="14" t="s">
        <v>23</v>
      </c>
      <c r="G10" s="16">
        <v>25</v>
      </c>
    </row>
    <row r="11" spans="1:7" x14ac:dyDescent="0.25">
      <c r="A11" s="13" t="s">
        <v>2696</v>
      </c>
      <c r="B11" s="13">
        <v>700</v>
      </c>
      <c r="C11" s="14" t="str">
        <f>+VLOOKUP(B11,[1]LISTE!$A$1:$D$431,4,FALSE)</f>
        <v>ZORGATI ABDELFATTEH</v>
      </c>
      <c r="D11" s="15" t="s">
        <v>296</v>
      </c>
      <c r="E11" s="15">
        <v>45943</v>
      </c>
      <c r="F11" s="14" t="s">
        <v>19</v>
      </c>
      <c r="G11" s="16">
        <v>76.546000000000006</v>
      </c>
    </row>
    <row r="12" spans="1:7" x14ac:dyDescent="0.25">
      <c r="A12" s="13" t="s">
        <v>2696</v>
      </c>
      <c r="B12" s="13">
        <v>700</v>
      </c>
      <c r="C12" s="14" t="str">
        <f>+VLOOKUP(B12,[1]LISTE!$A$1:$D$431,4,FALSE)</f>
        <v>ZORGATI ABDELFATTEH</v>
      </c>
      <c r="D12" s="15" t="s">
        <v>296</v>
      </c>
      <c r="E12" s="15">
        <v>45944</v>
      </c>
      <c r="F12" s="14" t="s">
        <v>20</v>
      </c>
      <c r="G12" s="16">
        <v>36.79</v>
      </c>
    </row>
    <row r="13" spans="1:7" x14ac:dyDescent="0.25">
      <c r="A13" s="13" t="s">
        <v>2738</v>
      </c>
      <c r="B13" s="13">
        <v>775</v>
      </c>
      <c r="C13" s="14" t="str">
        <f>+VLOOKUP(B13,[1]LISTE!$A$1:$D$431,4,FALSE)</f>
        <v>ZORGATI MONDHER</v>
      </c>
      <c r="D13" s="14" t="s">
        <v>236</v>
      </c>
      <c r="E13" s="15">
        <v>45953</v>
      </c>
      <c r="F13" s="14" t="s">
        <v>23</v>
      </c>
      <c r="G13" s="16">
        <v>40</v>
      </c>
    </row>
    <row r="14" spans="1:7" x14ac:dyDescent="0.25">
      <c r="A14" s="13" t="s">
        <v>2738</v>
      </c>
      <c r="B14" s="13">
        <v>775</v>
      </c>
      <c r="C14" s="14" t="str">
        <f>+VLOOKUP(B14,[1]LISTE!$A$1:$D$431,4,FALSE)</f>
        <v>ZORGATI MONDHER</v>
      </c>
      <c r="D14" s="14" t="s">
        <v>236</v>
      </c>
      <c r="E14" s="15">
        <v>45953</v>
      </c>
      <c r="F14" s="14" t="s">
        <v>20</v>
      </c>
      <c r="G14" s="16">
        <v>21.24</v>
      </c>
    </row>
    <row r="15" spans="1:7" x14ac:dyDescent="0.25">
      <c r="A15" s="13" t="s">
        <v>2653</v>
      </c>
      <c r="B15" s="13">
        <v>879</v>
      </c>
      <c r="C15" s="14" t="str">
        <f>+VLOOKUP(B15,[1]LISTE!$A$1:$D$431,4,FALSE)</f>
        <v>MOUSSA ABDERRAZEK</v>
      </c>
      <c r="D15" s="14" t="s">
        <v>79</v>
      </c>
      <c r="E15" s="15">
        <v>45943</v>
      </c>
      <c r="F15" s="14" t="s">
        <v>23</v>
      </c>
      <c r="G15" s="16">
        <v>45</v>
      </c>
    </row>
    <row r="16" spans="1:7" x14ac:dyDescent="0.25">
      <c r="A16" s="13" t="s">
        <v>2653</v>
      </c>
      <c r="B16" s="13">
        <v>879</v>
      </c>
      <c r="C16" s="14" t="str">
        <f>+VLOOKUP(B16,[1]LISTE!$A$1:$D$431,4,FALSE)</f>
        <v>MOUSSA ABDERRAZEK</v>
      </c>
      <c r="D16" s="14" t="s">
        <v>79</v>
      </c>
      <c r="E16" s="15">
        <v>45943</v>
      </c>
      <c r="F16" s="14" t="s">
        <v>19</v>
      </c>
      <c r="G16" s="16">
        <v>46.89</v>
      </c>
    </row>
    <row r="17" spans="1:7" x14ac:dyDescent="0.25">
      <c r="A17" s="13" t="s">
        <v>2653</v>
      </c>
      <c r="B17" s="13">
        <v>879</v>
      </c>
      <c r="C17" s="14" t="str">
        <f>+VLOOKUP(B17,[1]LISTE!$A$1:$D$431,4,FALSE)</f>
        <v>MOUSSA ABDERRAZEK</v>
      </c>
      <c r="D17" s="14" t="s">
        <v>79</v>
      </c>
      <c r="E17" s="15">
        <v>45943</v>
      </c>
      <c r="F17" s="14" t="s">
        <v>20</v>
      </c>
      <c r="G17" s="16">
        <v>10.336</v>
      </c>
    </row>
    <row r="18" spans="1:7" x14ac:dyDescent="0.25">
      <c r="A18" s="13" t="s">
        <v>2742</v>
      </c>
      <c r="B18" s="13">
        <v>1504</v>
      </c>
      <c r="C18" s="14" t="str">
        <f>+VLOOKUP(B18,[1]LISTE!$A$1:$D$431,4,FALSE)</f>
        <v>ABBADI HABIB</v>
      </c>
      <c r="D18" s="15" t="s">
        <v>22</v>
      </c>
      <c r="E18" s="15">
        <v>45954</v>
      </c>
      <c r="F18" s="14" t="s">
        <v>20</v>
      </c>
      <c r="G18" s="16">
        <v>136.13999999999999</v>
      </c>
    </row>
    <row r="19" spans="1:7" x14ac:dyDescent="0.25">
      <c r="A19" s="13" t="s">
        <v>2691</v>
      </c>
      <c r="B19" s="13">
        <v>1510</v>
      </c>
      <c r="C19" s="14" t="str">
        <f>+VLOOKUP(B19,[1]LISTE!$A$1:$D$431,4,FALSE)</f>
        <v>GAALOUL FETHI</v>
      </c>
      <c r="D19" s="14" t="s">
        <v>22</v>
      </c>
      <c r="E19" s="15">
        <v>45943</v>
      </c>
      <c r="F19" s="14" t="s">
        <v>23</v>
      </c>
      <c r="G19" s="16">
        <v>40</v>
      </c>
    </row>
    <row r="20" spans="1:7" x14ac:dyDescent="0.25">
      <c r="A20" s="13" t="s">
        <v>2691</v>
      </c>
      <c r="B20" s="13">
        <v>1510</v>
      </c>
      <c r="C20" s="14" t="str">
        <f>+VLOOKUP(B20,[1]LISTE!$A$1:$D$431,4,FALSE)</f>
        <v>GAALOUL FETHI</v>
      </c>
      <c r="D20" s="14" t="s">
        <v>22</v>
      </c>
      <c r="E20" s="15">
        <v>45943</v>
      </c>
      <c r="F20" s="14" t="s">
        <v>20</v>
      </c>
      <c r="G20" s="16">
        <v>59.954000000000001</v>
      </c>
    </row>
    <row r="21" spans="1:7" x14ac:dyDescent="0.25">
      <c r="A21" s="13" t="s">
        <v>2709</v>
      </c>
      <c r="B21" s="13">
        <v>1572</v>
      </c>
      <c r="C21" s="14" t="str">
        <f>+VLOOKUP(B21,[1]LISTE!$A$1:$D$431,4,FALSE)</f>
        <v>MIMOUNA MEHDI</v>
      </c>
      <c r="D21" s="14" t="s">
        <v>22</v>
      </c>
      <c r="E21" s="15">
        <v>45944</v>
      </c>
      <c r="F21" s="14" t="s">
        <v>23</v>
      </c>
      <c r="G21" s="16">
        <v>20</v>
      </c>
    </row>
    <row r="22" spans="1:7" x14ac:dyDescent="0.25">
      <c r="A22" s="13" t="s">
        <v>2709</v>
      </c>
      <c r="B22" s="13">
        <v>1572</v>
      </c>
      <c r="C22" s="14" t="str">
        <f>+VLOOKUP(B22,[1]LISTE!$A$1:$D$431,4,FALSE)</f>
        <v>MIMOUNA MEHDI</v>
      </c>
      <c r="D22" s="14" t="s">
        <v>22</v>
      </c>
      <c r="E22" s="15">
        <v>45944</v>
      </c>
      <c r="F22" s="14" t="s">
        <v>20</v>
      </c>
      <c r="G22" s="16">
        <v>33.942999999999998</v>
      </c>
    </row>
    <row r="23" spans="1:7" x14ac:dyDescent="0.25">
      <c r="A23" s="13" t="s">
        <v>2709</v>
      </c>
      <c r="B23" s="13">
        <v>1572</v>
      </c>
      <c r="C23" s="14" t="str">
        <f>+VLOOKUP(B23,[1]LISTE!$A$1:$D$431,4,FALSE)</f>
        <v>MIMOUNA MEHDI</v>
      </c>
      <c r="D23" s="14" t="s">
        <v>22</v>
      </c>
      <c r="E23" s="15">
        <v>45944</v>
      </c>
      <c r="F23" s="14" t="s">
        <v>21</v>
      </c>
      <c r="G23" s="16">
        <v>40</v>
      </c>
    </row>
    <row r="24" spans="1:7" x14ac:dyDescent="0.25">
      <c r="A24" s="13" t="s">
        <v>2656</v>
      </c>
      <c r="B24" s="13">
        <v>1580</v>
      </c>
      <c r="C24" s="14" t="str">
        <f>+VLOOKUP(B24,[1]LISTE!$A$1:$D$431,4,FALSE)</f>
        <v>ZARRAA MOHAMED</v>
      </c>
      <c r="D24" s="15" t="s">
        <v>311</v>
      </c>
      <c r="E24" s="15">
        <v>45932</v>
      </c>
      <c r="F24" s="14" t="s">
        <v>18</v>
      </c>
      <c r="G24" s="16">
        <v>70</v>
      </c>
    </row>
    <row r="25" spans="1:7" x14ac:dyDescent="0.25">
      <c r="A25" s="13" t="s">
        <v>2656</v>
      </c>
      <c r="B25" s="13">
        <v>1580</v>
      </c>
      <c r="C25" s="14" t="str">
        <f>+VLOOKUP(B25,[1]LISTE!$A$1:$D$431,4,FALSE)</f>
        <v>ZARRAA MOHAMED</v>
      </c>
      <c r="D25" s="15" t="s">
        <v>311</v>
      </c>
      <c r="E25" s="15">
        <v>45936</v>
      </c>
      <c r="F25" s="14" t="s">
        <v>69</v>
      </c>
      <c r="G25" s="16">
        <v>580</v>
      </c>
    </row>
    <row r="26" spans="1:7" x14ac:dyDescent="0.25">
      <c r="A26" s="13" t="s">
        <v>2713</v>
      </c>
      <c r="B26" s="13">
        <v>1595</v>
      </c>
      <c r="C26" s="14" t="str">
        <f>+VLOOKUP(B26,[1]LISTE!$A$1:$D$431,4,FALSE)</f>
        <v>BEN SALEM FETHI</v>
      </c>
      <c r="D26" s="14" t="s">
        <v>240</v>
      </c>
      <c r="E26" s="15">
        <v>45951</v>
      </c>
      <c r="F26" s="14" t="s">
        <v>20</v>
      </c>
      <c r="G26" s="16">
        <v>34.158000000000001</v>
      </c>
    </row>
    <row r="27" spans="1:7" x14ac:dyDescent="0.25">
      <c r="A27" s="13" t="s">
        <v>2713</v>
      </c>
      <c r="B27" s="13">
        <v>1595</v>
      </c>
      <c r="C27" s="14" t="str">
        <f>+VLOOKUP(B27,[1]LISTE!$A$1:$D$431,4,FALSE)</f>
        <v>BEN SALEM FETHI</v>
      </c>
      <c r="D27" s="14" t="s">
        <v>240</v>
      </c>
      <c r="E27" s="15">
        <v>45951</v>
      </c>
      <c r="F27" s="14" t="s">
        <v>24</v>
      </c>
      <c r="G27" s="16">
        <v>180</v>
      </c>
    </row>
    <row r="28" spans="1:7" x14ac:dyDescent="0.25">
      <c r="A28" s="13" t="s">
        <v>2654</v>
      </c>
      <c r="B28" s="13">
        <v>1596</v>
      </c>
      <c r="C28" s="14" t="str">
        <f>+VLOOKUP(B28,[1]LISTE!$A$1:$D$431,4,FALSE)</f>
        <v>GORCHENE NOUREDDINE</v>
      </c>
      <c r="D28" s="14" t="s">
        <v>991</v>
      </c>
      <c r="E28" s="15">
        <v>45943</v>
      </c>
      <c r="F28" s="14" t="s">
        <v>23</v>
      </c>
      <c r="G28" s="16">
        <v>45</v>
      </c>
    </row>
    <row r="29" spans="1:7" x14ac:dyDescent="0.25">
      <c r="A29" s="13" t="s">
        <v>2654</v>
      </c>
      <c r="B29" s="13">
        <v>1596</v>
      </c>
      <c r="C29" s="14" t="str">
        <f>+VLOOKUP(B29,[1]LISTE!$A$1:$D$431,4,FALSE)</f>
        <v>GORCHENE NOUREDDINE</v>
      </c>
      <c r="D29" s="14" t="s">
        <v>991</v>
      </c>
      <c r="E29" s="15">
        <v>45943</v>
      </c>
      <c r="F29" s="14" t="s">
        <v>20</v>
      </c>
      <c r="G29" s="16">
        <v>50.15</v>
      </c>
    </row>
    <row r="30" spans="1:7" x14ac:dyDescent="0.25">
      <c r="A30" s="13" t="s">
        <v>2632</v>
      </c>
      <c r="B30" s="13">
        <v>1597</v>
      </c>
      <c r="C30" s="14" t="str">
        <f>+VLOOKUP(B30,[1]LISTE!$A$1:$D$431,4,FALSE)</f>
        <v>AMARA KARIM</v>
      </c>
      <c r="D30" s="14" t="s">
        <v>153</v>
      </c>
      <c r="E30" s="15">
        <v>45917</v>
      </c>
      <c r="F30" s="14" t="s">
        <v>18</v>
      </c>
      <c r="G30" s="16">
        <v>100</v>
      </c>
    </row>
    <row r="31" spans="1:7" x14ac:dyDescent="0.25">
      <c r="A31" s="13" t="s">
        <v>2632</v>
      </c>
      <c r="B31" s="13">
        <v>1597</v>
      </c>
      <c r="C31" s="14" t="str">
        <f>+VLOOKUP(B31,[1]LISTE!$A$1:$D$431,4,FALSE)</f>
        <v>AMARA KARIM</v>
      </c>
      <c r="D31" s="14" t="s">
        <v>153</v>
      </c>
      <c r="E31" s="15">
        <v>45917</v>
      </c>
      <c r="F31" s="14" t="s">
        <v>20</v>
      </c>
      <c r="G31" s="16">
        <v>11.425000000000001</v>
      </c>
    </row>
    <row r="32" spans="1:7" x14ac:dyDescent="0.25">
      <c r="A32" s="13" t="s">
        <v>2669</v>
      </c>
      <c r="B32" s="13">
        <v>1597</v>
      </c>
      <c r="C32" s="14" t="str">
        <f>+VLOOKUP(B32,[1]LISTE!$A$1:$D$431,4,FALSE)</f>
        <v>AMARA KARIM</v>
      </c>
      <c r="D32" s="15" t="s">
        <v>153</v>
      </c>
      <c r="E32" s="15">
        <v>45926</v>
      </c>
      <c r="F32" s="14" t="s">
        <v>18</v>
      </c>
      <c r="G32" s="16">
        <v>70</v>
      </c>
    </row>
    <row r="33" spans="1:7" x14ac:dyDescent="0.25">
      <c r="A33" s="13" t="s">
        <v>2669</v>
      </c>
      <c r="B33" s="13">
        <v>1597</v>
      </c>
      <c r="C33" s="14" t="str">
        <f>+VLOOKUP(B33,[1]LISTE!$A$1:$D$431,4,FALSE)</f>
        <v>AMARA KARIM</v>
      </c>
      <c r="D33" s="14" t="s">
        <v>153</v>
      </c>
      <c r="E33" s="15">
        <v>45926</v>
      </c>
      <c r="F33" s="14" t="s">
        <v>20</v>
      </c>
      <c r="G33" s="16">
        <v>153.15600000000001</v>
      </c>
    </row>
    <row r="34" spans="1:7" x14ac:dyDescent="0.25">
      <c r="A34" s="13" t="s">
        <v>2753</v>
      </c>
      <c r="B34" s="13">
        <v>1603</v>
      </c>
      <c r="C34" s="14" t="str">
        <f>+VLOOKUP(B34,[1]LISTE!$A$1:$D$431,4,FALSE)</f>
        <v>MANSOUR SALHA</v>
      </c>
      <c r="D34" s="14" t="s">
        <v>22</v>
      </c>
      <c r="E34" s="15">
        <v>45933</v>
      </c>
      <c r="F34" s="14" t="s">
        <v>21</v>
      </c>
      <c r="G34" s="16">
        <v>160</v>
      </c>
    </row>
    <row r="35" spans="1:7" x14ac:dyDescent="0.25">
      <c r="A35" s="13" t="s">
        <v>2666</v>
      </c>
      <c r="B35" s="13">
        <v>1625</v>
      </c>
      <c r="C35" s="14" t="str">
        <f>+VLOOKUP(B35,[1]LISTE!$A$1:$D$431,4,FALSE)</f>
        <v>HAMILA SAMIR</v>
      </c>
      <c r="D35" s="14" t="s">
        <v>22</v>
      </c>
      <c r="E35" s="15">
        <v>45946</v>
      </c>
      <c r="F35" s="14" t="s">
        <v>23</v>
      </c>
      <c r="G35" s="16">
        <v>60</v>
      </c>
    </row>
    <row r="36" spans="1:7" x14ac:dyDescent="0.25">
      <c r="A36" s="13" t="s">
        <v>2666</v>
      </c>
      <c r="B36" s="13">
        <v>1625</v>
      </c>
      <c r="C36" s="14" t="str">
        <f>+VLOOKUP(B36,[1]LISTE!$A$1:$D$431,4,FALSE)</f>
        <v>HAMILA SAMIR</v>
      </c>
      <c r="D36" s="14" t="s">
        <v>22</v>
      </c>
      <c r="E36" s="15">
        <v>45947</v>
      </c>
      <c r="F36" s="14" t="s">
        <v>20</v>
      </c>
      <c r="G36" s="16">
        <v>21.100999999999999</v>
      </c>
    </row>
    <row r="37" spans="1:7" x14ac:dyDescent="0.25">
      <c r="A37" s="13" t="s">
        <v>2681</v>
      </c>
      <c r="B37" s="13">
        <v>1626</v>
      </c>
      <c r="C37" s="14" t="str">
        <f>+VLOOKUP(B37,[1]LISTE!$A$1:$D$431,4,FALSE)</f>
        <v>CHAARANA MOHAMED</v>
      </c>
      <c r="D37" s="14" t="s">
        <v>22</v>
      </c>
      <c r="E37" s="15">
        <v>45930</v>
      </c>
      <c r="F37" s="14" t="s">
        <v>23</v>
      </c>
      <c r="G37" s="16">
        <v>50</v>
      </c>
    </row>
    <row r="38" spans="1:7" x14ac:dyDescent="0.25">
      <c r="A38" s="13" t="s">
        <v>2681</v>
      </c>
      <c r="B38" s="13">
        <v>1626</v>
      </c>
      <c r="C38" s="14" t="str">
        <f>+VLOOKUP(B38,[1]LISTE!$A$1:$D$431,4,FALSE)</f>
        <v>CHAARANA MOHAMED</v>
      </c>
      <c r="D38" s="14" t="s">
        <v>22</v>
      </c>
      <c r="E38" s="15">
        <v>45930</v>
      </c>
      <c r="F38" s="14" t="s">
        <v>20</v>
      </c>
      <c r="G38" s="16">
        <v>12.675000000000001</v>
      </c>
    </row>
    <row r="39" spans="1:7" x14ac:dyDescent="0.25">
      <c r="A39" s="13" t="s">
        <v>2681</v>
      </c>
      <c r="B39" s="13">
        <v>1626</v>
      </c>
      <c r="C39" s="14" t="str">
        <f>+VLOOKUP(B39,[1]LISTE!$A$1:$D$431,4,FALSE)</f>
        <v>CHAARANA MOHAMED</v>
      </c>
      <c r="D39" s="15" t="s">
        <v>22</v>
      </c>
      <c r="E39" s="15">
        <v>45943</v>
      </c>
      <c r="F39" s="14" t="s">
        <v>24</v>
      </c>
      <c r="G39" s="16">
        <v>150</v>
      </c>
    </row>
    <row r="40" spans="1:7" x14ac:dyDescent="0.25">
      <c r="A40" s="13" t="s">
        <v>2673</v>
      </c>
      <c r="B40" s="13">
        <v>1639</v>
      </c>
      <c r="C40" s="14" t="str">
        <f>+VLOOKUP(B40,[1]LISTE!$A$1:$D$431,4,FALSE)</f>
        <v>ZBIDI FAKHER</v>
      </c>
      <c r="D40" s="14" t="s">
        <v>2674</v>
      </c>
      <c r="E40" s="15">
        <v>45910</v>
      </c>
      <c r="F40" s="14" t="s">
        <v>24</v>
      </c>
      <c r="G40" s="16">
        <v>600</v>
      </c>
    </row>
    <row r="41" spans="1:7" x14ac:dyDescent="0.25">
      <c r="A41" s="13" t="s">
        <v>2741</v>
      </c>
      <c r="B41" s="13">
        <v>1639</v>
      </c>
      <c r="C41" s="14" t="str">
        <f>+VLOOKUP(B41,[1]LISTE!$A$1:$D$431,4,FALSE)</f>
        <v>ZBIDI FAKHER</v>
      </c>
      <c r="D41" s="14" t="s">
        <v>163</v>
      </c>
      <c r="E41" s="15">
        <v>45953</v>
      </c>
      <c r="F41" s="14" t="s">
        <v>18</v>
      </c>
      <c r="G41" s="16">
        <v>70</v>
      </c>
    </row>
    <row r="42" spans="1:7" x14ac:dyDescent="0.25">
      <c r="A42" s="13" t="s">
        <v>2741</v>
      </c>
      <c r="B42" s="13">
        <v>1639</v>
      </c>
      <c r="C42" s="14" t="str">
        <f>+VLOOKUP(B42,[1]LISTE!$A$1:$D$431,4,FALSE)</f>
        <v>ZBIDI FAKHER</v>
      </c>
      <c r="D42" s="14" t="s">
        <v>163</v>
      </c>
      <c r="E42" s="15">
        <v>45953</v>
      </c>
      <c r="F42" s="14" t="s">
        <v>20</v>
      </c>
      <c r="G42" s="16">
        <v>7.83</v>
      </c>
    </row>
    <row r="43" spans="1:7" x14ac:dyDescent="0.25">
      <c r="A43" s="13" t="s">
        <v>2651</v>
      </c>
      <c r="B43" s="13">
        <v>1650</v>
      </c>
      <c r="C43" s="14" t="str">
        <f>+VLOOKUP(B43,[1]LISTE!$A$1:$D$431,4,FALSE)</f>
        <v>OUAJA RAOUF</v>
      </c>
      <c r="D43" s="14" t="s">
        <v>22</v>
      </c>
      <c r="E43" s="15">
        <v>45941</v>
      </c>
      <c r="F43" s="14" t="s">
        <v>23</v>
      </c>
      <c r="G43" s="16">
        <v>45</v>
      </c>
    </row>
    <row r="44" spans="1:7" x14ac:dyDescent="0.25">
      <c r="A44" s="13" t="s">
        <v>2651</v>
      </c>
      <c r="B44" s="13">
        <v>1650</v>
      </c>
      <c r="C44" s="14" t="str">
        <f>+VLOOKUP(B44,[1]LISTE!$A$1:$D$431,4,FALSE)</f>
        <v>OUAJA RAOUF</v>
      </c>
      <c r="D44" s="14" t="s">
        <v>22</v>
      </c>
      <c r="E44" s="15">
        <v>45941</v>
      </c>
      <c r="F44" s="14" t="s">
        <v>20</v>
      </c>
      <c r="G44" s="16">
        <v>99.566999999999993</v>
      </c>
    </row>
    <row r="45" spans="1:7" x14ac:dyDescent="0.25">
      <c r="A45" s="13" t="s">
        <v>2652</v>
      </c>
      <c r="B45" s="13">
        <v>1650</v>
      </c>
      <c r="C45" s="14" t="str">
        <f>+VLOOKUP(B45,[1]LISTE!$A$1:$D$431,4,FALSE)</f>
        <v>OUAJA RAOUF</v>
      </c>
      <c r="D45" s="14" t="s">
        <v>455</v>
      </c>
      <c r="E45" s="15">
        <v>45939</v>
      </c>
      <c r="F45" s="14" t="s">
        <v>23</v>
      </c>
      <c r="G45" s="16">
        <v>45</v>
      </c>
    </row>
    <row r="46" spans="1:7" x14ac:dyDescent="0.25">
      <c r="A46" s="13" t="s">
        <v>2652</v>
      </c>
      <c r="B46" s="13">
        <v>1650</v>
      </c>
      <c r="C46" s="14" t="str">
        <f>+VLOOKUP(B46,[1]LISTE!$A$1:$D$431,4,FALSE)</f>
        <v>OUAJA RAOUF</v>
      </c>
      <c r="D46" s="14" t="s">
        <v>455</v>
      </c>
      <c r="E46" s="15">
        <v>45939</v>
      </c>
      <c r="F46" s="14" t="s">
        <v>20</v>
      </c>
      <c r="G46" s="16">
        <v>95.837000000000003</v>
      </c>
    </row>
    <row r="47" spans="1:7" x14ac:dyDescent="0.25">
      <c r="A47" s="13" t="s">
        <v>2740</v>
      </c>
      <c r="B47" s="13">
        <v>1662</v>
      </c>
      <c r="C47" s="14" t="str">
        <f>+VLOOKUP(B47,[1]LISTE!$A$1:$D$431,4,FALSE)</f>
        <v>BEN SAAD ZIED</v>
      </c>
      <c r="D47" s="14" t="s">
        <v>206</v>
      </c>
      <c r="E47" s="15">
        <v>45933</v>
      </c>
      <c r="F47" s="14" t="s">
        <v>23</v>
      </c>
      <c r="G47" s="16">
        <v>45</v>
      </c>
    </row>
    <row r="48" spans="1:7" x14ac:dyDescent="0.25">
      <c r="A48" s="13" t="s">
        <v>2740</v>
      </c>
      <c r="B48" s="13">
        <v>1662</v>
      </c>
      <c r="C48" s="14" t="str">
        <f>+VLOOKUP(B48,[1]LISTE!$A$1:$D$431,4,FALSE)</f>
        <v>BEN SAAD ZIED</v>
      </c>
      <c r="D48" s="15" t="s">
        <v>206</v>
      </c>
      <c r="E48" s="15">
        <v>45937</v>
      </c>
      <c r="F48" s="14" t="s">
        <v>19</v>
      </c>
      <c r="G48" s="16">
        <v>117.81</v>
      </c>
    </row>
    <row r="49" spans="1:7" x14ac:dyDescent="0.25">
      <c r="A49" s="13" t="s">
        <v>2740</v>
      </c>
      <c r="B49" s="13">
        <v>1662</v>
      </c>
      <c r="C49" s="14" t="str">
        <f>+VLOOKUP(B49,[1]LISTE!$A$1:$D$431,4,FALSE)</f>
        <v>BEN SAAD ZIED</v>
      </c>
      <c r="D49" s="14" t="s">
        <v>206</v>
      </c>
      <c r="E49" s="15">
        <v>45937</v>
      </c>
      <c r="F49" s="14" t="s">
        <v>20</v>
      </c>
      <c r="G49" s="16">
        <v>131.57599999999999</v>
      </c>
    </row>
    <row r="50" spans="1:7" x14ac:dyDescent="0.25">
      <c r="A50" s="13" t="s">
        <v>2751</v>
      </c>
      <c r="B50" s="13">
        <v>1673</v>
      </c>
      <c r="C50" s="14" t="str">
        <f>+VLOOKUP(B50,[1]LISTE!$A$1:$D$431,4,FALSE)</f>
        <v>ABBASSI MONDHER</v>
      </c>
      <c r="D50" s="14" t="s">
        <v>128</v>
      </c>
      <c r="E50" s="15">
        <v>45911</v>
      </c>
      <c r="F50" s="14" t="s">
        <v>23</v>
      </c>
      <c r="G50" s="16">
        <v>40</v>
      </c>
    </row>
    <row r="51" spans="1:7" x14ac:dyDescent="0.25">
      <c r="A51" s="13" t="s">
        <v>2751</v>
      </c>
      <c r="B51" s="13">
        <v>1673</v>
      </c>
      <c r="C51" s="14" t="str">
        <f>+VLOOKUP(B51,[1]LISTE!$A$1:$D$431,4,FALSE)</f>
        <v>ABBASSI MONDHER</v>
      </c>
      <c r="D51" s="14" t="s">
        <v>128</v>
      </c>
      <c r="E51" s="15">
        <v>45911</v>
      </c>
      <c r="F51" s="14" t="s">
        <v>20</v>
      </c>
      <c r="G51" s="16">
        <v>2.7149999999999999</v>
      </c>
    </row>
    <row r="52" spans="1:7" x14ac:dyDescent="0.25">
      <c r="A52" s="13" t="s">
        <v>2659</v>
      </c>
      <c r="B52" s="13">
        <v>1677</v>
      </c>
      <c r="C52" s="14" t="str">
        <f>+VLOOKUP(B52,[1]LISTE!$A$1:$D$431,4,FALSE)</f>
        <v>HADJ AMMAR BRAHIM</v>
      </c>
      <c r="D52" s="14" t="s">
        <v>311</v>
      </c>
      <c r="E52" s="15">
        <v>45933</v>
      </c>
      <c r="F52" s="14" t="s">
        <v>23</v>
      </c>
      <c r="G52" s="16">
        <v>1.5</v>
      </c>
    </row>
    <row r="53" spans="1:7" x14ac:dyDescent="0.25">
      <c r="A53" s="13" t="s">
        <v>2659</v>
      </c>
      <c r="B53" s="13">
        <v>1677</v>
      </c>
      <c r="C53" s="14" t="str">
        <f>+VLOOKUP(B53,[1]LISTE!$A$1:$D$431,4,FALSE)</f>
        <v>HADJ AMMAR BRAHIM</v>
      </c>
      <c r="D53" s="14" t="s">
        <v>311</v>
      </c>
      <c r="E53" s="15">
        <v>45933</v>
      </c>
      <c r="F53" s="14" t="s">
        <v>23</v>
      </c>
      <c r="G53" s="16">
        <v>1.5</v>
      </c>
    </row>
    <row r="54" spans="1:7" x14ac:dyDescent="0.25">
      <c r="A54" s="13" t="s">
        <v>2659</v>
      </c>
      <c r="B54" s="13">
        <v>1677</v>
      </c>
      <c r="C54" s="14" t="str">
        <f>+VLOOKUP(B54,[1]LISTE!$A$1:$D$431,4,FALSE)</f>
        <v>HADJ AMMAR BRAHIM</v>
      </c>
      <c r="D54" s="14" t="s">
        <v>311</v>
      </c>
      <c r="E54" s="15">
        <v>45933</v>
      </c>
      <c r="F54" s="14" t="s">
        <v>19</v>
      </c>
      <c r="G54" s="16">
        <v>10</v>
      </c>
    </row>
    <row r="55" spans="1:7" x14ac:dyDescent="0.25">
      <c r="A55" s="13" t="s">
        <v>2659</v>
      </c>
      <c r="B55" s="13">
        <v>1677</v>
      </c>
      <c r="C55" s="14" t="str">
        <f>+VLOOKUP(B55,[1]LISTE!$A$1:$D$431,4,FALSE)</f>
        <v>HADJ AMMAR BRAHIM</v>
      </c>
      <c r="D55" s="14" t="s">
        <v>311</v>
      </c>
      <c r="E55" s="15">
        <v>45933</v>
      </c>
      <c r="F55" s="14" t="s">
        <v>20</v>
      </c>
      <c r="G55" s="16">
        <v>53.491999999999997</v>
      </c>
    </row>
    <row r="56" spans="1:7" x14ac:dyDescent="0.25">
      <c r="A56" s="13" t="s">
        <v>2636</v>
      </c>
      <c r="B56" s="13">
        <v>1685</v>
      </c>
      <c r="C56" s="14" t="str">
        <f>+VLOOKUP(B56,[1]LISTE!$A$1:$D$431,4,FALSE)</f>
        <v>MAHJOUB MOHAMED KARIM</v>
      </c>
      <c r="D56" s="14" t="s">
        <v>421</v>
      </c>
      <c r="E56" s="15">
        <v>45941</v>
      </c>
      <c r="F56" s="14" t="s">
        <v>20</v>
      </c>
      <c r="G56" s="16">
        <v>7.5670000000000002</v>
      </c>
    </row>
    <row r="57" spans="1:7" x14ac:dyDescent="0.25">
      <c r="A57" s="13" t="s">
        <v>2636</v>
      </c>
      <c r="B57" s="13">
        <v>1685</v>
      </c>
      <c r="C57" s="14" t="str">
        <f>+VLOOKUP(B57,[1]LISTE!$A$1:$D$431,4,FALSE)</f>
        <v>MAHJOUB MOHAMED KARIM</v>
      </c>
      <c r="D57" s="14" t="s">
        <v>421</v>
      </c>
      <c r="E57" s="15">
        <v>45941</v>
      </c>
      <c r="F57" s="14" t="s">
        <v>363</v>
      </c>
      <c r="G57" s="16">
        <v>250</v>
      </c>
    </row>
    <row r="58" spans="1:7" x14ac:dyDescent="0.25">
      <c r="A58" s="13" t="s">
        <v>2672</v>
      </c>
      <c r="B58" s="13">
        <v>1685</v>
      </c>
      <c r="C58" s="14" t="str">
        <f>+VLOOKUP(B58,[1]LISTE!$A$1:$D$431,4,FALSE)</f>
        <v>MAHJOUB MOHAMED KARIM</v>
      </c>
      <c r="D58" s="14" t="s">
        <v>22</v>
      </c>
      <c r="E58" s="15">
        <v>45941</v>
      </c>
      <c r="F58" s="14" t="s">
        <v>18</v>
      </c>
      <c r="G58" s="16">
        <v>30</v>
      </c>
    </row>
    <row r="59" spans="1:7" x14ac:dyDescent="0.25">
      <c r="A59" s="13" t="s">
        <v>2672</v>
      </c>
      <c r="B59" s="13">
        <v>1685</v>
      </c>
      <c r="C59" s="14" t="str">
        <f>+VLOOKUP(B59,[1]LISTE!$A$1:$D$431,4,FALSE)</f>
        <v>MAHJOUB MOHAMED KARIM</v>
      </c>
      <c r="D59" s="15" t="s">
        <v>22</v>
      </c>
      <c r="E59" s="15">
        <v>45949</v>
      </c>
      <c r="F59" s="14" t="s">
        <v>69</v>
      </c>
      <c r="G59" s="16">
        <v>360</v>
      </c>
    </row>
    <row r="60" spans="1:7" x14ac:dyDescent="0.25">
      <c r="A60" s="13" t="s">
        <v>2714</v>
      </c>
      <c r="B60" s="13">
        <v>1687</v>
      </c>
      <c r="C60" s="14" t="str">
        <f>+VLOOKUP(B60,[1]LISTE!$A$1:$D$431,4,FALSE)</f>
        <v>LACHHAB SAHBI</v>
      </c>
      <c r="D60" s="14" t="s">
        <v>26</v>
      </c>
      <c r="E60" s="15">
        <v>45953</v>
      </c>
      <c r="F60" s="14" t="s">
        <v>18</v>
      </c>
      <c r="G60" s="16">
        <v>70</v>
      </c>
    </row>
    <row r="61" spans="1:7" x14ac:dyDescent="0.25">
      <c r="A61" s="13" t="s">
        <v>2714</v>
      </c>
      <c r="B61" s="13">
        <v>1687</v>
      </c>
      <c r="C61" s="14" t="str">
        <f>+VLOOKUP(B61,[1]LISTE!$A$1:$D$431,4,FALSE)</f>
        <v>LACHHAB SAHBI</v>
      </c>
      <c r="D61" s="14" t="s">
        <v>26</v>
      </c>
      <c r="E61" s="15">
        <v>45953</v>
      </c>
      <c r="F61" s="14" t="s">
        <v>69</v>
      </c>
      <c r="G61" s="16">
        <v>400</v>
      </c>
    </row>
    <row r="62" spans="1:7" x14ac:dyDescent="0.25">
      <c r="A62" s="13" t="s">
        <v>2638</v>
      </c>
      <c r="B62" s="13">
        <v>1689</v>
      </c>
      <c r="C62" s="14" t="str">
        <f>+VLOOKUP(B62,[1]LISTE!$A$1:$D$431,4,FALSE)</f>
        <v>GRAA SKANDER</v>
      </c>
      <c r="D62" s="14" t="s">
        <v>622</v>
      </c>
      <c r="E62" s="15">
        <v>45944</v>
      </c>
      <c r="F62" s="14" t="s">
        <v>23</v>
      </c>
      <c r="G62" s="16">
        <v>50</v>
      </c>
    </row>
    <row r="63" spans="1:7" x14ac:dyDescent="0.25">
      <c r="A63" s="13" t="s">
        <v>2638</v>
      </c>
      <c r="B63" s="13">
        <v>1689</v>
      </c>
      <c r="C63" s="14" t="str">
        <f>+VLOOKUP(B63,[1]LISTE!$A$1:$D$431,4,FALSE)</f>
        <v>GRAA SKANDER</v>
      </c>
      <c r="D63" s="14" t="s">
        <v>622</v>
      </c>
      <c r="E63" s="15">
        <v>45944</v>
      </c>
      <c r="F63" s="14" t="s">
        <v>20</v>
      </c>
      <c r="G63" s="16">
        <v>15.86</v>
      </c>
    </row>
    <row r="64" spans="1:7" x14ac:dyDescent="0.25">
      <c r="A64" s="13" t="s">
        <v>2693</v>
      </c>
      <c r="B64" s="13">
        <v>1691</v>
      </c>
      <c r="C64" s="14" t="str">
        <f>+VLOOKUP(B64,[1]LISTE!$A$1:$D$431,4,FALSE)</f>
        <v>GADHI MOHAMED</v>
      </c>
      <c r="D64" s="14" t="s">
        <v>2694</v>
      </c>
      <c r="E64" s="15">
        <v>45950</v>
      </c>
      <c r="F64" s="14" t="s">
        <v>18</v>
      </c>
      <c r="G64" s="16">
        <v>70</v>
      </c>
    </row>
    <row r="65" spans="1:7" x14ac:dyDescent="0.25">
      <c r="A65" s="13" t="s">
        <v>2643</v>
      </c>
      <c r="B65" s="13">
        <v>1694</v>
      </c>
      <c r="C65" s="14" t="str">
        <f>+VLOOKUP(B65,[1]LISTE!$A$1:$D$431,4,FALSE)</f>
        <v>ZRELLI KHALED</v>
      </c>
      <c r="D65" s="14" t="s">
        <v>125</v>
      </c>
      <c r="E65" s="15">
        <v>45906</v>
      </c>
      <c r="F65" s="14" t="s">
        <v>18</v>
      </c>
      <c r="G65" s="16">
        <v>30</v>
      </c>
    </row>
    <row r="66" spans="1:7" x14ac:dyDescent="0.25">
      <c r="A66" s="13" t="s">
        <v>2643</v>
      </c>
      <c r="B66" s="13">
        <v>1694</v>
      </c>
      <c r="C66" s="14" t="str">
        <f>+VLOOKUP(B66,[1]LISTE!$A$1:$D$431,4,FALSE)</f>
        <v>ZRELLI KHALED</v>
      </c>
      <c r="D66" s="14" t="s">
        <v>125</v>
      </c>
      <c r="E66" s="15">
        <v>45919</v>
      </c>
      <c r="F66" s="14" t="s">
        <v>69</v>
      </c>
      <c r="G66" s="16">
        <v>260</v>
      </c>
    </row>
    <row r="67" spans="1:7" x14ac:dyDescent="0.25">
      <c r="A67" s="13" t="s">
        <v>2746</v>
      </c>
      <c r="B67" s="13">
        <v>1695</v>
      </c>
      <c r="C67" s="14" t="str">
        <f>+VLOOKUP(B67,[1]LISTE!$A$1:$D$431,4,FALSE)</f>
        <v>BEN AROUS FOUED</v>
      </c>
      <c r="D67" s="14" t="s">
        <v>2747</v>
      </c>
      <c r="E67" s="15">
        <v>45940</v>
      </c>
      <c r="F67" s="14" t="s">
        <v>23</v>
      </c>
      <c r="G67" s="16">
        <v>50</v>
      </c>
    </row>
    <row r="68" spans="1:7" x14ac:dyDescent="0.25">
      <c r="A68" s="13" t="s">
        <v>2746</v>
      </c>
      <c r="B68" s="13">
        <v>1695</v>
      </c>
      <c r="C68" s="14" t="str">
        <f>+VLOOKUP(B68,[1]LISTE!$A$1:$D$431,4,FALSE)</f>
        <v>BEN AROUS FOUED</v>
      </c>
      <c r="D68" s="14" t="s">
        <v>2747</v>
      </c>
      <c r="E68" s="15">
        <v>45940</v>
      </c>
      <c r="F68" s="14" t="s">
        <v>20</v>
      </c>
      <c r="G68" s="16">
        <v>3.71</v>
      </c>
    </row>
    <row r="69" spans="1:7" x14ac:dyDescent="0.25">
      <c r="A69" s="13" t="s">
        <v>2746</v>
      </c>
      <c r="B69" s="13">
        <v>1695</v>
      </c>
      <c r="C69" s="14" t="str">
        <f>+VLOOKUP(B69,[1]LISTE!$A$1:$D$431,4,FALSE)</f>
        <v>BEN AROUS FOUED</v>
      </c>
      <c r="D69" s="14" t="s">
        <v>2747</v>
      </c>
      <c r="E69" s="15">
        <v>45954</v>
      </c>
      <c r="F69" s="14" t="s">
        <v>24</v>
      </c>
      <c r="G69" s="16">
        <v>250</v>
      </c>
    </row>
    <row r="70" spans="1:7" x14ac:dyDescent="0.25">
      <c r="A70" s="13" t="s">
        <v>2743</v>
      </c>
      <c r="B70" s="13">
        <v>1702</v>
      </c>
      <c r="C70" s="14" t="str">
        <f>+VLOOKUP(B70,[1]LISTE!$A$1:$D$431,4,FALSE)</f>
        <v>JAIET WALID</v>
      </c>
      <c r="D70" s="14" t="s">
        <v>151</v>
      </c>
      <c r="E70" s="15">
        <v>45952</v>
      </c>
      <c r="F70" s="14" t="s">
        <v>23</v>
      </c>
      <c r="G70" s="16">
        <v>45</v>
      </c>
    </row>
    <row r="71" spans="1:7" x14ac:dyDescent="0.25">
      <c r="A71" s="13" t="s">
        <v>2743</v>
      </c>
      <c r="B71" s="13">
        <v>1702</v>
      </c>
      <c r="C71" s="14" t="str">
        <f>+VLOOKUP(B71,[1]LISTE!$A$1:$D$431,4,FALSE)</f>
        <v>JAIET WALID</v>
      </c>
      <c r="D71" s="14" t="s">
        <v>151</v>
      </c>
      <c r="E71" s="15">
        <v>45952</v>
      </c>
      <c r="F71" s="14" t="s">
        <v>20</v>
      </c>
      <c r="G71" s="16">
        <v>64.305000000000007</v>
      </c>
    </row>
    <row r="72" spans="1:7" x14ac:dyDescent="0.25">
      <c r="A72" s="13" t="s">
        <v>2744</v>
      </c>
      <c r="B72" s="13">
        <v>1702</v>
      </c>
      <c r="C72" s="14" t="str">
        <f>+VLOOKUP(B72,[1]LISTE!$A$1:$D$431,4,FALSE)</f>
        <v>JAIET WALID</v>
      </c>
      <c r="D72" s="14" t="s">
        <v>298</v>
      </c>
      <c r="E72" s="15">
        <v>45953</v>
      </c>
      <c r="F72" s="14" t="s">
        <v>23</v>
      </c>
      <c r="G72" s="16">
        <v>45</v>
      </c>
    </row>
    <row r="73" spans="1:7" x14ac:dyDescent="0.25">
      <c r="A73" s="13" t="s">
        <v>2744</v>
      </c>
      <c r="B73" s="13">
        <v>1702</v>
      </c>
      <c r="C73" s="14" t="str">
        <f>+VLOOKUP(B73,[1]LISTE!$A$1:$D$431,4,FALSE)</f>
        <v>JAIET WALID</v>
      </c>
      <c r="D73" s="15" t="s">
        <v>298</v>
      </c>
      <c r="E73" s="15">
        <v>45953</v>
      </c>
      <c r="F73" s="14" t="s">
        <v>20</v>
      </c>
      <c r="G73" s="16">
        <v>74.090999999999994</v>
      </c>
    </row>
    <row r="74" spans="1:7" x14ac:dyDescent="0.25">
      <c r="A74" s="13" t="s">
        <v>2717</v>
      </c>
      <c r="B74" s="13">
        <v>1704</v>
      </c>
      <c r="C74" s="14" t="str">
        <f>+VLOOKUP(B74,[1]LISTE!$A$1:$D$431,4,FALSE)</f>
        <v>EL GAZZAH RIADH</v>
      </c>
      <c r="D74" s="14" t="s">
        <v>472</v>
      </c>
      <c r="E74" s="15">
        <v>45943</v>
      </c>
      <c r="F74" s="14" t="s">
        <v>21</v>
      </c>
      <c r="G74" s="16">
        <v>60</v>
      </c>
    </row>
    <row r="75" spans="1:7" x14ac:dyDescent="0.25">
      <c r="A75" s="13" t="s">
        <v>2758</v>
      </c>
      <c r="B75" s="13">
        <v>1704</v>
      </c>
      <c r="C75" s="14" t="str">
        <f>+VLOOKUP(B75,[1]LISTE!$A$1:$D$431,4,FALSE)</f>
        <v>EL GAZZAH RIADH</v>
      </c>
      <c r="D75" s="14" t="s">
        <v>22</v>
      </c>
      <c r="E75" s="15">
        <v>45955</v>
      </c>
      <c r="F75" s="14" t="s">
        <v>23</v>
      </c>
      <c r="G75" s="16">
        <v>20</v>
      </c>
    </row>
    <row r="76" spans="1:7" x14ac:dyDescent="0.25">
      <c r="A76" s="13" t="s">
        <v>2758</v>
      </c>
      <c r="B76" s="13">
        <v>1704</v>
      </c>
      <c r="C76" s="14" t="str">
        <f>+VLOOKUP(B76,[1]LISTE!$A$1:$D$431,4,FALSE)</f>
        <v>EL GAZZAH RIADH</v>
      </c>
      <c r="D76" s="14" t="s">
        <v>22</v>
      </c>
      <c r="E76" s="15">
        <v>45955</v>
      </c>
      <c r="F76" s="14" t="s">
        <v>20</v>
      </c>
      <c r="G76" s="16">
        <v>166.91399999999999</v>
      </c>
    </row>
    <row r="77" spans="1:7" x14ac:dyDescent="0.25">
      <c r="A77" s="13" t="s">
        <v>2758</v>
      </c>
      <c r="B77" s="13">
        <v>1704</v>
      </c>
      <c r="C77" s="14" t="str">
        <f>+VLOOKUP(B77,[1]LISTE!$A$1:$D$431,4,FALSE)</f>
        <v>EL GAZZAH RIADH</v>
      </c>
      <c r="D77" s="14" t="s">
        <v>22</v>
      </c>
      <c r="E77" s="15">
        <v>45957</v>
      </c>
      <c r="F77" s="14" t="s">
        <v>20</v>
      </c>
      <c r="G77" s="16">
        <v>41.753999999999998</v>
      </c>
    </row>
    <row r="78" spans="1:7" x14ac:dyDescent="0.25">
      <c r="A78" s="13" t="s">
        <v>2675</v>
      </c>
      <c r="B78" s="13">
        <v>1712</v>
      </c>
      <c r="C78" s="14" t="str">
        <f>+VLOOKUP(B78,[1]LISTE!$A$1:$D$431,4,FALSE)</f>
        <v>MKHININI ZAATOUT MOHAMED</v>
      </c>
      <c r="D78" s="14" t="s">
        <v>163</v>
      </c>
      <c r="E78" s="15">
        <v>45925</v>
      </c>
      <c r="F78" s="14" t="s">
        <v>18</v>
      </c>
      <c r="G78" s="16">
        <v>70</v>
      </c>
    </row>
    <row r="79" spans="1:7" x14ac:dyDescent="0.25">
      <c r="A79" s="13" t="s">
        <v>2675</v>
      </c>
      <c r="B79" s="13">
        <v>1712</v>
      </c>
      <c r="C79" s="14" t="str">
        <f>+VLOOKUP(B79,[1]LISTE!$A$1:$D$431,4,FALSE)</f>
        <v>MKHININI ZAATOUT MOHAMED</v>
      </c>
      <c r="D79" s="14" t="s">
        <v>163</v>
      </c>
      <c r="E79" s="15">
        <v>45924</v>
      </c>
      <c r="F79" s="14" t="s">
        <v>19</v>
      </c>
      <c r="G79" s="16">
        <v>182.55600000000001</v>
      </c>
    </row>
    <row r="80" spans="1:7" x14ac:dyDescent="0.25">
      <c r="A80" s="13" t="s">
        <v>2675</v>
      </c>
      <c r="B80" s="13">
        <v>1712</v>
      </c>
      <c r="C80" s="14" t="str">
        <f>+VLOOKUP(B80,[1]LISTE!$A$1:$D$431,4,FALSE)</f>
        <v>MKHININI ZAATOUT MOHAMED</v>
      </c>
      <c r="D80" s="14" t="s">
        <v>163</v>
      </c>
      <c r="E80" s="15">
        <v>45939</v>
      </c>
      <c r="F80" s="14" t="s">
        <v>20</v>
      </c>
      <c r="G80" s="16">
        <v>374.54899999999998</v>
      </c>
    </row>
    <row r="81" spans="1:7" x14ac:dyDescent="0.25">
      <c r="A81" s="13" t="s">
        <v>2675</v>
      </c>
      <c r="B81" s="13">
        <v>1712</v>
      </c>
      <c r="C81" s="14" t="str">
        <f>+VLOOKUP(B81,[1]LISTE!$A$1:$D$431,4,FALSE)</f>
        <v>MKHININI ZAATOUT MOHAMED</v>
      </c>
      <c r="D81" s="15" t="s">
        <v>163</v>
      </c>
      <c r="E81" s="15">
        <v>45925</v>
      </c>
      <c r="F81" s="14" t="s">
        <v>20</v>
      </c>
      <c r="G81" s="16">
        <v>32.072000000000003</v>
      </c>
    </row>
    <row r="82" spans="1:7" x14ac:dyDescent="0.25">
      <c r="A82" s="13" t="s">
        <v>2723</v>
      </c>
      <c r="B82" s="13">
        <v>1728</v>
      </c>
      <c r="C82" s="14" t="str">
        <f>+VLOOKUP(B82,[1]LISTE!$A$1:$D$431,4,FALSE)</f>
        <v>SLAMA DHAFER</v>
      </c>
      <c r="D82" s="14" t="s">
        <v>1365</v>
      </c>
      <c r="E82" s="15">
        <v>45953</v>
      </c>
      <c r="F82" s="14" t="s">
        <v>18</v>
      </c>
      <c r="G82" s="16">
        <v>70</v>
      </c>
    </row>
    <row r="83" spans="1:7" x14ac:dyDescent="0.25">
      <c r="A83" s="13" t="s">
        <v>2723</v>
      </c>
      <c r="B83" s="13">
        <v>1728</v>
      </c>
      <c r="C83" s="14" t="str">
        <f>+VLOOKUP(B83,[1]LISTE!$A$1:$D$431,4,FALSE)</f>
        <v>SLAMA DHAFER</v>
      </c>
      <c r="D83" s="14" t="s">
        <v>1365</v>
      </c>
      <c r="E83" s="15">
        <v>45953</v>
      </c>
      <c r="F83" s="14" t="s">
        <v>20</v>
      </c>
      <c r="G83" s="16">
        <v>6.5750000000000002</v>
      </c>
    </row>
    <row r="84" spans="1:7" x14ac:dyDescent="0.25">
      <c r="A84" s="13" t="s">
        <v>2692</v>
      </c>
      <c r="B84" s="13">
        <v>1740</v>
      </c>
      <c r="C84" s="14" t="str">
        <f>+VLOOKUP(B84,[1]LISTE!$A$1:$D$431,4,FALSE)</f>
        <v>YOUSSEF LOTFI</v>
      </c>
      <c r="D84" s="14" t="s">
        <v>22</v>
      </c>
      <c r="E84" s="15">
        <v>45938</v>
      </c>
      <c r="F84" s="14" t="s">
        <v>18</v>
      </c>
      <c r="G84" s="16">
        <v>70</v>
      </c>
    </row>
    <row r="85" spans="1:7" x14ac:dyDescent="0.25">
      <c r="A85" s="13" t="s">
        <v>2692</v>
      </c>
      <c r="B85" s="13">
        <v>1740</v>
      </c>
      <c r="C85" s="14" t="str">
        <f>+VLOOKUP(B85,[1]LISTE!$A$1:$D$431,4,FALSE)</f>
        <v>YOUSSEF LOTFI</v>
      </c>
      <c r="D85" s="15" t="s">
        <v>22</v>
      </c>
      <c r="E85" s="15">
        <v>45938</v>
      </c>
      <c r="F85" s="14" t="s">
        <v>20</v>
      </c>
      <c r="G85" s="16">
        <v>12.351000000000001</v>
      </c>
    </row>
    <row r="86" spans="1:7" x14ac:dyDescent="0.25">
      <c r="A86" s="13" t="s">
        <v>2692</v>
      </c>
      <c r="B86" s="13">
        <v>1740</v>
      </c>
      <c r="C86" s="14" t="str">
        <f>+VLOOKUP(B86,[1]LISTE!$A$1:$D$431,4,FALSE)</f>
        <v>YOUSSEF LOTFI</v>
      </c>
      <c r="D86" s="15" t="s">
        <v>22</v>
      </c>
      <c r="E86" s="15">
        <v>45948</v>
      </c>
      <c r="F86" s="14" t="s">
        <v>69</v>
      </c>
      <c r="G86" s="16">
        <v>416</v>
      </c>
    </row>
    <row r="87" spans="1:7" x14ac:dyDescent="0.25">
      <c r="A87" s="13" t="s">
        <v>2718</v>
      </c>
      <c r="B87" s="13">
        <v>1741</v>
      </c>
      <c r="C87" s="14" t="str">
        <f>+VLOOKUP(B87,[1]LISTE!$A$1:$D$431,4,FALSE)</f>
        <v>HACHICHA ZIED</v>
      </c>
      <c r="D87" s="15" t="s">
        <v>1994</v>
      </c>
      <c r="E87" s="15">
        <v>45952</v>
      </c>
      <c r="F87" s="14" t="s">
        <v>18</v>
      </c>
      <c r="G87" s="16">
        <v>60</v>
      </c>
    </row>
    <row r="88" spans="1:7" x14ac:dyDescent="0.25">
      <c r="A88" s="13" t="s">
        <v>2718</v>
      </c>
      <c r="B88" s="13">
        <v>1741</v>
      </c>
      <c r="C88" s="14" t="str">
        <f>+VLOOKUP(B88,[1]LISTE!$A$1:$D$431,4,FALSE)</f>
        <v>HACHICHA ZIED</v>
      </c>
      <c r="D88" s="15" t="s">
        <v>1994</v>
      </c>
      <c r="E88" s="15">
        <v>45952</v>
      </c>
      <c r="F88" s="14" t="s">
        <v>20</v>
      </c>
      <c r="G88" s="16">
        <v>25.245000000000001</v>
      </c>
    </row>
    <row r="89" spans="1:7" x14ac:dyDescent="0.25">
      <c r="A89" s="13" t="s">
        <v>2646</v>
      </c>
      <c r="B89" s="13">
        <v>1745</v>
      </c>
      <c r="C89" s="14" t="str">
        <f>+VLOOKUP(B89,[1]LISTE!$A$1:$D$431,4,FALSE)</f>
        <v>CHATTI EZZEDDINE</v>
      </c>
      <c r="D89" s="15" t="s">
        <v>22</v>
      </c>
      <c r="E89" s="15">
        <v>45943</v>
      </c>
      <c r="F89" s="14" t="s">
        <v>20</v>
      </c>
      <c r="G89" s="16">
        <v>16.234999999999999</v>
      </c>
    </row>
    <row r="90" spans="1:7" x14ac:dyDescent="0.25">
      <c r="A90" s="13" t="s">
        <v>2646</v>
      </c>
      <c r="B90" s="13">
        <v>1745</v>
      </c>
      <c r="C90" s="14" t="str">
        <f>+VLOOKUP(B90,[1]LISTE!$A$1:$D$431,4,FALSE)</f>
        <v>CHATTI EZZEDDINE</v>
      </c>
      <c r="D90" s="14" t="s">
        <v>22</v>
      </c>
      <c r="E90" s="15">
        <v>45943</v>
      </c>
      <c r="F90" s="14" t="s">
        <v>24</v>
      </c>
      <c r="G90" s="16">
        <v>60</v>
      </c>
    </row>
    <row r="91" spans="1:7" x14ac:dyDescent="0.25">
      <c r="A91" s="13" t="s">
        <v>2736</v>
      </c>
      <c r="B91" s="13">
        <v>1760</v>
      </c>
      <c r="C91" s="14" t="str">
        <f>+VLOOKUP(B91,[1]LISTE!$A$1:$D$431,4,FALSE)</f>
        <v>SASSI SAMIR</v>
      </c>
      <c r="D91" s="14" t="s">
        <v>2737</v>
      </c>
      <c r="E91" s="15">
        <v>45953</v>
      </c>
      <c r="F91" s="14" t="s">
        <v>23</v>
      </c>
      <c r="G91" s="16">
        <v>10</v>
      </c>
    </row>
    <row r="92" spans="1:7" x14ac:dyDescent="0.25">
      <c r="A92" s="13" t="s">
        <v>2736</v>
      </c>
      <c r="B92" s="13">
        <v>1760</v>
      </c>
      <c r="C92" s="14" t="str">
        <f>+VLOOKUP(B92,[1]LISTE!$A$1:$D$431,4,FALSE)</f>
        <v>SASSI SAMIR</v>
      </c>
      <c r="D92" s="14" t="s">
        <v>2737</v>
      </c>
      <c r="E92" s="15">
        <v>45946</v>
      </c>
      <c r="F92" s="14" t="s">
        <v>23</v>
      </c>
      <c r="G92" s="16">
        <v>14</v>
      </c>
    </row>
    <row r="93" spans="1:7" x14ac:dyDescent="0.25">
      <c r="A93" s="13" t="s">
        <v>2736</v>
      </c>
      <c r="B93" s="13">
        <v>1760</v>
      </c>
      <c r="C93" s="14" t="str">
        <f>+VLOOKUP(B93,[1]LISTE!$A$1:$D$431,4,FALSE)</f>
        <v>SASSI SAMIR</v>
      </c>
      <c r="D93" s="14" t="s">
        <v>2737</v>
      </c>
      <c r="E93" s="15">
        <v>45953</v>
      </c>
      <c r="F93" s="14" t="s">
        <v>21</v>
      </c>
      <c r="G93" s="16">
        <v>22.5</v>
      </c>
    </row>
    <row r="94" spans="1:7" x14ac:dyDescent="0.25">
      <c r="A94" s="13" t="s">
        <v>2736</v>
      </c>
      <c r="B94" s="13">
        <v>1760</v>
      </c>
      <c r="C94" s="14" t="str">
        <f>+VLOOKUP(B94,[1]LISTE!$A$1:$D$431,4,FALSE)</f>
        <v>SASSI SAMIR</v>
      </c>
      <c r="D94" s="14" t="s">
        <v>2737</v>
      </c>
      <c r="E94" s="15">
        <v>45946</v>
      </c>
      <c r="F94" s="14" t="s">
        <v>21</v>
      </c>
      <c r="G94" s="16">
        <v>22.5</v>
      </c>
    </row>
    <row r="95" spans="1:7" x14ac:dyDescent="0.25">
      <c r="A95" s="13" t="s">
        <v>2629</v>
      </c>
      <c r="B95" s="13">
        <v>1767</v>
      </c>
      <c r="C95" s="14" t="str">
        <f>+VLOOKUP(B95,[1]LISTE!$A$1:$D$431,4,FALSE)</f>
        <v>B.H.SGHAIER NAOUFEL</v>
      </c>
      <c r="D95" s="14" t="s">
        <v>251</v>
      </c>
      <c r="E95" s="15">
        <v>45933</v>
      </c>
      <c r="F95" s="14" t="s">
        <v>18</v>
      </c>
      <c r="G95" s="16">
        <v>70</v>
      </c>
    </row>
    <row r="96" spans="1:7" x14ac:dyDescent="0.25">
      <c r="A96" s="13" t="s">
        <v>2629</v>
      </c>
      <c r="B96" s="13">
        <v>1767</v>
      </c>
      <c r="C96" s="14" t="str">
        <f>+VLOOKUP(B96,[1]LISTE!$A$1:$D$431,4,FALSE)</f>
        <v>B.H.SGHAIER NAOUFEL</v>
      </c>
      <c r="D96" s="14" t="s">
        <v>251</v>
      </c>
      <c r="E96" s="15">
        <v>45944</v>
      </c>
      <c r="F96" s="14" t="s">
        <v>21</v>
      </c>
      <c r="G96" s="16">
        <v>190</v>
      </c>
    </row>
    <row r="97" spans="1:7" x14ac:dyDescent="0.25">
      <c r="A97" s="13" t="s">
        <v>2698</v>
      </c>
      <c r="B97" s="13">
        <v>1767</v>
      </c>
      <c r="C97" s="14" t="str">
        <f>+VLOOKUP(B97,[1]LISTE!$A$1:$D$431,4,FALSE)</f>
        <v>B.H.SGHAIER NAOUFEL</v>
      </c>
      <c r="D97" s="14" t="s">
        <v>251</v>
      </c>
      <c r="E97" s="15">
        <v>45946</v>
      </c>
      <c r="F97" s="14" t="s">
        <v>18</v>
      </c>
      <c r="G97" s="16">
        <v>70</v>
      </c>
    </row>
    <row r="98" spans="1:7" x14ac:dyDescent="0.25">
      <c r="A98" s="13" t="s">
        <v>2698</v>
      </c>
      <c r="B98" s="13">
        <v>1767</v>
      </c>
      <c r="C98" s="14" t="str">
        <f>+VLOOKUP(B98,[1]LISTE!$A$1:$D$431,4,FALSE)</f>
        <v>B.H.SGHAIER NAOUFEL</v>
      </c>
      <c r="D98" s="14" t="s">
        <v>251</v>
      </c>
      <c r="E98" s="15">
        <v>45946</v>
      </c>
      <c r="F98" s="14" t="s">
        <v>19</v>
      </c>
      <c r="G98" s="16">
        <v>42.8</v>
      </c>
    </row>
    <row r="99" spans="1:7" x14ac:dyDescent="0.25">
      <c r="A99" s="13" t="s">
        <v>2642</v>
      </c>
      <c r="B99" s="13">
        <v>1768</v>
      </c>
      <c r="C99" s="14" t="str">
        <f>+VLOOKUP(B99,[1]LISTE!$A$1:$D$431,4,FALSE)</f>
        <v>LADJIMI MAHER</v>
      </c>
      <c r="D99" s="14" t="s">
        <v>206</v>
      </c>
      <c r="E99" s="15">
        <v>45940</v>
      </c>
      <c r="F99" s="14" t="s">
        <v>18</v>
      </c>
      <c r="G99" s="16">
        <v>30</v>
      </c>
    </row>
    <row r="100" spans="1:7" x14ac:dyDescent="0.25">
      <c r="A100" s="13" t="s">
        <v>2642</v>
      </c>
      <c r="B100" s="13">
        <v>1768</v>
      </c>
      <c r="C100" s="14" t="str">
        <f>+VLOOKUP(B100,[1]LISTE!$A$1:$D$431,4,FALSE)</f>
        <v>LADJIMI MAHER</v>
      </c>
      <c r="D100" s="14" t="s">
        <v>206</v>
      </c>
      <c r="E100" s="15">
        <v>45943</v>
      </c>
      <c r="F100" s="14" t="s">
        <v>20</v>
      </c>
      <c r="G100" s="16">
        <v>66.656000000000006</v>
      </c>
    </row>
    <row r="101" spans="1:7" x14ac:dyDescent="0.25">
      <c r="A101" s="13" t="s">
        <v>2702</v>
      </c>
      <c r="B101" s="13">
        <v>1768</v>
      </c>
      <c r="C101" s="14" t="str">
        <f>+VLOOKUP(B101,[1]LISTE!$A$1:$D$431,4,FALSE)</f>
        <v>LADJIMI MAHER</v>
      </c>
      <c r="D101" s="14" t="s">
        <v>206</v>
      </c>
      <c r="E101" s="15">
        <v>45934</v>
      </c>
      <c r="F101" s="14" t="s">
        <v>18</v>
      </c>
      <c r="G101" s="16">
        <v>80</v>
      </c>
    </row>
    <row r="102" spans="1:7" x14ac:dyDescent="0.25">
      <c r="A102" s="13" t="s">
        <v>2702</v>
      </c>
      <c r="B102" s="13">
        <v>1768</v>
      </c>
      <c r="C102" s="14" t="str">
        <f>+VLOOKUP(B102,[1]LISTE!$A$1:$D$431,4,FALSE)</f>
        <v>LADJIMI MAHER</v>
      </c>
      <c r="D102" s="14" t="s">
        <v>206</v>
      </c>
      <c r="E102" s="15">
        <v>45934</v>
      </c>
      <c r="F102" s="14" t="s">
        <v>19</v>
      </c>
      <c r="G102" s="16">
        <v>50</v>
      </c>
    </row>
    <row r="103" spans="1:7" x14ac:dyDescent="0.25">
      <c r="A103" s="13" t="s">
        <v>2702</v>
      </c>
      <c r="B103" s="13">
        <v>1768</v>
      </c>
      <c r="C103" s="14" t="str">
        <f>+VLOOKUP(B103,[1]LISTE!$A$1:$D$431,4,FALSE)</f>
        <v>LADJIMI MAHER</v>
      </c>
      <c r="D103" s="14" t="s">
        <v>206</v>
      </c>
      <c r="E103" s="15">
        <v>45934</v>
      </c>
      <c r="F103" s="14" t="s">
        <v>20</v>
      </c>
      <c r="G103" s="16">
        <v>14.1</v>
      </c>
    </row>
    <row r="104" spans="1:7" x14ac:dyDescent="0.25">
      <c r="A104" s="13" t="s">
        <v>2702</v>
      </c>
      <c r="B104" s="13">
        <v>1768</v>
      </c>
      <c r="C104" s="14" t="str">
        <f>+VLOOKUP(B104,[1]LISTE!$A$1:$D$431,4,FALSE)</f>
        <v>LADJIMI MAHER</v>
      </c>
      <c r="D104" s="15" t="s">
        <v>206</v>
      </c>
      <c r="E104" s="15">
        <v>45934</v>
      </c>
      <c r="F104" s="14" t="s">
        <v>20</v>
      </c>
      <c r="G104" s="16">
        <v>44.701999999999998</v>
      </c>
    </row>
    <row r="105" spans="1:7" x14ac:dyDescent="0.25">
      <c r="A105" s="13" t="s">
        <v>2702</v>
      </c>
      <c r="B105" s="13">
        <v>1768</v>
      </c>
      <c r="C105" s="14" t="str">
        <f>+VLOOKUP(B105,[1]LISTE!$A$1:$D$431,4,FALSE)</f>
        <v>LADJIMI MAHER</v>
      </c>
      <c r="D105" s="14" t="s">
        <v>206</v>
      </c>
      <c r="E105" s="15">
        <v>45944</v>
      </c>
      <c r="F105" s="14" t="s">
        <v>21</v>
      </c>
      <c r="G105" s="16">
        <v>250</v>
      </c>
    </row>
    <row r="106" spans="1:7" x14ac:dyDescent="0.25">
      <c r="A106" s="13" t="s">
        <v>2678</v>
      </c>
      <c r="B106" s="13">
        <v>1781</v>
      </c>
      <c r="C106" s="14" t="str">
        <f>+VLOOKUP(B106,[1]LISTE!$A$1:$D$431,4,FALSE)</f>
        <v>KEMIMECH MOHAMED</v>
      </c>
      <c r="D106" s="14" t="s">
        <v>22</v>
      </c>
      <c r="E106" s="15">
        <v>45945</v>
      </c>
      <c r="F106" s="14" t="s">
        <v>23</v>
      </c>
      <c r="G106" s="16">
        <v>50</v>
      </c>
    </row>
    <row r="107" spans="1:7" x14ac:dyDescent="0.25">
      <c r="A107" s="13" t="s">
        <v>2678</v>
      </c>
      <c r="B107" s="13">
        <v>1781</v>
      </c>
      <c r="C107" s="14" t="str">
        <f>+VLOOKUP(B107,[1]LISTE!$A$1:$D$431,4,FALSE)</f>
        <v>KEMIMECH MOHAMED</v>
      </c>
      <c r="D107" s="14" t="s">
        <v>22</v>
      </c>
      <c r="E107" s="15">
        <v>45945</v>
      </c>
      <c r="F107" s="14" t="s">
        <v>20</v>
      </c>
      <c r="G107" s="16">
        <v>58.170999999999999</v>
      </c>
    </row>
    <row r="108" spans="1:7" x14ac:dyDescent="0.25">
      <c r="A108" s="13" t="s">
        <v>2647</v>
      </c>
      <c r="B108" s="13">
        <v>1784</v>
      </c>
      <c r="C108" s="14" t="str">
        <f>+VLOOKUP(B108,[1]LISTE!$A$1:$D$431,4,FALSE)</f>
        <v>LAYOUNI KHALED</v>
      </c>
      <c r="D108" s="14" t="s">
        <v>421</v>
      </c>
      <c r="E108" s="15">
        <v>45933</v>
      </c>
      <c r="F108" s="14" t="s">
        <v>23</v>
      </c>
      <c r="G108" s="16">
        <v>50</v>
      </c>
    </row>
    <row r="109" spans="1:7" x14ac:dyDescent="0.25">
      <c r="A109" s="13" t="s">
        <v>2647</v>
      </c>
      <c r="B109" s="13">
        <v>1784</v>
      </c>
      <c r="C109" s="14" t="str">
        <f>+VLOOKUP(B109,[1]LISTE!$A$1:$D$431,4,FALSE)</f>
        <v>LAYOUNI KHALED</v>
      </c>
      <c r="D109" s="14" t="s">
        <v>421</v>
      </c>
      <c r="E109" s="15">
        <v>45943</v>
      </c>
      <c r="F109" s="14" t="s">
        <v>20</v>
      </c>
      <c r="G109" s="16">
        <v>2.605</v>
      </c>
    </row>
    <row r="110" spans="1:7" x14ac:dyDescent="0.25">
      <c r="A110" s="13" t="s">
        <v>2647</v>
      </c>
      <c r="B110" s="13">
        <v>1784</v>
      </c>
      <c r="C110" s="14" t="str">
        <f>+VLOOKUP(B110,[1]LISTE!$A$1:$D$431,4,FALSE)</f>
        <v>LAYOUNI KHALED</v>
      </c>
      <c r="D110" s="15" t="s">
        <v>421</v>
      </c>
      <c r="E110" s="15">
        <v>45936</v>
      </c>
      <c r="F110" s="14" t="s">
        <v>21</v>
      </c>
      <c r="G110" s="16">
        <v>22.5</v>
      </c>
    </row>
    <row r="111" spans="1:7" x14ac:dyDescent="0.25">
      <c r="A111" s="13" t="s">
        <v>2648</v>
      </c>
      <c r="B111" s="13">
        <v>1784</v>
      </c>
      <c r="C111" s="14" t="str">
        <f>+VLOOKUP(B111,[1]LISTE!$A$1:$D$431,4,FALSE)</f>
        <v>LAYOUNI KHALED</v>
      </c>
      <c r="D111" s="14" t="s">
        <v>475</v>
      </c>
      <c r="E111" s="15">
        <v>45943</v>
      </c>
      <c r="F111" s="14" t="s">
        <v>23</v>
      </c>
      <c r="G111" s="16">
        <v>50</v>
      </c>
    </row>
    <row r="112" spans="1:7" x14ac:dyDescent="0.25">
      <c r="A112" s="13" t="s">
        <v>2648</v>
      </c>
      <c r="B112" s="13">
        <v>1784</v>
      </c>
      <c r="C112" s="14" t="str">
        <f>+VLOOKUP(B112,[1]LISTE!$A$1:$D$431,4,FALSE)</f>
        <v>LAYOUNI KHALED</v>
      </c>
      <c r="D112" s="15" t="s">
        <v>475</v>
      </c>
      <c r="E112" s="15">
        <v>45943</v>
      </c>
      <c r="F112" s="14" t="s">
        <v>20</v>
      </c>
      <c r="G112" s="16">
        <v>20.495000000000001</v>
      </c>
    </row>
    <row r="113" spans="1:7" x14ac:dyDescent="0.25">
      <c r="A113" s="13" t="s">
        <v>2721</v>
      </c>
      <c r="B113" s="13">
        <v>1784</v>
      </c>
      <c r="C113" s="14" t="str">
        <f>+VLOOKUP(B113,[1]LISTE!$A$1:$D$431,4,FALSE)</f>
        <v>LAYOUNI KHALED</v>
      </c>
      <c r="D113" s="14" t="s">
        <v>907</v>
      </c>
      <c r="E113" s="15">
        <v>45950</v>
      </c>
      <c r="F113" s="14" t="s">
        <v>23</v>
      </c>
      <c r="G113" s="16">
        <v>3</v>
      </c>
    </row>
    <row r="114" spans="1:7" x14ac:dyDescent="0.25">
      <c r="A114" s="13" t="s">
        <v>2721</v>
      </c>
      <c r="B114" s="13">
        <v>1784</v>
      </c>
      <c r="C114" s="14" t="str">
        <f>+VLOOKUP(B114,[1]LISTE!$A$1:$D$431,4,FALSE)</f>
        <v>LAYOUNI KHALED</v>
      </c>
      <c r="D114" s="14" t="s">
        <v>907</v>
      </c>
      <c r="E114" s="15">
        <v>45950</v>
      </c>
      <c r="F114" s="14" t="s">
        <v>23</v>
      </c>
      <c r="G114" s="16">
        <v>3</v>
      </c>
    </row>
    <row r="115" spans="1:7" x14ac:dyDescent="0.25">
      <c r="A115" s="13" t="s">
        <v>2721</v>
      </c>
      <c r="B115" s="13">
        <v>1784</v>
      </c>
      <c r="C115" s="14" t="str">
        <f>+VLOOKUP(B115,[1]LISTE!$A$1:$D$431,4,FALSE)</f>
        <v>LAYOUNI KHALED</v>
      </c>
      <c r="D115" s="14" t="s">
        <v>907</v>
      </c>
      <c r="E115" s="15">
        <v>45950</v>
      </c>
      <c r="F115" s="14" t="s">
        <v>19</v>
      </c>
      <c r="G115" s="16">
        <v>4.5</v>
      </c>
    </row>
    <row r="116" spans="1:7" x14ac:dyDescent="0.25">
      <c r="A116" s="13" t="s">
        <v>2721</v>
      </c>
      <c r="B116" s="13">
        <v>1784</v>
      </c>
      <c r="C116" s="14" t="str">
        <f>+VLOOKUP(B116,[1]LISTE!$A$1:$D$431,4,FALSE)</f>
        <v>LAYOUNI KHALED</v>
      </c>
      <c r="D116" s="14" t="s">
        <v>907</v>
      </c>
      <c r="E116" s="15">
        <v>45950</v>
      </c>
      <c r="F116" s="14" t="s">
        <v>19</v>
      </c>
      <c r="G116" s="16">
        <v>4.5</v>
      </c>
    </row>
    <row r="117" spans="1:7" x14ac:dyDescent="0.25">
      <c r="A117" s="13" t="s">
        <v>2721</v>
      </c>
      <c r="B117" s="13">
        <v>1784</v>
      </c>
      <c r="C117" s="14" t="str">
        <f>+VLOOKUP(B117,[1]LISTE!$A$1:$D$431,4,FALSE)</f>
        <v>LAYOUNI KHALED</v>
      </c>
      <c r="D117" s="15" t="s">
        <v>907</v>
      </c>
      <c r="E117" s="15">
        <v>45950</v>
      </c>
      <c r="F117" s="14" t="s">
        <v>20</v>
      </c>
      <c r="G117" s="16">
        <v>14.664999999999999</v>
      </c>
    </row>
    <row r="118" spans="1:7" x14ac:dyDescent="0.25">
      <c r="A118" s="13" t="s">
        <v>2722</v>
      </c>
      <c r="B118" s="13">
        <v>1784</v>
      </c>
      <c r="C118" s="14" t="str">
        <f>+VLOOKUP(B118,[1]LISTE!$A$1:$D$431,4,FALSE)</f>
        <v>LAYOUNI KHALED</v>
      </c>
      <c r="D118" s="14" t="s">
        <v>907</v>
      </c>
      <c r="E118" s="15">
        <v>45953</v>
      </c>
      <c r="F118" s="14" t="s">
        <v>18</v>
      </c>
      <c r="G118" s="16">
        <v>70</v>
      </c>
    </row>
    <row r="119" spans="1:7" x14ac:dyDescent="0.25">
      <c r="A119" s="13" t="s">
        <v>2722</v>
      </c>
      <c r="B119" s="13">
        <v>1784</v>
      </c>
      <c r="C119" s="14" t="str">
        <f>+VLOOKUP(B119,[1]LISTE!$A$1:$D$431,4,FALSE)</f>
        <v>LAYOUNI KHALED</v>
      </c>
      <c r="D119" s="14" t="s">
        <v>907</v>
      </c>
      <c r="E119" s="15">
        <v>45959</v>
      </c>
      <c r="F119" s="14" t="s">
        <v>363</v>
      </c>
      <c r="G119" s="16">
        <v>70</v>
      </c>
    </row>
    <row r="120" spans="1:7" x14ac:dyDescent="0.25">
      <c r="A120" s="13" t="s">
        <v>2722</v>
      </c>
      <c r="B120" s="13">
        <v>1784</v>
      </c>
      <c r="C120" s="14" t="str">
        <f>+VLOOKUP(B120,[1]LISTE!$A$1:$D$431,4,FALSE)</f>
        <v>LAYOUNI KHALED</v>
      </c>
      <c r="D120" s="14" t="s">
        <v>907</v>
      </c>
      <c r="E120" s="15">
        <v>45953</v>
      </c>
      <c r="F120" s="14" t="s">
        <v>20</v>
      </c>
      <c r="G120" s="16">
        <v>5.32</v>
      </c>
    </row>
    <row r="121" spans="1:7" x14ac:dyDescent="0.25">
      <c r="A121" s="13" t="s">
        <v>2700</v>
      </c>
      <c r="B121" s="13">
        <v>1795</v>
      </c>
      <c r="C121" s="14" t="str">
        <f>+VLOOKUP(B121,[1]LISTE!$A$1:$D$431,4,FALSE)</f>
        <v>SOUA MOHAMED</v>
      </c>
      <c r="D121" s="14" t="s">
        <v>22</v>
      </c>
      <c r="E121" s="15">
        <v>45951</v>
      </c>
      <c r="F121" s="14" t="s">
        <v>18</v>
      </c>
      <c r="G121" s="16">
        <v>70</v>
      </c>
    </row>
    <row r="122" spans="1:7" x14ac:dyDescent="0.25">
      <c r="A122" s="13" t="s">
        <v>2700</v>
      </c>
      <c r="B122" s="13">
        <v>1795</v>
      </c>
      <c r="C122" s="14" t="str">
        <f>+VLOOKUP(B122,[1]LISTE!$A$1:$D$431,4,FALSE)</f>
        <v>SOUA MOHAMED</v>
      </c>
      <c r="D122" s="14" t="s">
        <v>22</v>
      </c>
      <c r="E122" s="15">
        <v>45951</v>
      </c>
      <c r="F122" s="14" t="s">
        <v>20</v>
      </c>
      <c r="G122" s="16">
        <v>118.88</v>
      </c>
    </row>
    <row r="123" spans="1:7" x14ac:dyDescent="0.25">
      <c r="A123" s="13" t="s">
        <v>2635</v>
      </c>
      <c r="B123" s="13">
        <v>1796</v>
      </c>
      <c r="C123" s="14" t="str">
        <f>+VLOOKUP(B123,[1]LISTE!$A$1:$D$431,4,FALSE)</f>
        <v>BEL HADJ HASSINE IMED</v>
      </c>
      <c r="D123" s="14" t="s">
        <v>22</v>
      </c>
      <c r="E123" s="15">
        <v>45910</v>
      </c>
      <c r="F123" s="14" t="s">
        <v>18</v>
      </c>
      <c r="G123" s="16">
        <v>70</v>
      </c>
    </row>
    <row r="124" spans="1:7" x14ac:dyDescent="0.25">
      <c r="A124" s="13" t="s">
        <v>2635</v>
      </c>
      <c r="B124" s="13">
        <v>1796</v>
      </c>
      <c r="C124" s="14" t="str">
        <f>+VLOOKUP(B124,[1]LISTE!$A$1:$D$431,4,FALSE)</f>
        <v>BEL HADJ HASSINE IMED</v>
      </c>
      <c r="D124" s="14" t="s">
        <v>22</v>
      </c>
      <c r="E124" s="15">
        <v>45920</v>
      </c>
      <c r="F124" s="14" t="s">
        <v>20</v>
      </c>
      <c r="G124" s="16">
        <v>54.75</v>
      </c>
    </row>
    <row r="125" spans="1:7" x14ac:dyDescent="0.25">
      <c r="A125" s="13" t="s">
        <v>2671</v>
      </c>
      <c r="B125" s="13">
        <v>1800</v>
      </c>
      <c r="C125" s="14" t="str">
        <f>+VLOOKUP(B125,[1]LISTE!$A$1:$D$431,4,FALSE)</f>
        <v>BEN CHAOUACHA WAHIB</v>
      </c>
      <c r="D125" s="14" t="s">
        <v>22</v>
      </c>
      <c r="E125" s="15">
        <v>45948</v>
      </c>
      <c r="F125" s="14" t="s">
        <v>18</v>
      </c>
      <c r="G125" s="16">
        <v>70</v>
      </c>
    </row>
    <row r="126" spans="1:7" x14ac:dyDescent="0.25">
      <c r="A126" s="13" t="s">
        <v>2671</v>
      </c>
      <c r="B126" s="13">
        <v>1800</v>
      </c>
      <c r="C126" s="14" t="str">
        <f>+VLOOKUP(B126,[1]LISTE!$A$1:$D$431,4,FALSE)</f>
        <v>BEN CHAOUACHA WAHIB</v>
      </c>
      <c r="D126" s="14" t="s">
        <v>22</v>
      </c>
      <c r="E126" s="15">
        <v>45948</v>
      </c>
      <c r="F126" s="14" t="s">
        <v>20</v>
      </c>
      <c r="G126" s="16">
        <v>54.9</v>
      </c>
    </row>
    <row r="127" spans="1:7" x14ac:dyDescent="0.25">
      <c r="A127" s="13" t="s">
        <v>2735</v>
      </c>
      <c r="B127" s="13">
        <v>1802</v>
      </c>
      <c r="C127" s="14" t="str">
        <f>+VLOOKUP(B127,[1]LISTE!$A$1:$D$431,4,FALSE)</f>
        <v>BHIRI SABEUR</v>
      </c>
      <c r="D127" s="14" t="s">
        <v>22</v>
      </c>
      <c r="E127" s="15">
        <v>45952</v>
      </c>
      <c r="F127" s="14" t="s">
        <v>20</v>
      </c>
      <c r="G127" s="16">
        <v>64.603999999999999</v>
      </c>
    </row>
    <row r="128" spans="1:7" x14ac:dyDescent="0.25">
      <c r="A128" s="13" t="s">
        <v>2749</v>
      </c>
      <c r="B128" s="13">
        <v>1802</v>
      </c>
      <c r="C128" s="14" t="str">
        <f>+VLOOKUP(B128,[1]LISTE!$A$1:$D$431,4,FALSE)</f>
        <v>BHIRI SABEUR</v>
      </c>
      <c r="D128" s="15" t="s">
        <v>2750</v>
      </c>
      <c r="E128" s="15">
        <v>45941</v>
      </c>
      <c r="F128" s="14" t="s">
        <v>69</v>
      </c>
      <c r="G128" s="16">
        <v>390</v>
      </c>
    </row>
    <row r="129" spans="1:7" x14ac:dyDescent="0.25">
      <c r="A129" s="13" t="s">
        <v>2631</v>
      </c>
      <c r="B129" s="13">
        <v>1803</v>
      </c>
      <c r="C129" s="14" t="str">
        <f>+VLOOKUP(B129,[1]LISTE!$A$1:$D$431,4,FALSE)</f>
        <v>GAM HAMDI</v>
      </c>
      <c r="D129" s="14" t="s">
        <v>187</v>
      </c>
      <c r="E129" s="15">
        <v>45926</v>
      </c>
      <c r="F129" s="14" t="s">
        <v>23</v>
      </c>
      <c r="G129" s="16">
        <v>50</v>
      </c>
    </row>
    <row r="130" spans="1:7" x14ac:dyDescent="0.25">
      <c r="A130" s="13" t="s">
        <v>2631</v>
      </c>
      <c r="B130" s="13">
        <v>1803</v>
      </c>
      <c r="C130" s="14" t="str">
        <f>+VLOOKUP(B130,[1]LISTE!$A$1:$D$431,4,FALSE)</f>
        <v>GAM HAMDI</v>
      </c>
      <c r="D130" s="14" t="s">
        <v>187</v>
      </c>
      <c r="E130" s="15">
        <v>45926</v>
      </c>
      <c r="F130" s="14" t="s">
        <v>20</v>
      </c>
      <c r="G130" s="16">
        <v>17.75</v>
      </c>
    </row>
    <row r="131" spans="1:7" x14ac:dyDescent="0.25">
      <c r="A131" s="13" t="s">
        <v>2733</v>
      </c>
      <c r="B131" s="13">
        <v>1819</v>
      </c>
      <c r="C131" s="14" t="str">
        <f>+VLOOKUP(B131,[1]LISTE!$A$1:$D$431,4,FALSE)</f>
        <v>SASSI MOHAMED WALID</v>
      </c>
      <c r="D131" s="14" t="s">
        <v>486</v>
      </c>
      <c r="E131" s="15">
        <v>45939</v>
      </c>
      <c r="F131" s="14" t="s">
        <v>18</v>
      </c>
      <c r="G131" s="16">
        <v>70</v>
      </c>
    </row>
    <row r="132" spans="1:7" x14ac:dyDescent="0.25">
      <c r="A132" s="13" t="s">
        <v>2733</v>
      </c>
      <c r="B132" s="13">
        <v>1819</v>
      </c>
      <c r="C132" s="14" t="str">
        <f>+VLOOKUP(B132,[1]LISTE!$A$1:$D$431,4,FALSE)</f>
        <v>SASSI MOHAMED WALID</v>
      </c>
      <c r="D132" s="14" t="s">
        <v>486</v>
      </c>
      <c r="E132" s="15">
        <v>45952</v>
      </c>
      <c r="F132" s="14" t="s">
        <v>69</v>
      </c>
      <c r="G132" s="16">
        <v>360</v>
      </c>
    </row>
    <row r="133" spans="1:7" x14ac:dyDescent="0.25">
      <c r="A133" s="13" t="s">
        <v>2734</v>
      </c>
      <c r="B133" s="13">
        <v>1819</v>
      </c>
      <c r="C133" s="14" t="str">
        <f>+VLOOKUP(B133,[1]LISTE!$A$1:$D$431,4,FALSE)</f>
        <v>SASSI MOHAMED WALID</v>
      </c>
      <c r="D133" s="14" t="s">
        <v>153</v>
      </c>
      <c r="E133" s="15">
        <v>45935</v>
      </c>
      <c r="F133" s="14" t="s">
        <v>18</v>
      </c>
      <c r="G133" s="16">
        <v>70</v>
      </c>
    </row>
    <row r="134" spans="1:7" x14ac:dyDescent="0.25">
      <c r="A134" s="13" t="s">
        <v>2734</v>
      </c>
      <c r="B134" s="13">
        <v>1819</v>
      </c>
      <c r="C134" s="14" t="str">
        <f>+VLOOKUP(B134,[1]LISTE!$A$1:$D$431,4,FALSE)</f>
        <v>SASSI MOHAMED WALID</v>
      </c>
      <c r="D134" s="14" t="s">
        <v>153</v>
      </c>
      <c r="E134" s="15">
        <v>45939</v>
      </c>
      <c r="F134" s="14" t="s">
        <v>20</v>
      </c>
      <c r="G134" s="16">
        <v>6.29</v>
      </c>
    </row>
    <row r="135" spans="1:7" x14ac:dyDescent="0.25">
      <c r="A135" s="13" t="s">
        <v>2703</v>
      </c>
      <c r="B135" s="13">
        <v>1827</v>
      </c>
      <c r="C135" s="14" t="str">
        <f>+VLOOKUP(B135,[1]LISTE!$A$1:$D$431,4,FALSE)</f>
        <v>CHTIOUI HAMADI</v>
      </c>
      <c r="D135" s="14" t="s">
        <v>394</v>
      </c>
      <c r="E135" s="15">
        <v>45947</v>
      </c>
      <c r="F135" s="14" t="s">
        <v>20</v>
      </c>
      <c r="G135" s="16">
        <v>6.7249999999999996</v>
      </c>
    </row>
    <row r="136" spans="1:7" x14ac:dyDescent="0.25">
      <c r="A136" s="13" t="s">
        <v>2703</v>
      </c>
      <c r="B136" s="13">
        <v>1827</v>
      </c>
      <c r="C136" s="14" t="str">
        <f>+VLOOKUP(B136,[1]LISTE!$A$1:$D$431,4,FALSE)</f>
        <v>CHTIOUI HAMADI</v>
      </c>
      <c r="D136" s="14" t="s">
        <v>394</v>
      </c>
      <c r="E136" s="15">
        <v>45947</v>
      </c>
      <c r="F136" s="14" t="s">
        <v>24</v>
      </c>
      <c r="G136" s="16">
        <v>180</v>
      </c>
    </row>
    <row r="137" spans="1:7" x14ac:dyDescent="0.25">
      <c r="A137" s="13" t="s">
        <v>2689</v>
      </c>
      <c r="B137" s="13">
        <v>1833</v>
      </c>
      <c r="C137" s="14" t="str">
        <f>+VLOOKUP(B137,[1]LISTE!$A$1:$D$431,4,FALSE)</f>
        <v>BOUZAABIA MOHAMED</v>
      </c>
      <c r="D137" s="14" t="s">
        <v>79</v>
      </c>
      <c r="E137" s="15">
        <v>45951</v>
      </c>
      <c r="F137" s="14" t="s">
        <v>23</v>
      </c>
      <c r="G137" s="16">
        <v>40</v>
      </c>
    </row>
    <row r="138" spans="1:7" x14ac:dyDescent="0.25">
      <c r="A138" s="13" t="s">
        <v>2689</v>
      </c>
      <c r="B138" s="13">
        <v>1833</v>
      </c>
      <c r="C138" s="14" t="str">
        <f>+VLOOKUP(B138,[1]LISTE!$A$1:$D$431,4,FALSE)</f>
        <v>BOUZAABIA MOHAMED</v>
      </c>
      <c r="D138" s="15" t="s">
        <v>79</v>
      </c>
      <c r="E138" s="15">
        <v>45951</v>
      </c>
      <c r="F138" s="14" t="s">
        <v>20</v>
      </c>
      <c r="G138" s="16">
        <v>39.090000000000003</v>
      </c>
    </row>
    <row r="139" spans="1:7" x14ac:dyDescent="0.25">
      <c r="A139" s="13" t="s">
        <v>2676</v>
      </c>
      <c r="B139" s="13">
        <v>1842</v>
      </c>
      <c r="C139" s="14" t="str">
        <f>+VLOOKUP(B139,[1]LISTE!$A$1:$D$431,4,FALSE)</f>
        <v>SAKKA ROUIS SAMI</v>
      </c>
      <c r="D139" s="14" t="s">
        <v>22</v>
      </c>
      <c r="E139" s="15">
        <v>45945</v>
      </c>
      <c r="F139" s="14" t="s">
        <v>18</v>
      </c>
      <c r="G139" s="16">
        <v>70</v>
      </c>
    </row>
    <row r="140" spans="1:7" x14ac:dyDescent="0.25">
      <c r="A140" s="13" t="s">
        <v>2676</v>
      </c>
      <c r="B140" s="13">
        <v>1842</v>
      </c>
      <c r="C140" s="14" t="str">
        <f>+VLOOKUP(B140,[1]LISTE!$A$1:$D$431,4,FALSE)</f>
        <v>SAKKA ROUIS SAMI</v>
      </c>
      <c r="D140" s="14" t="s">
        <v>22</v>
      </c>
      <c r="E140" s="15">
        <v>45945</v>
      </c>
      <c r="F140" s="14" t="s">
        <v>20</v>
      </c>
      <c r="G140" s="16">
        <v>85.35</v>
      </c>
    </row>
    <row r="141" spans="1:7" x14ac:dyDescent="0.25">
      <c r="A141" s="13" t="s">
        <v>2645</v>
      </c>
      <c r="B141" s="13">
        <v>1849</v>
      </c>
      <c r="C141" s="14" t="str">
        <f>+VLOOKUP(B141,[1]LISTE!$A$1:$D$431,4,FALSE)</f>
        <v>GANHOUBA MEHDI</v>
      </c>
      <c r="D141" s="14" t="s">
        <v>22</v>
      </c>
      <c r="E141" s="15">
        <v>45937</v>
      </c>
      <c r="F141" s="14" t="s">
        <v>23</v>
      </c>
      <c r="G141" s="16">
        <v>50</v>
      </c>
    </row>
    <row r="142" spans="1:7" x14ac:dyDescent="0.25">
      <c r="A142" s="13" t="s">
        <v>2645</v>
      </c>
      <c r="B142" s="13">
        <v>1849</v>
      </c>
      <c r="C142" s="14" t="str">
        <f>+VLOOKUP(B142,[1]LISTE!$A$1:$D$431,4,FALSE)</f>
        <v>GANHOUBA MEHDI</v>
      </c>
      <c r="D142" s="14" t="s">
        <v>22</v>
      </c>
      <c r="E142" s="15">
        <v>45937</v>
      </c>
      <c r="F142" s="14" t="s">
        <v>20</v>
      </c>
      <c r="G142" s="16">
        <v>35.844999999999999</v>
      </c>
    </row>
    <row r="143" spans="1:7" x14ac:dyDescent="0.25">
      <c r="A143" s="13" t="s">
        <v>2745</v>
      </c>
      <c r="B143" s="13">
        <v>1856</v>
      </c>
      <c r="C143" s="14" t="str">
        <f>+VLOOKUP(B143,[1]LISTE!$A$1:$D$431,4,FALSE)</f>
        <v>ABDELLATIF MOHAMED ALI</v>
      </c>
      <c r="D143" s="14" t="s">
        <v>75</v>
      </c>
      <c r="E143" s="15">
        <v>45952</v>
      </c>
      <c r="F143" s="14" t="s">
        <v>23</v>
      </c>
      <c r="G143" s="16">
        <v>45</v>
      </c>
    </row>
    <row r="144" spans="1:7" x14ac:dyDescent="0.25">
      <c r="A144" s="13" t="s">
        <v>2745</v>
      </c>
      <c r="B144" s="13">
        <v>1856</v>
      </c>
      <c r="C144" s="14" t="str">
        <f>+VLOOKUP(B144,[1]LISTE!$A$1:$D$431,4,FALSE)</f>
        <v>ABDELLATIF MOHAMED ALI</v>
      </c>
      <c r="D144" s="14" t="s">
        <v>75</v>
      </c>
      <c r="E144" s="15">
        <v>45952</v>
      </c>
      <c r="F144" s="14" t="s">
        <v>20</v>
      </c>
      <c r="G144" s="16">
        <v>65.992999999999995</v>
      </c>
    </row>
    <row r="145" spans="1:7" x14ac:dyDescent="0.25">
      <c r="A145" s="13" t="s">
        <v>2757</v>
      </c>
      <c r="B145" s="13">
        <v>1856</v>
      </c>
      <c r="C145" s="14" t="str">
        <f>+VLOOKUP(B145,[1]LISTE!$A$1:$D$431,4,FALSE)</f>
        <v>ABDELLATIF MOHAMED ALI</v>
      </c>
      <c r="D145" s="14" t="s">
        <v>329</v>
      </c>
      <c r="E145" s="15">
        <v>45953</v>
      </c>
      <c r="F145" s="14" t="s">
        <v>23</v>
      </c>
      <c r="G145" s="16">
        <v>45</v>
      </c>
    </row>
    <row r="146" spans="1:7" x14ac:dyDescent="0.25">
      <c r="A146" s="13" t="s">
        <v>2757</v>
      </c>
      <c r="B146" s="13">
        <v>1856</v>
      </c>
      <c r="C146" s="14" t="str">
        <f>+VLOOKUP(B146,[1]LISTE!$A$1:$D$431,4,FALSE)</f>
        <v>ABDELLATIF MOHAMED ALI</v>
      </c>
      <c r="D146" s="14" t="s">
        <v>329</v>
      </c>
      <c r="E146" s="15">
        <v>45953</v>
      </c>
      <c r="F146" s="14" t="s">
        <v>20</v>
      </c>
      <c r="G146" s="16">
        <v>59.148000000000003</v>
      </c>
    </row>
    <row r="147" spans="1:7" x14ac:dyDescent="0.25">
      <c r="A147" s="13" t="s">
        <v>2677</v>
      </c>
      <c r="B147" s="13">
        <v>1860</v>
      </c>
      <c r="C147" s="14" t="str">
        <f>+VLOOKUP(B147,[1]LISTE!$A$1:$D$431,4,FALSE)</f>
        <v>KTAIEB FREDJ</v>
      </c>
      <c r="D147" s="14" t="s">
        <v>332</v>
      </c>
      <c r="E147" s="15">
        <v>45943</v>
      </c>
      <c r="F147" s="14" t="s">
        <v>18</v>
      </c>
      <c r="G147" s="16">
        <v>60</v>
      </c>
    </row>
    <row r="148" spans="1:7" x14ac:dyDescent="0.25">
      <c r="A148" s="13" t="s">
        <v>2677</v>
      </c>
      <c r="B148" s="13">
        <v>1860</v>
      </c>
      <c r="C148" s="14" t="str">
        <f>+VLOOKUP(B148,[1]LISTE!$A$1:$D$431,4,FALSE)</f>
        <v>KTAIEB FREDJ</v>
      </c>
      <c r="D148" s="14" t="s">
        <v>332</v>
      </c>
      <c r="E148" s="15">
        <v>45943</v>
      </c>
      <c r="F148" s="14" t="s">
        <v>19</v>
      </c>
      <c r="G148" s="16">
        <v>65.06</v>
      </c>
    </row>
    <row r="149" spans="1:7" x14ac:dyDescent="0.25">
      <c r="A149" s="13" t="s">
        <v>2677</v>
      </c>
      <c r="B149" s="13">
        <v>1860</v>
      </c>
      <c r="C149" s="14" t="str">
        <f>+VLOOKUP(B149,[1]LISTE!$A$1:$D$431,4,FALSE)</f>
        <v>KTAIEB FREDJ</v>
      </c>
      <c r="D149" s="15" t="s">
        <v>332</v>
      </c>
      <c r="E149" s="15">
        <v>45944</v>
      </c>
      <c r="F149" s="14" t="s">
        <v>20</v>
      </c>
      <c r="G149" s="16">
        <v>353.779</v>
      </c>
    </row>
    <row r="150" spans="1:7" x14ac:dyDescent="0.25">
      <c r="A150" s="13" t="s">
        <v>2657</v>
      </c>
      <c r="B150" s="13">
        <v>1861</v>
      </c>
      <c r="C150" s="14" t="str">
        <f>+VLOOKUP(B150,[1]LISTE!$A$1:$D$431,4,FALSE)</f>
        <v>BOUHLEL ANIS BEN MUSTAPHA</v>
      </c>
      <c r="D150" s="14" t="s">
        <v>212</v>
      </c>
      <c r="E150" s="15">
        <v>45944</v>
      </c>
      <c r="F150" s="14" t="s">
        <v>23</v>
      </c>
      <c r="G150" s="16">
        <v>40</v>
      </c>
    </row>
    <row r="151" spans="1:7" x14ac:dyDescent="0.25">
      <c r="A151" s="13" t="s">
        <v>2657</v>
      </c>
      <c r="B151" s="13">
        <v>1861</v>
      </c>
      <c r="C151" s="14" t="str">
        <f>+VLOOKUP(B151,[1]LISTE!$A$1:$D$431,4,FALSE)</f>
        <v>BOUHLEL ANIS BEN MUSTAPHA</v>
      </c>
      <c r="D151" s="15" t="s">
        <v>212</v>
      </c>
      <c r="E151" s="15">
        <v>45945</v>
      </c>
      <c r="F151" s="14" t="s">
        <v>20</v>
      </c>
      <c r="G151" s="16">
        <v>63.338000000000001</v>
      </c>
    </row>
    <row r="152" spans="1:7" x14ac:dyDescent="0.25">
      <c r="A152" s="13" t="s">
        <v>2708</v>
      </c>
      <c r="B152" s="13">
        <v>1861</v>
      </c>
      <c r="C152" s="14" t="str">
        <f>+VLOOKUP(B152,[1]LISTE!$A$1:$D$431,4,FALSE)</f>
        <v>BOUHLEL ANIS BEN MUSTAPHA</v>
      </c>
      <c r="D152" s="14" t="s">
        <v>22</v>
      </c>
      <c r="E152" s="15">
        <v>45949</v>
      </c>
      <c r="F152" s="14" t="s">
        <v>23</v>
      </c>
      <c r="G152" s="16">
        <v>40</v>
      </c>
    </row>
    <row r="153" spans="1:7" x14ac:dyDescent="0.25">
      <c r="A153" s="13" t="s">
        <v>2708</v>
      </c>
      <c r="B153" s="13">
        <v>1861</v>
      </c>
      <c r="C153" s="14" t="str">
        <f>+VLOOKUP(B153,[1]LISTE!$A$1:$D$431,4,FALSE)</f>
        <v>BOUHLEL ANIS BEN MUSTAPHA</v>
      </c>
      <c r="D153" s="15" t="s">
        <v>22</v>
      </c>
      <c r="E153" s="15">
        <v>45949</v>
      </c>
      <c r="F153" s="14" t="s">
        <v>20</v>
      </c>
      <c r="G153" s="16">
        <v>24.245000000000001</v>
      </c>
    </row>
    <row r="154" spans="1:7" x14ac:dyDescent="0.25">
      <c r="A154" s="13" t="s">
        <v>2739</v>
      </c>
      <c r="B154" s="13">
        <v>1877</v>
      </c>
      <c r="C154" s="14" t="str">
        <f>+VLOOKUP(B154,[1]LISTE!$A$1:$D$431,4,FALSE)</f>
        <v>SOUSSI MAHER</v>
      </c>
      <c r="D154" s="14" t="s">
        <v>475</v>
      </c>
      <c r="E154" s="15">
        <v>45951</v>
      </c>
      <c r="F154" s="14" t="s">
        <v>23</v>
      </c>
      <c r="G154" s="16">
        <v>45</v>
      </c>
    </row>
    <row r="155" spans="1:7" x14ac:dyDescent="0.25">
      <c r="A155" s="13" t="s">
        <v>2739</v>
      </c>
      <c r="B155" s="13">
        <v>1877</v>
      </c>
      <c r="C155" s="14" t="str">
        <f>+VLOOKUP(B155,[1]LISTE!$A$1:$D$431,4,FALSE)</f>
        <v>SOUSSI MAHER</v>
      </c>
      <c r="D155" s="14" t="s">
        <v>475</v>
      </c>
      <c r="E155" s="15">
        <v>45951</v>
      </c>
      <c r="F155" s="14" t="s">
        <v>20</v>
      </c>
      <c r="G155" s="16">
        <v>44.493000000000002</v>
      </c>
    </row>
    <row r="156" spans="1:7" x14ac:dyDescent="0.25">
      <c r="A156" s="13" t="s">
        <v>2699</v>
      </c>
      <c r="B156" s="13">
        <v>1882</v>
      </c>
      <c r="C156" s="14" t="str">
        <f>+VLOOKUP(B156,[1]LISTE!$A$1:$D$431,4,FALSE)</f>
        <v>AMARA SOFIANE</v>
      </c>
      <c r="D156" s="14" t="s">
        <v>349</v>
      </c>
      <c r="E156" s="15">
        <v>45933</v>
      </c>
      <c r="F156" s="14" t="s">
        <v>65</v>
      </c>
      <c r="G156" s="16">
        <v>84</v>
      </c>
    </row>
    <row r="157" spans="1:7" x14ac:dyDescent="0.25">
      <c r="A157" s="13" t="s">
        <v>2754</v>
      </c>
      <c r="B157" s="13">
        <v>1884</v>
      </c>
      <c r="C157" s="14" t="str">
        <f>+VLOOKUP(B157,[1]LISTE!$A$1:$D$431,4,FALSE)</f>
        <v>BELKHIRIA HAYKEL</v>
      </c>
      <c r="D157" s="14" t="s">
        <v>2755</v>
      </c>
      <c r="E157" s="15">
        <v>45953</v>
      </c>
      <c r="F157" s="14" t="s">
        <v>18</v>
      </c>
      <c r="G157" s="16">
        <v>60</v>
      </c>
    </row>
    <row r="158" spans="1:7" x14ac:dyDescent="0.25">
      <c r="A158" s="13" t="s">
        <v>2754</v>
      </c>
      <c r="B158" s="13">
        <v>1884</v>
      </c>
      <c r="C158" s="14" t="str">
        <f>+VLOOKUP(B158,[1]LISTE!$A$1:$D$431,4,FALSE)</f>
        <v>BELKHIRIA HAYKEL</v>
      </c>
      <c r="D158" s="14" t="s">
        <v>2755</v>
      </c>
      <c r="E158" s="15">
        <v>45953</v>
      </c>
      <c r="F158" s="14" t="s">
        <v>20</v>
      </c>
      <c r="G158" s="16">
        <v>93.744</v>
      </c>
    </row>
    <row r="159" spans="1:7" x14ac:dyDescent="0.25">
      <c r="A159" s="13" t="s">
        <v>2650</v>
      </c>
      <c r="B159" s="13">
        <v>1897</v>
      </c>
      <c r="C159" s="14" t="str">
        <f>+VLOOKUP(B159,[1]LISTE!$A$1:$D$431,4,FALSE)</f>
        <v>BOHLI AMOR</v>
      </c>
      <c r="D159" s="14" t="s">
        <v>22</v>
      </c>
      <c r="E159" s="15">
        <v>45939</v>
      </c>
      <c r="F159" s="14" t="s">
        <v>23</v>
      </c>
      <c r="G159" s="16">
        <v>40</v>
      </c>
    </row>
    <row r="160" spans="1:7" x14ac:dyDescent="0.25">
      <c r="A160" s="13" t="s">
        <v>2650</v>
      </c>
      <c r="B160" s="13">
        <v>1897</v>
      </c>
      <c r="C160" s="14" t="str">
        <f>+VLOOKUP(B160,[1]LISTE!$A$1:$D$431,4,FALSE)</f>
        <v>BOHLI AMOR</v>
      </c>
      <c r="D160" s="14" t="s">
        <v>22</v>
      </c>
      <c r="E160" s="15">
        <v>45939</v>
      </c>
      <c r="F160" s="14" t="s">
        <v>20</v>
      </c>
      <c r="G160" s="16">
        <v>83.363</v>
      </c>
    </row>
    <row r="161" spans="1:7" x14ac:dyDescent="0.25">
      <c r="A161" s="13" t="s">
        <v>2705</v>
      </c>
      <c r="B161" s="13">
        <v>1901</v>
      </c>
      <c r="C161" s="14" t="str">
        <f>+VLOOKUP(B161,[1]LISTE!$A$1:$D$431,4,FALSE)</f>
        <v>BACH ZOUHAIER</v>
      </c>
      <c r="D161" s="15" t="s">
        <v>792</v>
      </c>
      <c r="E161" s="15">
        <v>45948</v>
      </c>
      <c r="F161" s="14" t="s">
        <v>23</v>
      </c>
      <c r="G161" s="16">
        <v>1.5</v>
      </c>
    </row>
    <row r="162" spans="1:7" x14ac:dyDescent="0.25">
      <c r="A162" s="13" t="s">
        <v>2705</v>
      </c>
      <c r="B162" s="13">
        <v>1901</v>
      </c>
      <c r="C162" s="14" t="str">
        <f>+VLOOKUP(B162,[1]LISTE!$A$1:$D$431,4,FALSE)</f>
        <v>BACH ZOUHAIER</v>
      </c>
      <c r="D162" s="14" t="s">
        <v>792</v>
      </c>
      <c r="E162" s="15">
        <v>45948</v>
      </c>
      <c r="F162" s="14" t="s">
        <v>20</v>
      </c>
      <c r="G162" s="16">
        <v>25.99</v>
      </c>
    </row>
    <row r="163" spans="1:7" x14ac:dyDescent="0.25">
      <c r="A163" s="13" t="s">
        <v>2706</v>
      </c>
      <c r="B163" s="13">
        <v>1901</v>
      </c>
      <c r="C163" s="14" t="str">
        <f>+VLOOKUP(B163,[1]LISTE!$A$1:$D$431,4,FALSE)</f>
        <v>BACH ZOUHAIER</v>
      </c>
      <c r="D163" s="14" t="s">
        <v>221</v>
      </c>
      <c r="E163" s="15">
        <v>45939</v>
      </c>
      <c r="F163" s="14" t="s">
        <v>23</v>
      </c>
      <c r="G163" s="16">
        <v>1.5</v>
      </c>
    </row>
    <row r="164" spans="1:7" x14ac:dyDescent="0.25">
      <c r="A164" s="13" t="s">
        <v>2706</v>
      </c>
      <c r="B164" s="13">
        <v>1901</v>
      </c>
      <c r="C164" s="14" t="str">
        <f>+VLOOKUP(B164,[1]LISTE!$A$1:$D$431,4,FALSE)</f>
        <v>BACH ZOUHAIER</v>
      </c>
      <c r="D164" s="14" t="s">
        <v>221</v>
      </c>
      <c r="E164" s="15">
        <v>45939</v>
      </c>
      <c r="F164" s="14" t="s">
        <v>20</v>
      </c>
      <c r="G164" s="16">
        <v>25.315000000000001</v>
      </c>
    </row>
    <row r="165" spans="1:7" x14ac:dyDescent="0.25">
      <c r="A165" s="13" t="s">
        <v>2707</v>
      </c>
      <c r="B165" s="13">
        <v>1901</v>
      </c>
      <c r="C165" s="14" t="str">
        <f>+VLOOKUP(B165,[1]LISTE!$A$1:$D$431,4,FALSE)</f>
        <v>BACH ZOUHAIER</v>
      </c>
      <c r="D165" s="14" t="s">
        <v>792</v>
      </c>
      <c r="E165" s="15">
        <v>45950</v>
      </c>
      <c r="F165" s="14" t="s">
        <v>18</v>
      </c>
      <c r="G165" s="16">
        <v>60</v>
      </c>
    </row>
    <row r="166" spans="1:7" x14ac:dyDescent="0.25">
      <c r="A166" s="13" t="s">
        <v>2707</v>
      </c>
      <c r="B166" s="13">
        <v>1901</v>
      </c>
      <c r="C166" s="14" t="str">
        <f>+VLOOKUP(B166,[1]LISTE!$A$1:$D$431,4,FALSE)</f>
        <v>BACH ZOUHAIER</v>
      </c>
      <c r="D166" s="14" t="s">
        <v>792</v>
      </c>
      <c r="E166" s="15">
        <v>45950</v>
      </c>
      <c r="F166" s="14" t="s">
        <v>20</v>
      </c>
      <c r="G166" s="16">
        <v>22.4</v>
      </c>
    </row>
    <row r="167" spans="1:7" x14ac:dyDescent="0.25">
      <c r="A167" s="13" t="s">
        <v>2695</v>
      </c>
      <c r="B167" s="13">
        <v>1904</v>
      </c>
      <c r="C167" s="14" t="str">
        <f>+VLOOKUP(B167,[1]LISTE!$A$1:$D$431,4,FALSE)</f>
        <v>GLOULOU LOTFI</v>
      </c>
      <c r="D167" s="14" t="s">
        <v>2161</v>
      </c>
      <c r="E167" s="15">
        <v>45950</v>
      </c>
      <c r="F167" s="14" t="s">
        <v>18</v>
      </c>
      <c r="G167" s="16">
        <v>70</v>
      </c>
    </row>
    <row r="168" spans="1:7" x14ac:dyDescent="0.25">
      <c r="A168" s="13" t="s">
        <v>2695</v>
      </c>
      <c r="B168" s="13">
        <v>1904</v>
      </c>
      <c r="C168" s="14" t="str">
        <f>+VLOOKUP(B168,[1]LISTE!$A$1:$D$431,4,FALSE)</f>
        <v>GLOULOU LOTFI</v>
      </c>
      <c r="D168" s="14" t="s">
        <v>2161</v>
      </c>
      <c r="E168" s="15">
        <v>45950</v>
      </c>
      <c r="F168" s="14" t="s">
        <v>19</v>
      </c>
      <c r="G168" s="16">
        <v>59.6</v>
      </c>
    </row>
    <row r="169" spans="1:7" x14ac:dyDescent="0.25">
      <c r="A169" s="13" t="s">
        <v>2695</v>
      </c>
      <c r="B169" s="13">
        <v>1904</v>
      </c>
      <c r="C169" s="14" t="str">
        <f>+VLOOKUP(B169,[1]LISTE!$A$1:$D$431,4,FALSE)</f>
        <v>GLOULOU LOTFI</v>
      </c>
      <c r="D169" s="14" t="s">
        <v>2161</v>
      </c>
      <c r="E169" s="15">
        <v>45950</v>
      </c>
      <c r="F169" s="14" t="s">
        <v>20</v>
      </c>
      <c r="G169" s="16">
        <v>7.83</v>
      </c>
    </row>
    <row r="170" spans="1:7" x14ac:dyDescent="0.25">
      <c r="A170" s="13" t="s">
        <v>2695</v>
      </c>
      <c r="B170" s="13">
        <v>1904</v>
      </c>
      <c r="C170" s="14" t="str">
        <f>+VLOOKUP(B170,[1]LISTE!$A$1:$D$431,4,FALSE)</f>
        <v>GLOULOU LOTFI</v>
      </c>
      <c r="D170" s="14" t="s">
        <v>2161</v>
      </c>
      <c r="E170" s="15">
        <v>45950</v>
      </c>
      <c r="F170" s="14" t="s">
        <v>21</v>
      </c>
      <c r="G170" s="16">
        <v>90</v>
      </c>
    </row>
    <row r="171" spans="1:7" x14ac:dyDescent="0.25">
      <c r="A171" s="13" t="s">
        <v>2644</v>
      </c>
      <c r="B171" s="13">
        <v>1907</v>
      </c>
      <c r="C171" s="14" t="str">
        <f>+VLOOKUP(B171,[1]LISTE!$A$1:$D$431,4,FALSE)</f>
        <v>MAMIA NEJMEDDINE</v>
      </c>
      <c r="D171" s="15" t="s">
        <v>22</v>
      </c>
      <c r="E171" s="15">
        <v>45946</v>
      </c>
      <c r="F171" s="14" t="s">
        <v>18</v>
      </c>
      <c r="G171" s="16">
        <v>80</v>
      </c>
    </row>
    <row r="172" spans="1:7" x14ac:dyDescent="0.25">
      <c r="A172" s="13" t="s">
        <v>2644</v>
      </c>
      <c r="B172" s="13">
        <v>1907</v>
      </c>
      <c r="C172" s="14" t="str">
        <f>+VLOOKUP(B172,[1]LISTE!$A$1:$D$431,4,FALSE)</f>
        <v>MAMIA NEJMEDDINE</v>
      </c>
      <c r="D172" s="14" t="s">
        <v>22</v>
      </c>
      <c r="E172" s="15">
        <v>45946</v>
      </c>
      <c r="F172" s="14" t="s">
        <v>20</v>
      </c>
      <c r="G172" s="16">
        <v>15.355</v>
      </c>
    </row>
    <row r="173" spans="1:7" x14ac:dyDescent="0.25">
      <c r="A173" s="13" t="s">
        <v>2684</v>
      </c>
      <c r="B173" s="13">
        <v>1908</v>
      </c>
      <c r="C173" s="14" t="str">
        <f>+VLOOKUP(B173,[1]LISTE!$A$1:$D$431,4,FALSE)</f>
        <v>ZMERLI JAOUHAR</v>
      </c>
      <c r="D173" s="15" t="s">
        <v>2685</v>
      </c>
      <c r="E173" s="15">
        <v>45922</v>
      </c>
      <c r="F173" s="14" t="s">
        <v>18</v>
      </c>
      <c r="G173" s="16">
        <v>60</v>
      </c>
    </row>
    <row r="174" spans="1:7" x14ac:dyDescent="0.25">
      <c r="A174" s="13" t="s">
        <v>2684</v>
      </c>
      <c r="B174" s="13">
        <v>1908</v>
      </c>
      <c r="C174" s="14" t="str">
        <f>+VLOOKUP(B174,[1]LISTE!$A$1:$D$431,4,FALSE)</f>
        <v>ZMERLI JAOUHAR</v>
      </c>
      <c r="D174" s="14" t="s">
        <v>2685</v>
      </c>
      <c r="E174" s="15">
        <v>45922</v>
      </c>
      <c r="F174" s="14" t="s">
        <v>20</v>
      </c>
      <c r="G174" s="16">
        <v>71</v>
      </c>
    </row>
    <row r="175" spans="1:7" x14ac:dyDescent="0.25">
      <c r="A175" s="13" t="s">
        <v>2711</v>
      </c>
      <c r="B175" s="13">
        <v>1908</v>
      </c>
      <c r="C175" s="14" t="str">
        <f>+VLOOKUP(B175,[1]LISTE!$A$1:$D$431,4,FALSE)</f>
        <v>ZMERLI JAOUHAR</v>
      </c>
      <c r="D175" s="14" t="s">
        <v>22</v>
      </c>
      <c r="E175" s="15">
        <v>45936</v>
      </c>
      <c r="F175" s="14" t="s">
        <v>18</v>
      </c>
      <c r="G175" s="16">
        <v>80</v>
      </c>
    </row>
    <row r="176" spans="1:7" x14ac:dyDescent="0.25">
      <c r="A176" s="13" t="s">
        <v>2712</v>
      </c>
      <c r="B176" s="13">
        <v>1908</v>
      </c>
      <c r="C176" s="14" t="str">
        <f>+VLOOKUP(B176,[1]LISTE!$A$1:$D$431,4,FALSE)</f>
        <v>ZMERLI JAOUHAR</v>
      </c>
      <c r="D176" s="14" t="s">
        <v>371</v>
      </c>
      <c r="E176" s="15">
        <v>45941</v>
      </c>
      <c r="F176" s="14" t="s">
        <v>25</v>
      </c>
      <c r="G176" s="16">
        <v>495</v>
      </c>
    </row>
    <row r="177" spans="1:7" x14ac:dyDescent="0.25">
      <c r="A177" s="13" t="s">
        <v>2630</v>
      </c>
      <c r="B177" s="13">
        <v>1910</v>
      </c>
      <c r="C177" s="14" t="str">
        <f>+VLOOKUP(B177,[1]LISTE!$A$1:$D$431,4,FALSE)</f>
        <v>YOUSFI MEHDI</v>
      </c>
      <c r="D177" s="14" t="s">
        <v>22</v>
      </c>
      <c r="E177" s="15">
        <v>45945</v>
      </c>
      <c r="F177" s="14" t="s">
        <v>23</v>
      </c>
      <c r="G177" s="16">
        <v>40</v>
      </c>
    </row>
    <row r="178" spans="1:7" x14ac:dyDescent="0.25">
      <c r="A178" s="13" t="s">
        <v>2630</v>
      </c>
      <c r="B178" s="13">
        <v>1910</v>
      </c>
      <c r="C178" s="14" t="str">
        <f>+VLOOKUP(B178,[1]LISTE!$A$1:$D$431,4,FALSE)</f>
        <v>YOUSFI MEHDI</v>
      </c>
      <c r="D178" s="14" t="s">
        <v>22</v>
      </c>
      <c r="E178" s="15">
        <v>45945</v>
      </c>
      <c r="F178" s="14" t="s">
        <v>20</v>
      </c>
      <c r="G178" s="16">
        <v>56.2</v>
      </c>
    </row>
    <row r="179" spans="1:7" x14ac:dyDescent="0.25">
      <c r="A179" s="13" t="s">
        <v>2726</v>
      </c>
      <c r="B179" s="13">
        <v>1910</v>
      </c>
      <c r="C179" s="14" t="str">
        <f>+VLOOKUP(B179,[1]LISTE!$A$1:$D$431,4,FALSE)</f>
        <v>YOUSFI MEHDI</v>
      </c>
      <c r="D179" s="15" t="s">
        <v>292</v>
      </c>
      <c r="E179" s="15">
        <v>45950</v>
      </c>
      <c r="F179" s="14" t="s">
        <v>23</v>
      </c>
      <c r="G179" s="16">
        <v>20</v>
      </c>
    </row>
    <row r="180" spans="1:7" x14ac:dyDescent="0.25">
      <c r="A180" s="13" t="s">
        <v>2726</v>
      </c>
      <c r="B180" s="13">
        <v>1910</v>
      </c>
      <c r="C180" s="14" t="str">
        <f>+VLOOKUP(B180,[1]LISTE!$A$1:$D$431,4,FALSE)</f>
        <v>YOUSFI MEHDI</v>
      </c>
      <c r="D180" s="14" t="s">
        <v>292</v>
      </c>
      <c r="E180" s="15">
        <v>45950</v>
      </c>
      <c r="F180" s="14" t="s">
        <v>20</v>
      </c>
      <c r="G180" s="16">
        <v>75.27</v>
      </c>
    </row>
    <row r="181" spans="1:7" x14ac:dyDescent="0.25">
      <c r="A181" s="13" t="s">
        <v>2759</v>
      </c>
      <c r="B181" s="13">
        <v>1914</v>
      </c>
      <c r="C181" s="14" t="str">
        <f>+VLOOKUP(B181,[1]LISTE!$A$1:$D$431,4,FALSE)</f>
        <v>EL FKIH LAMJED</v>
      </c>
      <c r="D181" s="14" t="s">
        <v>2760</v>
      </c>
      <c r="E181" s="15">
        <v>45943</v>
      </c>
      <c r="F181" s="14" t="s">
        <v>23</v>
      </c>
      <c r="G181" s="16">
        <v>4.5</v>
      </c>
    </row>
    <row r="182" spans="1:7" x14ac:dyDescent="0.25">
      <c r="A182" s="13" t="s">
        <v>2759</v>
      </c>
      <c r="B182" s="13">
        <v>1914</v>
      </c>
      <c r="C182" s="14" t="str">
        <f>+VLOOKUP(B182,[1]LISTE!$A$1:$D$431,4,FALSE)</f>
        <v>EL FKIH LAMJED</v>
      </c>
      <c r="D182" s="14" t="s">
        <v>2760</v>
      </c>
      <c r="E182" s="15">
        <v>45957</v>
      </c>
      <c r="F182" s="14" t="s">
        <v>23</v>
      </c>
      <c r="G182" s="16">
        <v>4.5</v>
      </c>
    </row>
    <row r="183" spans="1:7" x14ac:dyDescent="0.25">
      <c r="A183" s="13" t="s">
        <v>2759</v>
      </c>
      <c r="B183" s="13">
        <v>1914</v>
      </c>
      <c r="C183" s="14" t="str">
        <f>+VLOOKUP(B183,[1]LISTE!$A$1:$D$431,4,FALSE)</f>
        <v>EL FKIH LAMJED</v>
      </c>
      <c r="D183" s="14" t="s">
        <v>2760</v>
      </c>
      <c r="E183" s="15">
        <v>45951</v>
      </c>
      <c r="F183" s="14" t="s">
        <v>21</v>
      </c>
      <c r="G183" s="16">
        <v>60</v>
      </c>
    </row>
    <row r="184" spans="1:7" x14ac:dyDescent="0.25">
      <c r="A184" s="13" t="s">
        <v>2686</v>
      </c>
      <c r="B184" s="13">
        <v>1923</v>
      </c>
      <c r="C184" s="14" t="str">
        <f>+VLOOKUP(B184,[1]LISTE!$A$1:$D$431,4,FALSE)</f>
        <v>BOUAZZA WALID</v>
      </c>
      <c r="D184" s="14" t="s">
        <v>22</v>
      </c>
      <c r="E184" s="15">
        <v>45941</v>
      </c>
      <c r="F184" s="14" t="s">
        <v>23</v>
      </c>
      <c r="G184" s="16">
        <v>25</v>
      </c>
    </row>
    <row r="185" spans="1:7" x14ac:dyDescent="0.25">
      <c r="A185" s="13" t="s">
        <v>2686</v>
      </c>
      <c r="B185" s="13">
        <v>1923</v>
      </c>
      <c r="C185" s="14" t="str">
        <f>+VLOOKUP(B185,[1]LISTE!$A$1:$D$431,4,FALSE)</f>
        <v>BOUAZZA WALID</v>
      </c>
      <c r="D185" s="14" t="s">
        <v>22</v>
      </c>
      <c r="E185" s="15">
        <v>45941</v>
      </c>
      <c r="F185" s="14" t="s">
        <v>20</v>
      </c>
      <c r="G185" s="16">
        <v>53.99</v>
      </c>
    </row>
    <row r="186" spans="1:7" x14ac:dyDescent="0.25">
      <c r="A186" s="13" t="s">
        <v>2667</v>
      </c>
      <c r="B186" s="13">
        <v>1925</v>
      </c>
      <c r="C186" s="14" t="str">
        <f>+VLOOKUP(B186,[1]LISTE!$A$1:$D$431,4,FALSE)</f>
        <v>HACHICHA MOHAMED</v>
      </c>
      <c r="D186" s="14" t="s">
        <v>2668</v>
      </c>
      <c r="E186" s="15">
        <v>45947</v>
      </c>
      <c r="F186" s="14" t="s">
        <v>23</v>
      </c>
      <c r="G186" s="16">
        <v>60</v>
      </c>
    </row>
    <row r="187" spans="1:7" x14ac:dyDescent="0.25">
      <c r="A187" s="13" t="s">
        <v>2667</v>
      </c>
      <c r="B187" s="13">
        <v>1925</v>
      </c>
      <c r="C187" s="14" t="str">
        <f>+VLOOKUP(B187,[1]LISTE!$A$1:$D$431,4,FALSE)</f>
        <v>HACHICHA MOHAMED</v>
      </c>
      <c r="D187" s="14" t="s">
        <v>2668</v>
      </c>
      <c r="E187" s="15">
        <v>45947</v>
      </c>
      <c r="F187" s="14" t="s">
        <v>20</v>
      </c>
      <c r="G187" s="16">
        <v>25.594999999999999</v>
      </c>
    </row>
    <row r="188" spans="1:7" x14ac:dyDescent="0.25">
      <c r="A188" s="13" t="s">
        <v>2637</v>
      </c>
      <c r="B188" s="13">
        <v>1938</v>
      </c>
      <c r="C188" s="14" t="str">
        <f>+VLOOKUP(B188,[1]LISTE!$A$1:$D$431,4,FALSE)</f>
        <v>NAFFATI SOFIENE</v>
      </c>
      <c r="D188" s="15" t="s">
        <v>119</v>
      </c>
      <c r="E188" s="15">
        <v>45932</v>
      </c>
      <c r="F188" s="14" t="s">
        <v>23</v>
      </c>
      <c r="G188" s="16">
        <v>45</v>
      </c>
    </row>
    <row r="189" spans="1:7" x14ac:dyDescent="0.25">
      <c r="A189" s="13" t="s">
        <v>2637</v>
      </c>
      <c r="B189" s="13">
        <v>1938</v>
      </c>
      <c r="C189" s="14" t="str">
        <f>+VLOOKUP(B189,[1]LISTE!$A$1:$D$431,4,FALSE)</f>
        <v>NAFFATI SOFIENE</v>
      </c>
      <c r="D189" s="15" t="s">
        <v>119</v>
      </c>
      <c r="E189" s="15">
        <v>45934</v>
      </c>
      <c r="F189" s="14" t="s">
        <v>20</v>
      </c>
      <c r="G189" s="16">
        <v>33.97</v>
      </c>
    </row>
    <row r="190" spans="1:7" x14ac:dyDescent="0.25">
      <c r="A190" s="13" t="s">
        <v>2655</v>
      </c>
      <c r="B190" s="13">
        <v>1953</v>
      </c>
      <c r="C190" s="14" t="str">
        <f>+VLOOKUP(B190,[1]LISTE!$A$1:$D$431,4,FALSE)</f>
        <v>SGHAIER SAMI</v>
      </c>
      <c r="D190" s="14" t="s">
        <v>22</v>
      </c>
      <c r="E190" s="15">
        <v>45941</v>
      </c>
      <c r="F190" s="14" t="s">
        <v>18</v>
      </c>
      <c r="G190" s="16">
        <v>70</v>
      </c>
    </row>
    <row r="191" spans="1:7" x14ac:dyDescent="0.25">
      <c r="A191" s="13" t="s">
        <v>2655</v>
      </c>
      <c r="B191" s="13">
        <v>1953</v>
      </c>
      <c r="C191" s="14" t="str">
        <f>+VLOOKUP(B191,[1]LISTE!$A$1:$D$431,4,FALSE)</f>
        <v>SGHAIER SAMI</v>
      </c>
      <c r="D191" s="14" t="s">
        <v>22</v>
      </c>
      <c r="E191" s="15">
        <v>45941</v>
      </c>
      <c r="F191" s="14" t="s">
        <v>20</v>
      </c>
      <c r="G191" s="16">
        <v>16</v>
      </c>
    </row>
    <row r="192" spans="1:7" x14ac:dyDescent="0.25">
      <c r="A192" s="13" t="s">
        <v>2628</v>
      </c>
      <c r="B192" s="13">
        <v>1969</v>
      </c>
      <c r="C192" s="14" t="str">
        <f>+VLOOKUP(B192,[1]LISTE!$A$1:$D$431,4,FALSE)</f>
        <v>BOUKADDIDA MEHREZ</v>
      </c>
      <c r="D192" s="15" t="s">
        <v>2107</v>
      </c>
      <c r="E192" s="15">
        <v>45933</v>
      </c>
      <c r="F192" s="14" t="s">
        <v>18</v>
      </c>
      <c r="G192" s="16">
        <v>70</v>
      </c>
    </row>
    <row r="193" spans="1:7" x14ac:dyDescent="0.25">
      <c r="A193" s="13" t="s">
        <v>2628</v>
      </c>
      <c r="B193" s="13">
        <v>1969</v>
      </c>
      <c r="C193" s="14" t="str">
        <f>+VLOOKUP(B193,[1]LISTE!$A$1:$D$431,4,FALSE)</f>
        <v>BOUKADDIDA MEHREZ</v>
      </c>
      <c r="D193" s="15" t="s">
        <v>2107</v>
      </c>
      <c r="E193" s="15">
        <v>45933</v>
      </c>
      <c r="F193" s="14" t="s">
        <v>20</v>
      </c>
      <c r="G193" s="16">
        <v>76.650000000000006</v>
      </c>
    </row>
    <row r="194" spans="1:7" x14ac:dyDescent="0.25">
      <c r="A194" s="13" t="s">
        <v>2628</v>
      </c>
      <c r="B194" s="13">
        <v>1969</v>
      </c>
      <c r="C194" s="14" t="str">
        <f>+VLOOKUP(B194,[1]LISTE!$A$1:$D$431,4,FALSE)</f>
        <v>BOUKADDIDA MEHREZ</v>
      </c>
      <c r="D194" s="14" t="s">
        <v>2107</v>
      </c>
      <c r="E194" s="15">
        <v>45936</v>
      </c>
      <c r="F194" s="14" t="s">
        <v>19</v>
      </c>
      <c r="G194" s="16">
        <v>50</v>
      </c>
    </row>
    <row r="195" spans="1:7" x14ac:dyDescent="0.25">
      <c r="A195" s="13" t="s">
        <v>2704</v>
      </c>
      <c r="B195" s="13">
        <v>1969</v>
      </c>
      <c r="C195" s="14" t="str">
        <f>+VLOOKUP(B195,[1]LISTE!$A$1:$D$431,4,FALSE)</f>
        <v>BOUKADDIDA MEHREZ</v>
      </c>
      <c r="D195" s="14" t="s">
        <v>306</v>
      </c>
      <c r="E195" s="15">
        <v>45938</v>
      </c>
      <c r="F195" s="14" t="s">
        <v>23</v>
      </c>
      <c r="G195" s="16">
        <v>50</v>
      </c>
    </row>
    <row r="196" spans="1:7" x14ac:dyDescent="0.25">
      <c r="A196" s="13" t="s">
        <v>2704</v>
      </c>
      <c r="B196" s="13">
        <v>1969</v>
      </c>
      <c r="C196" s="14" t="str">
        <f>+VLOOKUP(B196,[1]LISTE!$A$1:$D$431,4,FALSE)</f>
        <v>BOUKADDIDA MEHREZ</v>
      </c>
      <c r="D196" s="14" t="s">
        <v>306</v>
      </c>
      <c r="E196" s="15">
        <v>45938</v>
      </c>
      <c r="F196" s="14" t="s">
        <v>20</v>
      </c>
      <c r="G196" s="16">
        <v>6.9649999999999999</v>
      </c>
    </row>
    <row r="197" spans="1:7" x14ac:dyDescent="0.25">
      <c r="A197" s="13" t="s">
        <v>2704</v>
      </c>
      <c r="B197" s="13">
        <v>1969</v>
      </c>
      <c r="C197" s="14" t="str">
        <f>+VLOOKUP(B197,[1]LISTE!$A$1:$D$431,4,FALSE)</f>
        <v>BOUKADDIDA MEHREZ</v>
      </c>
      <c r="D197" s="14" t="s">
        <v>306</v>
      </c>
      <c r="E197" s="15">
        <v>45941</v>
      </c>
      <c r="F197" s="14" t="s">
        <v>24</v>
      </c>
      <c r="G197" s="16">
        <v>60</v>
      </c>
    </row>
    <row r="198" spans="1:7" x14ac:dyDescent="0.25">
      <c r="A198" s="13" t="s">
        <v>2688</v>
      </c>
      <c r="B198" s="13">
        <v>1995</v>
      </c>
      <c r="C198" s="14" t="str">
        <f>+VLOOKUP(B198,[1]LISTE!$A$1:$D$431,4,FALSE)</f>
        <v>ACHECHE HAMDA NACEUR</v>
      </c>
      <c r="D198" s="14" t="s">
        <v>22</v>
      </c>
      <c r="E198" s="15">
        <v>45950</v>
      </c>
      <c r="F198" s="14" t="s">
        <v>23</v>
      </c>
      <c r="G198" s="16">
        <v>40</v>
      </c>
    </row>
    <row r="199" spans="1:7" x14ac:dyDescent="0.25">
      <c r="A199" s="13" t="s">
        <v>2688</v>
      </c>
      <c r="B199" s="13">
        <v>1995</v>
      </c>
      <c r="C199" s="14" t="str">
        <f>+VLOOKUP(B199,[1]LISTE!$A$1:$D$431,4,FALSE)</f>
        <v>ACHECHE HAMDA NACEUR</v>
      </c>
      <c r="D199" s="14" t="s">
        <v>22</v>
      </c>
      <c r="E199" s="15">
        <v>45951</v>
      </c>
      <c r="F199" s="14" t="s">
        <v>19</v>
      </c>
      <c r="G199" s="16">
        <v>58.4</v>
      </c>
    </row>
    <row r="200" spans="1:7" x14ac:dyDescent="0.25">
      <c r="A200" s="13" t="s">
        <v>2730</v>
      </c>
      <c r="B200" s="13">
        <v>2013</v>
      </c>
      <c r="C200" s="14" t="str">
        <f>+VLOOKUP(B200,[1]LISTE!$A$1:$D$431,4,FALSE)</f>
        <v>BEL HADJ ALI MOHAMED ALI</v>
      </c>
      <c r="D200" s="14" t="s">
        <v>186</v>
      </c>
      <c r="E200" s="15">
        <v>45950</v>
      </c>
      <c r="F200" s="14" t="s">
        <v>18</v>
      </c>
      <c r="G200" s="16">
        <v>70</v>
      </c>
    </row>
    <row r="201" spans="1:7" x14ac:dyDescent="0.25">
      <c r="A201" s="13" t="s">
        <v>2730</v>
      </c>
      <c r="B201" s="13">
        <v>2013</v>
      </c>
      <c r="C201" s="14" t="str">
        <f>+VLOOKUP(B201,[1]LISTE!$A$1:$D$431,4,FALSE)</f>
        <v>BEL HADJ ALI MOHAMED ALI</v>
      </c>
      <c r="D201" s="14" t="s">
        <v>186</v>
      </c>
      <c r="E201" s="15">
        <v>45950</v>
      </c>
      <c r="F201" s="14" t="s">
        <v>20</v>
      </c>
      <c r="G201" s="16">
        <v>52.472000000000001</v>
      </c>
    </row>
    <row r="202" spans="1:7" x14ac:dyDescent="0.25">
      <c r="A202" s="13" t="s">
        <v>2727</v>
      </c>
      <c r="B202" s="13">
        <v>2024</v>
      </c>
      <c r="C202" s="14" t="str">
        <f>+VLOOKUP(B202,[1]LISTE!$A$1:$D$431,4,FALSE)</f>
        <v>GUEZGUEZ MOHAMED</v>
      </c>
      <c r="D202" s="14" t="s">
        <v>22</v>
      </c>
      <c r="E202" s="15">
        <v>45953</v>
      </c>
      <c r="F202" s="14" t="s">
        <v>23</v>
      </c>
      <c r="G202" s="16">
        <v>50</v>
      </c>
    </row>
    <row r="203" spans="1:7" x14ac:dyDescent="0.25">
      <c r="A203" s="13" t="s">
        <v>2727</v>
      </c>
      <c r="B203" s="13">
        <v>2024</v>
      </c>
      <c r="C203" s="14" t="str">
        <f>+VLOOKUP(B203,[1]LISTE!$A$1:$D$431,4,FALSE)</f>
        <v>GUEZGUEZ MOHAMED</v>
      </c>
      <c r="D203" s="14" t="s">
        <v>22</v>
      </c>
      <c r="E203" s="15">
        <v>45953</v>
      </c>
      <c r="F203" s="14" t="s">
        <v>20</v>
      </c>
      <c r="G203" s="16">
        <v>24.911999999999999</v>
      </c>
    </row>
    <row r="204" spans="1:7" x14ac:dyDescent="0.25">
      <c r="A204" s="13" t="s">
        <v>2701</v>
      </c>
      <c r="B204" s="13">
        <v>2061</v>
      </c>
      <c r="C204" s="14" t="str">
        <f>+VLOOKUP(B204,[1]LISTE!$A$1:$D$431,4,FALSE)</f>
        <v>KECHCICHE YASSINE</v>
      </c>
      <c r="D204" s="14" t="s">
        <v>22</v>
      </c>
      <c r="E204" s="15">
        <v>45940</v>
      </c>
      <c r="F204" s="14" t="s">
        <v>23</v>
      </c>
      <c r="G204" s="16">
        <v>40</v>
      </c>
    </row>
    <row r="205" spans="1:7" x14ac:dyDescent="0.25">
      <c r="A205" s="13" t="s">
        <v>2701</v>
      </c>
      <c r="B205" s="13">
        <v>2061</v>
      </c>
      <c r="C205" s="14" t="str">
        <f>+VLOOKUP(B205,[1]LISTE!$A$1:$D$431,4,FALSE)</f>
        <v>KECHCICHE YASSINE</v>
      </c>
      <c r="D205" s="15" t="s">
        <v>22</v>
      </c>
      <c r="E205" s="15">
        <v>45940</v>
      </c>
      <c r="F205" s="14" t="s">
        <v>20</v>
      </c>
      <c r="G205" s="16">
        <v>21.024999999999999</v>
      </c>
    </row>
    <row r="206" spans="1:7" x14ac:dyDescent="0.25">
      <c r="A206" s="13" t="s">
        <v>2701</v>
      </c>
      <c r="B206" s="13">
        <v>2061</v>
      </c>
      <c r="C206" s="14" t="str">
        <f>+VLOOKUP(B206,[1]LISTE!$A$1:$D$431,4,FALSE)</f>
        <v>KECHCICHE YASSINE</v>
      </c>
      <c r="D206" s="14" t="s">
        <v>22</v>
      </c>
      <c r="E206" s="15">
        <v>45940</v>
      </c>
      <c r="F206" s="14" t="s">
        <v>24</v>
      </c>
      <c r="G206" s="16">
        <v>210</v>
      </c>
    </row>
    <row r="207" spans="1:7" x14ac:dyDescent="0.25">
      <c r="A207" s="13" t="s">
        <v>2729</v>
      </c>
      <c r="B207" s="13">
        <v>2065</v>
      </c>
      <c r="C207" s="14" t="str">
        <f>+VLOOKUP(B207,[1]LISTE!$A$1:$D$431,4,FALSE)</f>
        <v>CHIHAOUI ALAAEDDINE</v>
      </c>
      <c r="D207" s="14" t="s">
        <v>22</v>
      </c>
      <c r="E207" s="15">
        <v>45953</v>
      </c>
      <c r="F207" s="14" t="s">
        <v>23</v>
      </c>
      <c r="G207" s="16">
        <v>40</v>
      </c>
    </row>
    <row r="208" spans="1:7" x14ac:dyDescent="0.25">
      <c r="A208" s="13" t="s">
        <v>2729</v>
      </c>
      <c r="B208" s="13">
        <v>2065</v>
      </c>
      <c r="C208" s="14" t="str">
        <f>+VLOOKUP(B208,[1]LISTE!$A$1:$D$431,4,FALSE)</f>
        <v>CHIHAOUI ALAAEDDINE</v>
      </c>
      <c r="D208" s="14" t="s">
        <v>22</v>
      </c>
      <c r="E208" s="15">
        <v>45953</v>
      </c>
      <c r="F208" s="14" t="s">
        <v>20</v>
      </c>
      <c r="G208" s="16">
        <v>49.646999999999998</v>
      </c>
    </row>
    <row r="209" spans="1:7" x14ac:dyDescent="0.25">
      <c r="A209" s="13" t="s">
        <v>2640</v>
      </c>
      <c r="B209" s="13">
        <v>2084</v>
      </c>
      <c r="C209" s="14" t="str">
        <f>+VLOOKUP(B209,[1]LISTE!$A$1:$D$431,4,FALSE)</f>
        <v>HELALI Emna</v>
      </c>
      <c r="D209" s="14" t="s">
        <v>22</v>
      </c>
      <c r="E209" s="15">
        <v>45943</v>
      </c>
      <c r="F209" s="14" t="s">
        <v>18</v>
      </c>
      <c r="G209" s="16">
        <v>70</v>
      </c>
    </row>
    <row r="210" spans="1:7" x14ac:dyDescent="0.25">
      <c r="A210" s="13" t="s">
        <v>2640</v>
      </c>
      <c r="B210" s="13">
        <v>2084</v>
      </c>
      <c r="C210" s="14" t="str">
        <f>+VLOOKUP(B210,[1]LISTE!$A$1:$D$431,4,FALSE)</f>
        <v>HELALI Emna</v>
      </c>
      <c r="D210" s="14" t="s">
        <v>22</v>
      </c>
      <c r="E210" s="15">
        <v>45943</v>
      </c>
      <c r="F210" s="14" t="s">
        <v>20</v>
      </c>
      <c r="G210" s="16">
        <v>22.105</v>
      </c>
    </row>
    <row r="211" spans="1:7" x14ac:dyDescent="0.25">
      <c r="A211" s="13" t="s">
        <v>2670</v>
      </c>
      <c r="B211" s="13">
        <v>2084</v>
      </c>
      <c r="C211" s="14" t="str">
        <f>+VLOOKUP(B211,[1]LISTE!$A$1:$D$431,4,FALSE)</f>
        <v>HELALI Emna</v>
      </c>
      <c r="D211" s="14" t="s">
        <v>22</v>
      </c>
      <c r="E211" s="15">
        <v>45947</v>
      </c>
      <c r="F211" s="14" t="s">
        <v>23</v>
      </c>
      <c r="G211" s="16">
        <v>50</v>
      </c>
    </row>
    <row r="212" spans="1:7" x14ac:dyDescent="0.25">
      <c r="A212" s="13" t="s">
        <v>2670</v>
      </c>
      <c r="B212" s="13">
        <v>2084</v>
      </c>
      <c r="C212" s="14" t="str">
        <f>+VLOOKUP(B212,[1]LISTE!$A$1:$D$431,4,FALSE)</f>
        <v>HELALI Emna</v>
      </c>
      <c r="D212" s="14" t="s">
        <v>22</v>
      </c>
      <c r="E212" s="15">
        <v>45947</v>
      </c>
      <c r="F212" s="14" t="s">
        <v>20</v>
      </c>
      <c r="G212" s="16">
        <v>51.966000000000001</v>
      </c>
    </row>
    <row r="213" spans="1:7" x14ac:dyDescent="0.25">
      <c r="A213" s="13" t="s">
        <v>2665</v>
      </c>
      <c r="B213" s="13">
        <v>2100</v>
      </c>
      <c r="C213" s="14" t="str">
        <f>+VLOOKUP(B213,[1]LISTE!$A$1:$D$431,4,FALSE)</f>
        <v>MLAYEH NEZIHA</v>
      </c>
      <c r="D213" s="14" t="s">
        <v>284</v>
      </c>
      <c r="E213" s="15">
        <v>45941</v>
      </c>
      <c r="F213" s="14" t="s">
        <v>23</v>
      </c>
      <c r="G213" s="16">
        <v>3</v>
      </c>
    </row>
    <row r="214" spans="1:7" x14ac:dyDescent="0.25">
      <c r="A214" s="13" t="s">
        <v>2665</v>
      </c>
      <c r="B214" s="13">
        <v>2100</v>
      </c>
      <c r="C214" s="14" t="str">
        <f>+VLOOKUP(B214,[1]LISTE!$A$1:$D$431,4,FALSE)</f>
        <v>MLAYEH NEZIHA</v>
      </c>
      <c r="D214" s="14" t="s">
        <v>284</v>
      </c>
      <c r="E214" s="15">
        <v>45946</v>
      </c>
      <c r="F214" s="14" t="s">
        <v>19</v>
      </c>
      <c r="G214" s="16">
        <v>30</v>
      </c>
    </row>
    <row r="215" spans="1:7" x14ac:dyDescent="0.25">
      <c r="A215" s="13" t="s">
        <v>2665</v>
      </c>
      <c r="B215" s="13">
        <v>2100</v>
      </c>
      <c r="C215" s="14" t="str">
        <f>+VLOOKUP(B215,[1]LISTE!$A$1:$D$431,4,FALSE)</f>
        <v>MLAYEH NEZIHA</v>
      </c>
      <c r="D215" s="14" t="s">
        <v>284</v>
      </c>
      <c r="E215" s="15">
        <v>45941</v>
      </c>
      <c r="F215" s="14" t="s">
        <v>20</v>
      </c>
      <c r="G215" s="16">
        <v>14.1</v>
      </c>
    </row>
    <row r="216" spans="1:7" x14ac:dyDescent="0.25">
      <c r="A216" s="13" t="s">
        <v>2641</v>
      </c>
      <c r="B216" s="13">
        <v>2107</v>
      </c>
      <c r="C216" s="14" t="str">
        <f>+VLOOKUP(B216,[1]LISTE!$A$1:$D$431,4,FALSE)</f>
        <v>TRIMECH RAHMA</v>
      </c>
      <c r="D216" s="14" t="s">
        <v>22</v>
      </c>
      <c r="E216" s="15">
        <v>45943</v>
      </c>
      <c r="F216" s="14" t="s">
        <v>18</v>
      </c>
      <c r="G216" s="16">
        <v>70</v>
      </c>
    </row>
    <row r="217" spans="1:7" x14ac:dyDescent="0.25">
      <c r="A217" s="13" t="s">
        <v>2641</v>
      </c>
      <c r="B217" s="13">
        <v>2107</v>
      </c>
      <c r="C217" s="14" t="str">
        <f>+VLOOKUP(B217,[1]LISTE!$A$1:$D$431,4,FALSE)</f>
        <v>TRIMECH RAHMA</v>
      </c>
      <c r="D217" s="14" t="s">
        <v>22</v>
      </c>
      <c r="E217" s="15">
        <v>45943</v>
      </c>
      <c r="F217" s="14" t="s">
        <v>20</v>
      </c>
      <c r="G217" s="16">
        <v>6.6879999999999997</v>
      </c>
    </row>
    <row r="218" spans="1:7" x14ac:dyDescent="0.25">
      <c r="A218" s="13" t="s">
        <v>2752</v>
      </c>
      <c r="B218" s="13">
        <v>2107</v>
      </c>
      <c r="C218" s="14" t="str">
        <f>+VLOOKUP(B218,[1]LISTE!$A$1:$D$431,4,FALSE)</f>
        <v>TRIMECH RAHMA</v>
      </c>
      <c r="D218" s="15" t="s">
        <v>22</v>
      </c>
      <c r="E218" s="15">
        <v>45954</v>
      </c>
      <c r="F218" s="14" t="s">
        <v>363</v>
      </c>
      <c r="G218" s="16">
        <v>150</v>
      </c>
    </row>
    <row r="219" spans="1:7" x14ac:dyDescent="0.25">
      <c r="A219" s="13" t="s">
        <v>2752</v>
      </c>
      <c r="B219" s="13">
        <v>2107</v>
      </c>
      <c r="C219" s="14" t="str">
        <f>+VLOOKUP(B219,[1]LISTE!$A$1:$D$431,4,FALSE)</f>
        <v>TRIMECH RAHMA</v>
      </c>
      <c r="D219" s="14" t="s">
        <v>22</v>
      </c>
      <c r="E219" s="15">
        <v>45954</v>
      </c>
      <c r="F219" s="14" t="s">
        <v>20</v>
      </c>
      <c r="G219" s="16">
        <v>2.298</v>
      </c>
    </row>
    <row r="220" spans="1:7" x14ac:dyDescent="0.25">
      <c r="A220" s="13" t="s">
        <v>2639</v>
      </c>
      <c r="B220" s="13">
        <v>2195</v>
      </c>
      <c r="C220" s="14" t="s">
        <v>2488</v>
      </c>
      <c r="D220" s="14" t="s">
        <v>361</v>
      </c>
      <c r="E220" s="15">
        <v>45941</v>
      </c>
      <c r="F220" s="14" t="s">
        <v>19</v>
      </c>
      <c r="G220" s="16">
        <v>90.522000000000006</v>
      </c>
    </row>
    <row r="221" spans="1:7" x14ac:dyDescent="0.25">
      <c r="A221" s="13" t="s">
        <v>2639</v>
      </c>
      <c r="B221" s="13">
        <v>2195</v>
      </c>
      <c r="C221" s="14" t="s">
        <v>2488</v>
      </c>
      <c r="D221" s="14" t="s">
        <v>361</v>
      </c>
      <c r="E221" s="15">
        <v>45944</v>
      </c>
      <c r="F221" s="14" t="s">
        <v>20</v>
      </c>
      <c r="G221" s="16">
        <v>4.2450000000000001</v>
      </c>
    </row>
    <row r="222" spans="1:7" x14ac:dyDescent="0.25">
      <c r="A222" s="13" t="s">
        <v>2715</v>
      </c>
      <c r="B222" s="13">
        <v>2200</v>
      </c>
      <c r="C222" s="14" t="s">
        <v>2716</v>
      </c>
      <c r="D222" s="15" t="s">
        <v>79</v>
      </c>
      <c r="E222" s="15">
        <v>45951</v>
      </c>
      <c r="F222" s="14" t="s">
        <v>23</v>
      </c>
      <c r="G222" s="16">
        <v>35</v>
      </c>
    </row>
    <row r="223" spans="1:7" x14ac:dyDescent="0.25">
      <c r="A223" s="13" t="s">
        <v>2715</v>
      </c>
      <c r="B223" s="13">
        <v>2200</v>
      </c>
      <c r="C223" s="14" t="s">
        <v>2716</v>
      </c>
      <c r="D223" s="14" t="s">
        <v>79</v>
      </c>
      <c r="E223" s="15">
        <v>45951</v>
      </c>
      <c r="F223" s="14" t="s">
        <v>20</v>
      </c>
      <c r="G223" s="16">
        <v>41.725999999999999</v>
      </c>
    </row>
    <row r="224" spans="1:7" x14ac:dyDescent="0.25">
      <c r="A224" s="13" t="s">
        <v>2719</v>
      </c>
      <c r="B224" s="13">
        <v>2246</v>
      </c>
      <c r="C224" s="14" t="s">
        <v>664</v>
      </c>
      <c r="D224" s="14" t="s">
        <v>665</v>
      </c>
      <c r="E224" s="15">
        <v>45944</v>
      </c>
      <c r="F224" s="14" t="s">
        <v>18</v>
      </c>
      <c r="G224" s="16">
        <v>70</v>
      </c>
    </row>
    <row r="225" spans="1:7" x14ac:dyDescent="0.25">
      <c r="A225" s="13" t="s">
        <v>2719</v>
      </c>
      <c r="B225" s="13">
        <v>2246</v>
      </c>
      <c r="C225" s="14" t="s">
        <v>664</v>
      </c>
      <c r="D225" s="14" t="s">
        <v>665</v>
      </c>
      <c r="E225" s="15">
        <v>45944</v>
      </c>
      <c r="F225" s="14" t="s">
        <v>20</v>
      </c>
      <c r="G225" s="16">
        <v>40.204000000000001</v>
      </c>
    </row>
    <row r="226" spans="1:7" x14ac:dyDescent="0.25">
      <c r="A226" s="13" t="s">
        <v>2719</v>
      </c>
      <c r="B226" s="13">
        <v>2246</v>
      </c>
      <c r="C226" s="14" t="s">
        <v>664</v>
      </c>
      <c r="D226" s="14" t="s">
        <v>665</v>
      </c>
      <c r="E226" s="15">
        <v>45944</v>
      </c>
      <c r="F226" s="14" t="s">
        <v>20</v>
      </c>
      <c r="G226" s="16">
        <v>53.512</v>
      </c>
    </row>
    <row r="227" spans="1:7" x14ac:dyDescent="0.25">
      <c r="A227" s="13" t="s">
        <v>2720</v>
      </c>
      <c r="B227" s="13">
        <v>2246</v>
      </c>
      <c r="C227" s="14" t="s">
        <v>664</v>
      </c>
      <c r="D227" s="14" t="s">
        <v>665</v>
      </c>
      <c r="E227" s="15">
        <v>45929</v>
      </c>
      <c r="F227" s="14" t="s">
        <v>18</v>
      </c>
      <c r="G227" s="16">
        <v>70</v>
      </c>
    </row>
    <row r="228" spans="1:7" x14ac:dyDescent="0.25">
      <c r="A228" s="13" t="s">
        <v>2720</v>
      </c>
      <c r="B228" s="13">
        <v>2246</v>
      </c>
      <c r="C228" s="14" t="s">
        <v>664</v>
      </c>
      <c r="D228" s="14" t="s">
        <v>665</v>
      </c>
      <c r="E228" s="15">
        <v>45929</v>
      </c>
      <c r="F228" s="14" t="s">
        <v>20</v>
      </c>
      <c r="G228" s="16">
        <v>30.38</v>
      </c>
    </row>
    <row r="229" spans="1:7" x14ac:dyDescent="0.25">
      <c r="A229" s="13" t="s">
        <v>2663</v>
      </c>
      <c r="B229" s="13">
        <v>2308</v>
      </c>
      <c r="C229" s="14" t="s">
        <v>2664</v>
      </c>
      <c r="D229" s="14" t="s">
        <v>22</v>
      </c>
      <c r="E229" s="15">
        <v>45944</v>
      </c>
      <c r="F229" s="14" t="s">
        <v>18</v>
      </c>
      <c r="G229" s="16">
        <v>60</v>
      </c>
    </row>
    <row r="230" spans="1:7" x14ac:dyDescent="0.25">
      <c r="A230" s="13" t="s">
        <v>2679</v>
      </c>
      <c r="B230" s="13">
        <v>2326</v>
      </c>
      <c r="C230" s="14" t="s">
        <v>28</v>
      </c>
      <c r="D230" s="15" t="s">
        <v>923</v>
      </c>
      <c r="E230" s="15">
        <v>45946</v>
      </c>
      <c r="F230" s="14" t="s">
        <v>18</v>
      </c>
      <c r="G230" s="16">
        <v>70</v>
      </c>
    </row>
    <row r="231" spans="1:7" x14ac:dyDescent="0.25">
      <c r="A231" s="13" t="s">
        <v>2679</v>
      </c>
      <c r="B231" s="13">
        <v>2326</v>
      </c>
      <c r="C231" s="14" t="s">
        <v>28</v>
      </c>
      <c r="D231" s="14" t="s">
        <v>923</v>
      </c>
      <c r="E231" s="15">
        <v>45946</v>
      </c>
      <c r="F231" s="14" t="s">
        <v>20</v>
      </c>
      <c r="G231" s="16">
        <v>23.04</v>
      </c>
    </row>
    <row r="232" spans="1:7" x14ac:dyDescent="0.25">
      <c r="A232" s="13" t="s">
        <v>2697</v>
      </c>
      <c r="B232" s="13">
        <v>2326</v>
      </c>
      <c r="C232" s="14" t="s">
        <v>28</v>
      </c>
      <c r="D232" s="14" t="s">
        <v>923</v>
      </c>
      <c r="E232" s="15">
        <v>45943</v>
      </c>
      <c r="F232" s="14" t="s">
        <v>18</v>
      </c>
      <c r="G232" s="16">
        <v>70</v>
      </c>
    </row>
    <row r="233" spans="1:7" x14ac:dyDescent="0.25">
      <c r="A233" s="13" t="s">
        <v>2697</v>
      </c>
      <c r="B233" s="13">
        <v>2326</v>
      </c>
      <c r="C233" s="14" t="s">
        <v>28</v>
      </c>
      <c r="D233" s="14" t="s">
        <v>923</v>
      </c>
      <c r="E233" s="15">
        <v>45943</v>
      </c>
      <c r="F233" s="14" t="s">
        <v>20</v>
      </c>
      <c r="G233" s="16">
        <v>4.8920000000000003</v>
      </c>
    </row>
    <row r="234" spans="1:7" x14ac:dyDescent="0.25">
      <c r="A234" s="13" t="s">
        <v>2660</v>
      </c>
      <c r="B234" s="13">
        <v>2337</v>
      </c>
      <c r="C234" s="14" t="s">
        <v>210</v>
      </c>
      <c r="D234" s="14" t="s">
        <v>22</v>
      </c>
      <c r="E234" s="15">
        <v>45913</v>
      </c>
      <c r="F234" s="14" t="s">
        <v>18</v>
      </c>
      <c r="G234" s="16">
        <v>80</v>
      </c>
    </row>
    <row r="235" spans="1:7" x14ac:dyDescent="0.25">
      <c r="A235" s="13" t="s">
        <v>2660</v>
      </c>
      <c r="B235" s="13">
        <v>2337</v>
      </c>
      <c r="C235" s="14" t="s">
        <v>210</v>
      </c>
      <c r="D235" s="15" t="s">
        <v>22</v>
      </c>
      <c r="E235" s="15">
        <v>45915</v>
      </c>
      <c r="F235" s="14" t="s">
        <v>19</v>
      </c>
      <c r="G235" s="16">
        <v>305.33</v>
      </c>
    </row>
    <row r="236" spans="1:7" x14ac:dyDescent="0.25">
      <c r="A236" s="13" t="s">
        <v>2660</v>
      </c>
      <c r="B236" s="13">
        <v>2337</v>
      </c>
      <c r="C236" s="14" t="s">
        <v>210</v>
      </c>
      <c r="D236" s="14" t="s">
        <v>22</v>
      </c>
      <c r="E236" s="15">
        <v>45934</v>
      </c>
      <c r="F236" s="14" t="s">
        <v>20</v>
      </c>
      <c r="G236" s="16">
        <v>55</v>
      </c>
    </row>
    <row r="237" spans="1:7" x14ac:dyDescent="0.25">
      <c r="A237" s="13" t="s">
        <v>2660</v>
      </c>
      <c r="B237" s="13">
        <v>2337</v>
      </c>
      <c r="C237" s="14" t="s">
        <v>210</v>
      </c>
      <c r="D237" s="14" t="s">
        <v>22</v>
      </c>
      <c r="E237" s="15">
        <v>45927</v>
      </c>
      <c r="F237" s="14" t="s">
        <v>21</v>
      </c>
      <c r="G237" s="16">
        <v>144.75</v>
      </c>
    </row>
    <row r="238" spans="1:7" x14ac:dyDescent="0.25">
      <c r="A238" s="13" t="s">
        <v>2661</v>
      </c>
      <c r="B238" s="13">
        <v>2376</v>
      </c>
      <c r="C238" s="14" t="s">
        <v>2662</v>
      </c>
      <c r="D238" s="14" t="s">
        <v>353</v>
      </c>
      <c r="E238" s="15">
        <v>45947</v>
      </c>
      <c r="F238" s="14" t="s">
        <v>18</v>
      </c>
      <c r="G238" s="16">
        <v>70</v>
      </c>
    </row>
    <row r="239" spans="1:7" x14ac:dyDescent="0.25">
      <c r="A239" s="13" t="s">
        <v>2661</v>
      </c>
      <c r="B239" s="13">
        <v>2376</v>
      </c>
      <c r="C239" s="14" t="s">
        <v>2662</v>
      </c>
      <c r="D239" s="14" t="s">
        <v>353</v>
      </c>
      <c r="E239" s="15">
        <v>45949</v>
      </c>
      <c r="F239" s="14" t="s">
        <v>20</v>
      </c>
      <c r="G239" s="16">
        <v>27.75</v>
      </c>
    </row>
    <row r="240" spans="1:7" x14ac:dyDescent="0.25">
      <c r="A240" s="13" t="s">
        <v>2731</v>
      </c>
      <c r="B240" s="13">
        <v>2444</v>
      </c>
      <c r="C240" s="14" t="s">
        <v>271</v>
      </c>
      <c r="D240" s="14" t="s">
        <v>187</v>
      </c>
      <c r="E240" s="15">
        <v>45952</v>
      </c>
      <c r="F240" s="14" t="s">
        <v>23</v>
      </c>
      <c r="G240" s="16">
        <v>45</v>
      </c>
    </row>
    <row r="241" spans="1:7" x14ac:dyDescent="0.25">
      <c r="A241" s="13" t="s">
        <v>2731</v>
      </c>
      <c r="B241" s="13">
        <v>2444</v>
      </c>
      <c r="C241" s="14" t="s">
        <v>271</v>
      </c>
      <c r="D241" s="15" t="s">
        <v>187</v>
      </c>
      <c r="E241" s="15">
        <v>45954</v>
      </c>
      <c r="F241" s="14" t="s">
        <v>20</v>
      </c>
      <c r="G241" s="16">
        <v>11.885</v>
      </c>
    </row>
    <row r="242" spans="1:7" x14ac:dyDescent="0.25">
      <c r="A242" s="13" t="s">
        <v>2732</v>
      </c>
      <c r="B242" s="13">
        <v>2444</v>
      </c>
      <c r="C242" s="14" t="s">
        <v>271</v>
      </c>
      <c r="D242" s="14" t="s">
        <v>187</v>
      </c>
      <c r="E242" s="15">
        <v>45951</v>
      </c>
      <c r="F242" s="14" t="s">
        <v>18</v>
      </c>
      <c r="G242" s="16">
        <v>60</v>
      </c>
    </row>
    <row r="243" spans="1:7" x14ac:dyDescent="0.25">
      <c r="A243" s="13" t="s">
        <v>2732</v>
      </c>
      <c r="B243" s="13">
        <v>2444</v>
      </c>
      <c r="C243" s="14" t="s">
        <v>271</v>
      </c>
      <c r="D243" s="14" t="s">
        <v>187</v>
      </c>
      <c r="E243" s="15">
        <v>45951</v>
      </c>
      <c r="F243" s="14" t="s">
        <v>20</v>
      </c>
      <c r="G243" s="16">
        <v>35.380000000000003</v>
      </c>
    </row>
    <row r="244" spans="1:7" x14ac:dyDescent="0.25">
      <c r="A244" s="13" t="s">
        <v>2756</v>
      </c>
      <c r="B244" s="13">
        <v>2448</v>
      </c>
      <c r="C244" s="14" t="s">
        <v>2119</v>
      </c>
      <c r="D244" s="14" t="s">
        <v>1534</v>
      </c>
      <c r="E244" s="15">
        <v>45950</v>
      </c>
      <c r="F244" s="14" t="s">
        <v>18</v>
      </c>
      <c r="G244" s="16">
        <v>70</v>
      </c>
    </row>
    <row r="245" spans="1:7" x14ac:dyDescent="0.25">
      <c r="A245" s="13" t="s">
        <v>2756</v>
      </c>
      <c r="B245" s="13">
        <v>2448</v>
      </c>
      <c r="C245" s="14" t="s">
        <v>2119</v>
      </c>
      <c r="D245" s="14" t="s">
        <v>1534</v>
      </c>
      <c r="E245" s="15">
        <v>45954</v>
      </c>
      <c r="F245" s="14" t="s">
        <v>20</v>
      </c>
      <c r="G245" s="16">
        <v>40.363</v>
      </c>
    </row>
    <row r="246" spans="1:7" x14ac:dyDescent="0.25">
      <c r="A246" s="13" t="s">
        <v>2690</v>
      </c>
      <c r="B246" s="13">
        <v>2473</v>
      </c>
      <c r="C246" s="14" t="s">
        <v>2710</v>
      </c>
      <c r="D246" s="14" t="s">
        <v>22</v>
      </c>
      <c r="E246" s="15">
        <v>45950</v>
      </c>
      <c r="F246" s="14" t="s">
        <v>23</v>
      </c>
      <c r="G246" s="16">
        <v>60</v>
      </c>
    </row>
    <row r="247" spans="1:7" x14ac:dyDescent="0.25">
      <c r="A247" s="13" t="s">
        <v>2690</v>
      </c>
      <c r="B247" s="13">
        <v>2473</v>
      </c>
      <c r="C247" s="14" t="s">
        <v>2710</v>
      </c>
      <c r="D247" s="14" t="s">
        <v>22</v>
      </c>
      <c r="E247" s="15">
        <v>45950</v>
      </c>
      <c r="F247" s="14" t="s">
        <v>20</v>
      </c>
      <c r="G247" s="16">
        <v>4.2450000000000001</v>
      </c>
    </row>
    <row r="248" spans="1:7" x14ac:dyDescent="0.25">
      <c r="A248" s="13" t="s">
        <v>2690</v>
      </c>
      <c r="B248" s="13">
        <v>2473</v>
      </c>
      <c r="C248" s="14" t="s">
        <v>2710</v>
      </c>
      <c r="D248" s="14" t="s">
        <v>22</v>
      </c>
      <c r="E248" s="15">
        <v>45950</v>
      </c>
      <c r="F248" s="14" t="s">
        <v>24</v>
      </c>
      <c r="G248" s="16">
        <v>180</v>
      </c>
    </row>
    <row r="249" spans="1:7" x14ac:dyDescent="0.25">
      <c r="A249" s="13" t="s">
        <v>2690</v>
      </c>
      <c r="B249" s="13">
        <v>2473</v>
      </c>
      <c r="C249" s="14" t="s">
        <v>2710</v>
      </c>
      <c r="D249" s="14" t="s">
        <v>22</v>
      </c>
      <c r="E249" s="15">
        <v>45950</v>
      </c>
      <c r="F249" s="14" t="s">
        <v>25</v>
      </c>
      <c r="G249" s="16">
        <v>220</v>
      </c>
    </row>
    <row r="250" spans="1:7" x14ac:dyDescent="0.25">
      <c r="A250" s="13" t="s">
        <v>2658</v>
      </c>
      <c r="B250" s="13">
        <v>2497</v>
      </c>
      <c r="C250" s="14" t="s">
        <v>1263</v>
      </c>
      <c r="D250" s="15" t="s">
        <v>669</v>
      </c>
      <c r="E250" s="15">
        <v>45943</v>
      </c>
      <c r="F250" s="14" t="s">
        <v>20</v>
      </c>
      <c r="G250" s="16">
        <v>5.32</v>
      </c>
    </row>
    <row r="251" spans="1:7" x14ac:dyDescent="0.25">
      <c r="A251" s="13" t="s">
        <v>2682</v>
      </c>
      <c r="B251" s="13">
        <v>2497</v>
      </c>
      <c r="C251" s="14" t="s">
        <v>1263</v>
      </c>
      <c r="D251" s="14" t="s">
        <v>669</v>
      </c>
      <c r="E251" s="15">
        <v>45944</v>
      </c>
      <c r="F251" s="14" t="s">
        <v>18</v>
      </c>
      <c r="G251" s="16">
        <v>70</v>
      </c>
    </row>
    <row r="252" spans="1:7" x14ac:dyDescent="0.25">
      <c r="A252" s="13" t="s">
        <v>2682</v>
      </c>
      <c r="B252" s="13">
        <v>2497</v>
      </c>
      <c r="C252" s="14" t="s">
        <v>1263</v>
      </c>
      <c r="D252" s="14" t="s">
        <v>669</v>
      </c>
      <c r="E252" s="15">
        <v>45945</v>
      </c>
      <c r="F252" s="14" t="s">
        <v>19</v>
      </c>
      <c r="G252" s="16">
        <v>108.23</v>
      </c>
    </row>
    <row r="253" spans="1:7" x14ac:dyDescent="0.25">
      <c r="A253" s="13" t="s">
        <v>2682</v>
      </c>
      <c r="B253" s="13">
        <v>2497</v>
      </c>
      <c r="C253" s="14" t="s">
        <v>1263</v>
      </c>
      <c r="D253" s="15" t="s">
        <v>669</v>
      </c>
      <c r="E253" s="15">
        <v>45944</v>
      </c>
      <c r="F253" s="14" t="s">
        <v>20</v>
      </c>
      <c r="G253" s="16">
        <v>182.738</v>
      </c>
    </row>
    <row r="254" spans="1:7" x14ac:dyDescent="0.25">
      <c r="A254" s="13" t="s">
        <v>2683</v>
      </c>
      <c r="B254" s="13">
        <v>2497</v>
      </c>
      <c r="C254" s="14" t="s">
        <v>1263</v>
      </c>
      <c r="D254" s="14" t="s">
        <v>22</v>
      </c>
      <c r="E254" s="15">
        <v>45944</v>
      </c>
      <c r="F254" s="14" t="s">
        <v>23</v>
      </c>
      <c r="G254" s="16">
        <v>40</v>
      </c>
    </row>
    <row r="255" spans="1:7" x14ac:dyDescent="0.25">
      <c r="A255" s="13" t="s">
        <v>2683</v>
      </c>
      <c r="B255" s="13">
        <v>2497</v>
      </c>
      <c r="C255" s="14" t="s">
        <v>1263</v>
      </c>
      <c r="D255" s="15" t="s">
        <v>22</v>
      </c>
      <c r="E255" s="15">
        <v>45944</v>
      </c>
      <c r="F255" s="14" t="s">
        <v>20</v>
      </c>
      <c r="G255" s="16">
        <v>39.814999999999998</v>
      </c>
    </row>
    <row r="256" spans="1:7" x14ac:dyDescent="0.25">
      <c r="A256" s="13" t="s">
        <v>2728</v>
      </c>
      <c r="B256" s="13">
        <v>2509</v>
      </c>
      <c r="C256" s="14" t="s">
        <v>1963</v>
      </c>
      <c r="D256" s="14" t="s">
        <v>22</v>
      </c>
      <c r="E256" s="15">
        <v>45943</v>
      </c>
      <c r="F256" s="14" t="s">
        <v>18</v>
      </c>
      <c r="G256" s="16">
        <v>70</v>
      </c>
    </row>
    <row r="257" spans="1:7" x14ac:dyDescent="0.25">
      <c r="A257" s="13" t="s">
        <v>2728</v>
      </c>
      <c r="B257" s="13">
        <v>2509</v>
      </c>
      <c r="C257" s="14" t="s">
        <v>1963</v>
      </c>
      <c r="D257" s="14" t="s">
        <v>22</v>
      </c>
      <c r="E257" s="15">
        <v>45943</v>
      </c>
      <c r="F257" s="14" t="s">
        <v>20</v>
      </c>
      <c r="G257" s="16">
        <v>15.148</v>
      </c>
    </row>
    <row r="258" spans="1:7" x14ac:dyDescent="0.25">
      <c r="A258" s="13" t="s">
        <v>2724</v>
      </c>
      <c r="B258" s="13">
        <v>2511</v>
      </c>
      <c r="C258" s="14" t="s">
        <v>2725</v>
      </c>
      <c r="D258" s="14" t="s">
        <v>22</v>
      </c>
      <c r="E258" s="15">
        <v>45953</v>
      </c>
      <c r="F258" s="14" t="s">
        <v>18</v>
      </c>
      <c r="G258" s="16">
        <v>70</v>
      </c>
    </row>
    <row r="259" spans="1:7" x14ac:dyDescent="0.25">
      <c r="A259" s="13" t="s">
        <v>2724</v>
      </c>
      <c r="B259" s="13">
        <v>2511</v>
      </c>
      <c r="C259" s="14" t="s">
        <v>2725</v>
      </c>
      <c r="D259" s="14" t="s">
        <v>22</v>
      </c>
      <c r="E259" s="15">
        <v>45953</v>
      </c>
      <c r="F259" s="14" t="s">
        <v>20</v>
      </c>
      <c r="G259" s="16">
        <v>13.065</v>
      </c>
    </row>
    <row r="260" spans="1:7" x14ac:dyDescent="0.25">
      <c r="A260" s="13" t="s">
        <v>2748</v>
      </c>
      <c r="B260" s="13">
        <v>2517</v>
      </c>
      <c r="C260" s="14" t="s">
        <v>97</v>
      </c>
      <c r="D260" s="14" t="s">
        <v>22</v>
      </c>
      <c r="E260" s="15">
        <v>45939</v>
      </c>
      <c r="F260" s="14" t="s">
        <v>23</v>
      </c>
      <c r="G260" s="16">
        <v>20</v>
      </c>
    </row>
    <row r="261" spans="1:7" x14ac:dyDescent="0.25">
      <c r="A261" s="13" t="s">
        <v>2687</v>
      </c>
      <c r="B261" s="13">
        <v>2539</v>
      </c>
      <c r="C261" s="14" t="s">
        <v>1273</v>
      </c>
      <c r="D261" s="15" t="s">
        <v>22</v>
      </c>
      <c r="E261" s="15">
        <v>45950</v>
      </c>
      <c r="F261" s="14" t="s">
        <v>23</v>
      </c>
      <c r="G261" s="16">
        <v>45</v>
      </c>
    </row>
    <row r="262" spans="1:7" x14ac:dyDescent="0.25">
      <c r="A262" s="13" t="s">
        <v>2687</v>
      </c>
      <c r="B262" s="13">
        <v>2539</v>
      </c>
      <c r="C262" s="14" t="s">
        <v>1273</v>
      </c>
      <c r="D262" s="15" t="s">
        <v>22</v>
      </c>
      <c r="E262" s="15">
        <v>45950</v>
      </c>
      <c r="F262" s="14" t="s">
        <v>19</v>
      </c>
      <c r="G262" s="16">
        <v>74.19</v>
      </c>
    </row>
    <row r="263" spans="1:7" x14ac:dyDescent="0.25">
      <c r="A263" s="13" t="s">
        <v>2633</v>
      </c>
      <c r="B263" s="13">
        <v>2569</v>
      </c>
      <c r="C263" s="14" t="s">
        <v>101</v>
      </c>
      <c r="D263" s="14" t="s">
        <v>2634</v>
      </c>
      <c r="E263" s="15">
        <v>45945</v>
      </c>
      <c r="F263" s="14" t="s">
        <v>18</v>
      </c>
      <c r="G263" s="16">
        <v>60</v>
      </c>
    </row>
    <row r="264" spans="1:7" x14ac:dyDescent="0.25">
      <c r="A264" s="13" t="s">
        <v>2633</v>
      </c>
      <c r="B264" s="13">
        <v>2569</v>
      </c>
      <c r="C264" s="14" t="s">
        <v>101</v>
      </c>
      <c r="D264" s="15" t="s">
        <v>2634</v>
      </c>
      <c r="E264" s="15">
        <v>45945</v>
      </c>
      <c r="F264" s="14" t="s">
        <v>20</v>
      </c>
      <c r="G264" s="16">
        <v>21.8</v>
      </c>
    </row>
    <row r="265" spans="1:7" x14ac:dyDescent="0.25">
      <c r="A265" s="13" t="s">
        <v>2680</v>
      </c>
      <c r="B265" s="13">
        <v>2633</v>
      </c>
      <c r="C265" s="14" t="s">
        <v>157</v>
      </c>
      <c r="D265" s="14" t="s">
        <v>22</v>
      </c>
      <c r="E265" s="15">
        <v>45949</v>
      </c>
      <c r="F265" s="14" t="s">
        <v>24</v>
      </c>
      <c r="G265" s="16">
        <v>100</v>
      </c>
    </row>
    <row r="266" spans="1:7" x14ac:dyDescent="0.25">
      <c r="A266" s="13" t="s">
        <v>2649</v>
      </c>
      <c r="B266" s="13">
        <v>2659</v>
      </c>
      <c r="C266" s="14" t="s">
        <v>2618</v>
      </c>
      <c r="D266" s="15" t="s">
        <v>158</v>
      </c>
      <c r="E266" s="15">
        <v>45922</v>
      </c>
      <c r="F266" s="14" t="s">
        <v>18</v>
      </c>
      <c r="G266" s="16">
        <v>70</v>
      </c>
    </row>
    <row r="267" spans="1:7" x14ac:dyDescent="0.25">
      <c r="A267" s="13" t="s">
        <v>2649</v>
      </c>
      <c r="B267" s="13">
        <v>2659</v>
      </c>
      <c r="C267" s="14" t="s">
        <v>2618</v>
      </c>
      <c r="D267" s="15" t="s">
        <v>158</v>
      </c>
      <c r="E267" s="15">
        <v>45925</v>
      </c>
      <c r="F267" s="14" t="s">
        <v>19</v>
      </c>
      <c r="G267" s="16">
        <v>210</v>
      </c>
    </row>
    <row r="268" spans="1:7" x14ac:dyDescent="0.25">
      <c r="A268" s="13" t="s">
        <v>2649</v>
      </c>
      <c r="B268" s="13">
        <v>2659</v>
      </c>
      <c r="C268" s="14" t="s">
        <v>2618</v>
      </c>
      <c r="D268" s="15" t="s">
        <v>158</v>
      </c>
      <c r="E268" s="15">
        <v>45922</v>
      </c>
      <c r="F268" s="14" t="s">
        <v>20</v>
      </c>
      <c r="G268" s="16">
        <v>293.29899999999998</v>
      </c>
    </row>
    <row r="269" spans="1:7" x14ac:dyDescent="0.25">
      <c r="A269" s="13" t="s">
        <v>2649</v>
      </c>
      <c r="B269" s="13">
        <v>2659</v>
      </c>
      <c r="C269" s="14" t="s">
        <v>2618</v>
      </c>
      <c r="D269" s="14" t="s">
        <v>158</v>
      </c>
      <c r="E269" s="15">
        <v>45922</v>
      </c>
      <c r="F269" s="14" t="s">
        <v>20</v>
      </c>
      <c r="G269" s="16">
        <v>28.535</v>
      </c>
    </row>
    <row r="270" spans="1:7" ht="18.75" x14ac:dyDescent="0.3">
      <c r="A270" s="14"/>
      <c r="B270" s="28"/>
      <c r="C270" s="29"/>
      <c r="D270" s="14"/>
      <c r="E270" s="28"/>
      <c r="F270" s="17" t="s">
        <v>11</v>
      </c>
      <c r="G270" s="17">
        <f>SUM(G10:G269)</f>
        <v>19004.582999999999</v>
      </c>
    </row>
    <row r="271" spans="1:7" ht="18.75" x14ac:dyDescent="0.3">
      <c r="A271" s="38"/>
      <c r="B271" s="39"/>
      <c r="C271" s="40"/>
      <c r="D271" s="41"/>
      <c r="E271" s="19"/>
      <c r="F271" s="18"/>
      <c r="G271" s="34"/>
    </row>
    <row r="272" spans="1:7" ht="18.75" x14ac:dyDescent="0.3">
      <c r="A272" s="35"/>
      <c r="B272" s="36"/>
      <c r="C272" s="37"/>
      <c r="D272" s="42"/>
      <c r="E272" s="43"/>
      <c r="F272" s="44"/>
      <c r="G272" s="44"/>
    </row>
    <row r="273" spans="1:7" ht="15.75" x14ac:dyDescent="0.25">
      <c r="A273" s="35"/>
      <c r="B273" s="36" t="s">
        <v>12</v>
      </c>
      <c r="C273" s="37"/>
      <c r="E273" s="36" t="s">
        <v>13</v>
      </c>
      <c r="F273" s="18"/>
      <c r="G273" s="18"/>
    </row>
    <row r="274" spans="1:7" ht="15.75" x14ac:dyDescent="0.25">
      <c r="A274" s="45"/>
      <c r="B274" s="46" t="s">
        <v>14</v>
      </c>
      <c r="C274" s="47"/>
      <c r="E274" s="36" t="s">
        <v>15</v>
      </c>
      <c r="F274" s="18"/>
      <c r="G274" s="18"/>
    </row>
    <row r="275" spans="1:7" ht="15.75" x14ac:dyDescent="0.25">
      <c r="A275" s="23"/>
      <c r="B275" s="24"/>
      <c r="C275" s="25"/>
      <c r="E275" s="27"/>
      <c r="F275" s="18"/>
      <c r="G275" s="18"/>
    </row>
    <row r="276" spans="1:7" ht="18.75" x14ac:dyDescent="0.3">
      <c r="B276" s="19"/>
      <c r="C276" s="20"/>
      <c r="D276" s="21"/>
      <c r="E276" s="22"/>
      <c r="F276" s="19"/>
      <c r="G276" s="22"/>
    </row>
    <row r="277" spans="1:7" ht="15.75" x14ac:dyDescent="0.25">
      <c r="A277" s="23"/>
      <c r="B277" s="24"/>
      <c r="C277" s="25"/>
      <c r="D277" s="26"/>
      <c r="E277" s="22"/>
      <c r="F277" s="27"/>
      <c r="G277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5"/>
  <sheetViews>
    <sheetView workbookViewId="0">
      <pane ySplit="9" topLeftCell="A10" activePane="bottomLeft" state="frozen"/>
      <selection pane="bottomLeft" activeCell="B165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2763</v>
      </c>
      <c r="C5" s="7"/>
      <c r="D5" s="4"/>
    </row>
    <row r="6" spans="1:7" ht="22.5" customHeight="1" x14ac:dyDescent="0.25">
      <c r="A6" s="6"/>
      <c r="B6" s="8" t="s">
        <v>2913</v>
      </c>
      <c r="C6" s="9"/>
      <c r="D6" s="4"/>
    </row>
    <row r="7" spans="1:7" ht="22.5" customHeight="1" x14ac:dyDescent="0.35">
      <c r="A7" s="4"/>
      <c r="B7" s="10"/>
      <c r="C7" s="11" t="s">
        <v>2912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2897</v>
      </c>
      <c r="B10" s="13">
        <v>700</v>
      </c>
      <c r="C10" s="14" t="str">
        <f>+VLOOKUP(B10,[1]LISTE!$A$1:$D$431,4,FALSE)</f>
        <v>ZORGATI ABDELFATTEH</v>
      </c>
      <c r="D10" s="15" t="s">
        <v>22</v>
      </c>
      <c r="E10" s="15">
        <v>45968</v>
      </c>
      <c r="F10" s="14" t="s">
        <v>23</v>
      </c>
      <c r="G10" s="16">
        <v>25</v>
      </c>
    </row>
    <row r="11" spans="1:7" x14ac:dyDescent="0.25">
      <c r="A11" s="13" t="s">
        <v>2897</v>
      </c>
      <c r="B11" s="13">
        <v>700</v>
      </c>
      <c r="C11" s="14" t="str">
        <f>+VLOOKUP(B11,[1]LISTE!$A$1:$D$431,4,FALSE)</f>
        <v>ZORGATI ABDELFATTEH</v>
      </c>
      <c r="D11" s="15" t="s">
        <v>22</v>
      </c>
      <c r="E11" s="15">
        <v>45968</v>
      </c>
      <c r="F11" s="14" t="s">
        <v>20</v>
      </c>
      <c r="G11" s="16">
        <v>3.7</v>
      </c>
    </row>
    <row r="12" spans="1:7" x14ac:dyDescent="0.25">
      <c r="A12" s="13" t="s">
        <v>2776</v>
      </c>
      <c r="B12" s="13">
        <v>832</v>
      </c>
      <c r="C12" s="14" t="str">
        <f>+VLOOKUP(B12,[1]LISTE!$A$1:$D$431,4,FALSE)</f>
        <v>ABBASSI LOTFI</v>
      </c>
      <c r="D12" s="14" t="s">
        <v>284</v>
      </c>
      <c r="E12" s="15">
        <v>45944</v>
      </c>
      <c r="F12" s="14" t="s">
        <v>23</v>
      </c>
      <c r="G12" s="16">
        <v>45</v>
      </c>
    </row>
    <row r="13" spans="1:7" x14ac:dyDescent="0.25">
      <c r="A13" s="13" t="s">
        <v>2776</v>
      </c>
      <c r="B13" s="13">
        <v>832</v>
      </c>
      <c r="C13" s="14" t="str">
        <f>+VLOOKUP(B13,[1]LISTE!$A$1:$D$431,4,FALSE)</f>
        <v>ABBASSI LOTFI</v>
      </c>
      <c r="D13" s="14" t="s">
        <v>284</v>
      </c>
      <c r="E13" s="15">
        <v>45944</v>
      </c>
      <c r="F13" s="14" t="s">
        <v>20</v>
      </c>
      <c r="G13" s="16">
        <v>36.700000000000003</v>
      </c>
    </row>
    <row r="14" spans="1:7" x14ac:dyDescent="0.25">
      <c r="A14" s="13" t="s">
        <v>2776</v>
      </c>
      <c r="B14" s="13">
        <v>832</v>
      </c>
      <c r="C14" s="14" t="str">
        <f>+VLOOKUP(B14,[1]LISTE!$A$1:$D$431,4,FALSE)</f>
        <v>ABBASSI LOTFI</v>
      </c>
      <c r="D14" s="14" t="s">
        <v>284</v>
      </c>
      <c r="E14" s="15">
        <v>45944</v>
      </c>
      <c r="F14" s="14" t="s">
        <v>19</v>
      </c>
      <c r="G14" s="16">
        <v>54.14</v>
      </c>
    </row>
    <row r="15" spans="1:7" x14ac:dyDescent="0.25">
      <c r="A15" s="13" t="s">
        <v>2828</v>
      </c>
      <c r="B15" s="13">
        <v>859</v>
      </c>
      <c r="C15" s="14" t="str">
        <f>+VLOOKUP(B15,[1]LISTE!$A$1:$D$431,4,FALSE)</f>
        <v>ZRELLI MOHAMED</v>
      </c>
      <c r="D15" s="14" t="s">
        <v>1421</v>
      </c>
      <c r="E15" s="15">
        <v>45960</v>
      </c>
      <c r="F15" s="14" t="s">
        <v>18</v>
      </c>
      <c r="G15" s="16">
        <v>70</v>
      </c>
    </row>
    <row r="16" spans="1:7" x14ac:dyDescent="0.25">
      <c r="A16" s="13" t="s">
        <v>2828</v>
      </c>
      <c r="B16" s="13">
        <v>859</v>
      </c>
      <c r="C16" s="14" t="str">
        <f>+VLOOKUP(B16,[1]LISTE!$A$1:$D$431,4,FALSE)</f>
        <v>ZRELLI MOHAMED</v>
      </c>
      <c r="D16" s="14" t="s">
        <v>1421</v>
      </c>
      <c r="E16" s="15">
        <v>45960</v>
      </c>
      <c r="F16" s="14" t="s">
        <v>20</v>
      </c>
      <c r="G16" s="16">
        <v>17.577000000000002</v>
      </c>
    </row>
    <row r="17" spans="1:7" x14ac:dyDescent="0.25">
      <c r="A17" s="13" t="s">
        <v>2850</v>
      </c>
      <c r="B17" s="13">
        <v>923</v>
      </c>
      <c r="C17" s="14" t="str">
        <f>+VLOOKUP(B17,[1]LISTE!$A$1:$D$431,4,FALSE)</f>
        <v>BEN AZIZA SLAH</v>
      </c>
      <c r="D17" s="14" t="s">
        <v>1436</v>
      </c>
      <c r="E17" s="15">
        <v>45962</v>
      </c>
      <c r="F17" s="14" t="s">
        <v>23</v>
      </c>
      <c r="G17" s="16">
        <v>50</v>
      </c>
    </row>
    <row r="18" spans="1:7" x14ac:dyDescent="0.25">
      <c r="A18" s="13" t="s">
        <v>2850</v>
      </c>
      <c r="B18" s="13">
        <v>923</v>
      </c>
      <c r="C18" s="14" t="str">
        <f>+VLOOKUP(B18,[1]LISTE!$A$1:$D$431,4,FALSE)</f>
        <v>BEN AZIZA SLAH</v>
      </c>
      <c r="D18" s="15" t="s">
        <v>1436</v>
      </c>
      <c r="E18" s="15">
        <v>45962</v>
      </c>
      <c r="F18" s="14" t="s">
        <v>20</v>
      </c>
      <c r="G18" s="16">
        <v>36.798000000000002</v>
      </c>
    </row>
    <row r="19" spans="1:7" x14ac:dyDescent="0.25">
      <c r="A19" s="13" t="s">
        <v>2860</v>
      </c>
      <c r="B19" s="13">
        <v>990</v>
      </c>
      <c r="C19" s="14" t="str">
        <f>+VLOOKUP(B19,[1]LISTE!$A$1:$D$431,4,FALSE)</f>
        <v>GARDALLOU SAMIR</v>
      </c>
      <c r="D19" s="15" t="s">
        <v>1047</v>
      </c>
      <c r="E19" s="15">
        <v>45941</v>
      </c>
      <c r="F19" s="14" t="s">
        <v>18</v>
      </c>
      <c r="G19" s="16">
        <v>70</v>
      </c>
    </row>
    <row r="20" spans="1:7" x14ac:dyDescent="0.25">
      <c r="A20" s="13" t="s">
        <v>2860</v>
      </c>
      <c r="B20" s="13">
        <v>990</v>
      </c>
      <c r="C20" s="14" t="str">
        <f>+VLOOKUP(B20,[1]LISTE!$A$1:$D$431,4,FALSE)</f>
        <v>GARDALLOU SAMIR</v>
      </c>
      <c r="D20" s="14" t="s">
        <v>1047</v>
      </c>
      <c r="E20" s="15">
        <v>45944</v>
      </c>
      <c r="F20" s="14" t="s">
        <v>69</v>
      </c>
      <c r="G20" s="16">
        <v>350</v>
      </c>
    </row>
    <row r="21" spans="1:7" x14ac:dyDescent="0.25">
      <c r="A21" s="13" t="s">
        <v>2861</v>
      </c>
      <c r="B21" s="13">
        <v>990</v>
      </c>
      <c r="C21" s="14" t="str">
        <f>+VLOOKUP(B21,[1]LISTE!$A$1:$D$431,4,FALSE)</f>
        <v>GARDALLOU SAMIR</v>
      </c>
      <c r="D21" s="14" t="s">
        <v>22</v>
      </c>
      <c r="E21" s="15">
        <v>45941</v>
      </c>
      <c r="F21" s="14" t="s">
        <v>18</v>
      </c>
      <c r="G21" s="16">
        <v>70</v>
      </c>
    </row>
    <row r="22" spans="1:7" x14ac:dyDescent="0.25">
      <c r="A22" s="13" t="s">
        <v>2861</v>
      </c>
      <c r="B22" s="13">
        <v>990</v>
      </c>
      <c r="C22" s="14" t="str">
        <f>+VLOOKUP(B22,[1]LISTE!$A$1:$D$431,4,FALSE)</f>
        <v>GARDALLOU SAMIR</v>
      </c>
      <c r="D22" s="14" t="s">
        <v>22</v>
      </c>
      <c r="E22" s="15">
        <v>45953</v>
      </c>
      <c r="F22" s="14" t="s">
        <v>69</v>
      </c>
      <c r="G22" s="16">
        <v>150</v>
      </c>
    </row>
    <row r="23" spans="1:7" x14ac:dyDescent="0.25">
      <c r="A23" s="13" t="s">
        <v>2862</v>
      </c>
      <c r="B23" s="13">
        <v>990</v>
      </c>
      <c r="C23" s="14" t="str">
        <f>+VLOOKUP(B23,[1]LISTE!$A$1:$D$431,4,FALSE)</f>
        <v>GARDALLOU SAMIR</v>
      </c>
      <c r="D23" s="15" t="s">
        <v>303</v>
      </c>
      <c r="E23" s="15">
        <v>45941</v>
      </c>
      <c r="F23" s="14" t="s">
        <v>18</v>
      </c>
      <c r="G23" s="16">
        <v>70</v>
      </c>
    </row>
    <row r="24" spans="1:7" x14ac:dyDescent="0.25">
      <c r="A24" s="13" t="s">
        <v>2862</v>
      </c>
      <c r="B24" s="13">
        <v>990</v>
      </c>
      <c r="C24" s="14" t="str">
        <f>+VLOOKUP(B24,[1]LISTE!$A$1:$D$431,4,FALSE)</f>
        <v>GARDALLOU SAMIR</v>
      </c>
      <c r="D24" s="14" t="s">
        <v>303</v>
      </c>
      <c r="E24" s="15">
        <v>45955</v>
      </c>
      <c r="F24" s="14" t="s">
        <v>65</v>
      </c>
      <c r="G24" s="16">
        <v>60</v>
      </c>
    </row>
    <row r="25" spans="1:7" x14ac:dyDescent="0.25">
      <c r="A25" s="13" t="s">
        <v>2862</v>
      </c>
      <c r="B25" s="13">
        <v>990</v>
      </c>
      <c r="C25" s="14" t="str">
        <f>+VLOOKUP(B25,[1]LISTE!$A$1:$D$431,4,FALSE)</f>
        <v>GARDALLOU SAMIR</v>
      </c>
      <c r="D25" s="14" t="s">
        <v>303</v>
      </c>
      <c r="E25" s="15">
        <v>45944</v>
      </c>
      <c r="F25" s="14" t="s">
        <v>69</v>
      </c>
      <c r="G25" s="16">
        <v>150</v>
      </c>
    </row>
    <row r="26" spans="1:7" x14ac:dyDescent="0.25">
      <c r="A26" s="13" t="s">
        <v>2884</v>
      </c>
      <c r="B26" s="13">
        <v>1504</v>
      </c>
      <c r="C26" s="14" t="str">
        <f>+VLOOKUP(B26,[1]LISTE!$A$1:$D$431,4,FALSE)</f>
        <v>ABBADI HABIB</v>
      </c>
      <c r="D26" s="14" t="s">
        <v>22</v>
      </c>
      <c r="E26" s="15">
        <v>45952</v>
      </c>
      <c r="F26" s="14" t="s">
        <v>18</v>
      </c>
      <c r="G26" s="16">
        <v>70</v>
      </c>
    </row>
    <row r="27" spans="1:7" x14ac:dyDescent="0.25">
      <c r="A27" s="13" t="s">
        <v>2884</v>
      </c>
      <c r="B27" s="13">
        <v>1504</v>
      </c>
      <c r="C27" s="14" t="str">
        <f>+VLOOKUP(B27,[1]LISTE!$A$1:$D$431,4,FALSE)</f>
        <v>ABBADI HABIB</v>
      </c>
      <c r="D27" s="14" t="s">
        <v>22</v>
      </c>
      <c r="E27" s="15">
        <v>45952</v>
      </c>
      <c r="F27" s="14" t="s">
        <v>20</v>
      </c>
      <c r="G27" s="16">
        <v>54.128999999999998</v>
      </c>
    </row>
    <row r="28" spans="1:7" x14ac:dyDescent="0.25">
      <c r="A28" s="13" t="s">
        <v>2884</v>
      </c>
      <c r="B28" s="13">
        <v>1504</v>
      </c>
      <c r="C28" s="14" t="str">
        <f>+VLOOKUP(B28,[1]LISTE!$A$1:$D$431,4,FALSE)</f>
        <v>ABBADI HABIB</v>
      </c>
      <c r="D28" s="14" t="s">
        <v>22</v>
      </c>
      <c r="E28" s="15">
        <v>45959</v>
      </c>
      <c r="F28" s="14" t="s">
        <v>19</v>
      </c>
      <c r="G28" s="16">
        <v>77.83</v>
      </c>
    </row>
    <row r="29" spans="1:7" x14ac:dyDescent="0.25">
      <c r="A29" s="13" t="s">
        <v>2885</v>
      </c>
      <c r="B29" s="13">
        <v>1504</v>
      </c>
      <c r="C29" s="14" t="str">
        <f>+VLOOKUP(B29,[1]LISTE!$A$1:$D$431,4,FALSE)</f>
        <v>ABBADI HABIB</v>
      </c>
      <c r="D29" s="14" t="s">
        <v>22</v>
      </c>
      <c r="E29" s="15">
        <v>45964</v>
      </c>
      <c r="F29" s="14" t="s">
        <v>23</v>
      </c>
      <c r="G29" s="16">
        <v>50</v>
      </c>
    </row>
    <row r="30" spans="1:7" x14ac:dyDescent="0.25">
      <c r="A30" s="13" t="s">
        <v>2885</v>
      </c>
      <c r="B30" s="13">
        <v>1504</v>
      </c>
      <c r="C30" s="14" t="str">
        <f>+VLOOKUP(B30,[1]LISTE!$A$1:$D$431,4,FALSE)</f>
        <v>ABBADI HABIB</v>
      </c>
      <c r="D30" s="15" t="s">
        <v>22</v>
      </c>
      <c r="E30" s="15">
        <v>45964</v>
      </c>
      <c r="F30" s="14" t="s">
        <v>20</v>
      </c>
      <c r="G30" s="16">
        <v>26.58</v>
      </c>
    </row>
    <row r="31" spans="1:7" x14ac:dyDescent="0.25">
      <c r="A31" s="13" t="s">
        <v>2807</v>
      </c>
      <c r="B31" s="13">
        <v>1511</v>
      </c>
      <c r="C31" s="14" t="str">
        <f>+VLOOKUP(B31,[1]LISTE!$A$1:$D$431,4,FALSE)</f>
        <v>SOYAH NEJIB</v>
      </c>
      <c r="D31" s="14" t="s">
        <v>1156</v>
      </c>
      <c r="E31" s="15">
        <v>45951</v>
      </c>
      <c r="F31" s="14" t="s">
        <v>18</v>
      </c>
      <c r="G31" s="16">
        <v>70</v>
      </c>
    </row>
    <row r="32" spans="1:7" x14ac:dyDescent="0.25">
      <c r="A32" s="13" t="s">
        <v>2807</v>
      </c>
      <c r="B32" s="13">
        <v>1511</v>
      </c>
      <c r="C32" s="14" t="str">
        <f>+VLOOKUP(B32,[1]LISTE!$A$1:$D$431,4,FALSE)</f>
        <v>SOYAH NEJIB</v>
      </c>
      <c r="D32" s="14" t="s">
        <v>1156</v>
      </c>
      <c r="E32" s="15">
        <v>45951</v>
      </c>
      <c r="F32" s="14" t="s">
        <v>69</v>
      </c>
      <c r="G32" s="16">
        <v>180</v>
      </c>
    </row>
    <row r="33" spans="1:7" x14ac:dyDescent="0.25">
      <c r="A33" s="13" t="s">
        <v>2781</v>
      </c>
      <c r="B33" s="13">
        <v>1535</v>
      </c>
      <c r="C33" s="14" t="str">
        <f>+VLOOKUP(B33,[1]LISTE!$A$1:$D$431,4,FALSE)</f>
        <v>ROUIS LOTFI</v>
      </c>
      <c r="D33" s="14" t="s">
        <v>2782</v>
      </c>
      <c r="E33" s="15">
        <v>45957</v>
      </c>
      <c r="F33" s="14" t="s">
        <v>18</v>
      </c>
      <c r="G33" s="16">
        <v>80</v>
      </c>
    </row>
    <row r="34" spans="1:7" x14ac:dyDescent="0.25">
      <c r="A34" s="13" t="s">
        <v>2781</v>
      </c>
      <c r="B34" s="13">
        <v>1535</v>
      </c>
      <c r="C34" s="14" t="str">
        <f>+VLOOKUP(B34,[1]LISTE!$A$1:$D$431,4,FALSE)</f>
        <v>ROUIS LOTFI</v>
      </c>
      <c r="D34" s="14" t="s">
        <v>2782</v>
      </c>
      <c r="E34" s="15">
        <v>45957</v>
      </c>
      <c r="F34" s="14" t="s">
        <v>20</v>
      </c>
      <c r="G34" s="16">
        <v>127.27500000000001</v>
      </c>
    </row>
    <row r="35" spans="1:7" x14ac:dyDescent="0.25">
      <c r="A35" s="13" t="s">
        <v>2818</v>
      </c>
      <c r="B35" s="13">
        <v>1541</v>
      </c>
      <c r="C35" s="14" t="str">
        <f>+VLOOKUP(B35,[1]LISTE!$A$1:$D$431,4,FALSE)</f>
        <v>MAHJOUB MOUNIR</v>
      </c>
      <c r="D35" s="15" t="s">
        <v>22</v>
      </c>
      <c r="E35" s="15">
        <v>45964</v>
      </c>
      <c r="F35" s="14" t="s">
        <v>69</v>
      </c>
      <c r="G35" s="16">
        <v>301</v>
      </c>
    </row>
    <row r="36" spans="1:7" x14ac:dyDescent="0.25">
      <c r="A36" s="13" t="s">
        <v>2819</v>
      </c>
      <c r="B36" s="13">
        <v>1541</v>
      </c>
      <c r="C36" s="14" t="str">
        <f>+VLOOKUP(B36,[1]LISTE!$A$1:$D$431,4,FALSE)</f>
        <v>MAHJOUB MOUNIR</v>
      </c>
      <c r="D36" s="14" t="s">
        <v>22</v>
      </c>
      <c r="E36" s="15">
        <v>45946</v>
      </c>
      <c r="F36" s="14" t="s">
        <v>18</v>
      </c>
      <c r="G36" s="16">
        <v>20</v>
      </c>
    </row>
    <row r="37" spans="1:7" x14ac:dyDescent="0.25">
      <c r="A37" s="13" t="s">
        <v>2819</v>
      </c>
      <c r="B37" s="13">
        <v>1541</v>
      </c>
      <c r="C37" s="14" t="str">
        <f>+VLOOKUP(B37,[1]LISTE!$A$1:$D$431,4,FALSE)</f>
        <v>MAHJOUB MOUNIR</v>
      </c>
      <c r="D37" s="14" t="s">
        <v>22</v>
      </c>
      <c r="E37" s="15">
        <v>45948</v>
      </c>
      <c r="F37" s="14" t="s">
        <v>20</v>
      </c>
      <c r="G37" s="16">
        <v>220.827</v>
      </c>
    </row>
    <row r="38" spans="1:7" x14ac:dyDescent="0.25">
      <c r="A38" s="13" t="s">
        <v>2820</v>
      </c>
      <c r="B38" s="13">
        <v>1541</v>
      </c>
      <c r="C38" s="14" t="str">
        <f>+VLOOKUP(B38,[1]LISTE!$A$1:$D$431,4,FALSE)</f>
        <v>MAHJOUB MOUNIR</v>
      </c>
      <c r="D38" s="14" t="s">
        <v>2821</v>
      </c>
      <c r="E38" s="15">
        <v>45946</v>
      </c>
      <c r="F38" s="14" t="s">
        <v>23</v>
      </c>
      <c r="G38" s="16">
        <v>50</v>
      </c>
    </row>
    <row r="39" spans="1:7" x14ac:dyDescent="0.25">
      <c r="A39" s="13" t="s">
        <v>2820</v>
      </c>
      <c r="B39" s="13">
        <v>1541</v>
      </c>
      <c r="C39" s="14" t="str">
        <f>+VLOOKUP(B39,[1]LISTE!$A$1:$D$431,4,FALSE)</f>
        <v>MAHJOUB MOUNIR</v>
      </c>
      <c r="D39" s="14" t="s">
        <v>2821</v>
      </c>
      <c r="E39" s="15">
        <v>45964</v>
      </c>
      <c r="F39" s="14" t="s">
        <v>20</v>
      </c>
      <c r="G39" s="16">
        <v>12.16</v>
      </c>
    </row>
    <row r="40" spans="1:7" x14ac:dyDescent="0.25">
      <c r="A40" s="13" t="s">
        <v>2879</v>
      </c>
      <c r="B40" s="13">
        <v>1555</v>
      </c>
      <c r="C40" s="14" t="str">
        <f>+VLOOKUP(B40,[1]LISTE!$A$1:$D$431,4,FALSE)</f>
        <v>FHIMA HAMDI</v>
      </c>
      <c r="D40" s="14" t="s">
        <v>506</v>
      </c>
      <c r="E40" s="15">
        <v>45945</v>
      </c>
      <c r="F40" s="14" t="s">
        <v>20</v>
      </c>
      <c r="G40" s="16">
        <v>46.015999999999998</v>
      </c>
    </row>
    <row r="41" spans="1:7" x14ac:dyDescent="0.25">
      <c r="A41" s="13" t="s">
        <v>2879</v>
      </c>
      <c r="B41" s="13">
        <v>1555</v>
      </c>
      <c r="C41" s="14" t="str">
        <f>+VLOOKUP(B41,[1]LISTE!$A$1:$D$431,4,FALSE)</f>
        <v>FHIMA HAMDI</v>
      </c>
      <c r="D41" s="14" t="s">
        <v>506</v>
      </c>
      <c r="E41" s="15">
        <v>45945</v>
      </c>
      <c r="F41" s="14" t="s">
        <v>363</v>
      </c>
      <c r="G41" s="16">
        <v>1000</v>
      </c>
    </row>
    <row r="42" spans="1:7" x14ac:dyDescent="0.25">
      <c r="A42" s="13" t="s">
        <v>2879</v>
      </c>
      <c r="B42" s="13">
        <v>1555</v>
      </c>
      <c r="C42" s="14" t="str">
        <f>+VLOOKUP(B42,[1]LISTE!$A$1:$D$431,4,FALSE)</f>
        <v>FHIMA HAMDI</v>
      </c>
      <c r="D42" s="14" t="s">
        <v>506</v>
      </c>
      <c r="E42" s="15">
        <v>45945</v>
      </c>
      <c r="F42" s="14" t="s">
        <v>364</v>
      </c>
      <c r="G42" s="16">
        <v>651</v>
      </c>
    </row>
    <row r="43" spans="1:7" x14ac:dyDescent="0.25">
      <c r="A43" s="13" t="s">
        <v>2798</v>
      </c>
      <c r="B43" s="13">
        <v>1569</v>
      </c>
      <c r="C43" s="14" t="str">
        <f>+VLOOKUP(B43,[1]LISTE!$A$1:$D$431,4,FALSE)</f>
        <v>BETTAIEB MOULDI</v>
      </c>
      <c r="D43" s="14" t="s">
        <v>513</v>
      </c>
      <c r="E43" s="15">
        <v>45955</v>
      </c>
      <c r="F43" s="14" t="s">
        <v>23</v>
      </c>
      <c r="G43" s="16">
        <v>50</v>
      </c>
    </row>
    <row r="44" spans="1:7" x14ac:dyDescent="0.25">
      <c r="A44" s="13" t="s">
        <v>2798</v>
      </c>
      <c r="B44" s="13">
        <v>1569</v>
      </c>
      <c r="C44" s="14" t="str">
        <f>+VLOOKUP(B44,[1]LISTE!$A$1:$D$431,4,FALSE)</f>
        <v>BETTAIEB MOULDI</v>
      </c>
      <c r="D44" s="14" t="s">
        <v>513</v>
      </c>
      <c r="E44" s="15">
        <v>45955</v>
      </c>
      <c r="F44" s="14" t="s">
        <v>20</v>
      </c>
      <c r="G44" s="16">
        <v>31.105</v>
      </c>
    </row>
    <row r="45" spans="1:7" x14ac:dyDescent="0.25">
      <c r="A45" s="13" t="s">
        <v>2799</v>
      </c>
      <c r="B45" s="13">
        <v>1569</v>
      </c>
      <c r="C45" s="14" t="str">
        <f>+VLOOKUP(B45,[1]LISTE!$A$1:$D$431,4,FALSE)</f>
        <v>BETTAIEB MOULDI</v>
      </c>
      <c r="D45" s="14" t="s">
        <v>513</v>
      </c>
      <c r="E45" s="15">
        <v>45945</v>
      </c>
      <c r="F45" s="14" t="s">
        <v>363</v>
      </c>
      <c r="G45" s="16">
        <v>200</v>
      </c>
    </row>
    <row r="46" spans="1:7" x14ac:dyDescent="0.25">
      <c r="A46" s="13" t="s">
        <v>2799</v>
      </c>
      <c r="B46" s="13">
        <v>1569</v>
      </c>
      <c r="C46" s="14" t="str">
        <f>+VLOOKUP(B46,[1]LISTE!$A$1:$D$431,4,FALSE)</f>
        <v>BETTAIEB MOULDI</v>
      </c>
      <c r="D46" s="14" t="s">
        <v>513</v>
      </c>
      <c r="E46" s="15">
        <v>45945</v>
      </c>
      <c r="F46" s="14" t="s">
        <v>20</v>
      </c>
      <c r="G46" s="16">
        <v>6.7249999999999996</v>
      </c>
    </row>
    <row r="47" spans="1:7" x14ac:dyDescent="0.25">
      <c r="A47" s="13" t="s">
        <v>2799</v>
      </c>
      <c r="B47" s="13">
        <v>1569</v>
      </c>
      <c r="C47" s="14" t="str">
        <f>+VLOOKUP(B47,[1]LISTE!$A$1:$D$431,4,FALSE)</f>
        <v>BETTAIEB MOULDI</v>
      </c>
      <c r="D47" s="14" t="s">
        <v>513</v>
      </c>
      <c r="E47" s="15">
        <v>45945</v>
      </c>
      <c r="F47" s="14" t="s">
        <v>20</v>
      </c>
      <c r="G47" s="16">
        <v>33</v>
      </c>
    </row>
    <row r="48" spans="1:7" x14ac:dyDescent="0.25">
      <c r="A48" s="13" t="s">
        <v>2799</v>
      </c>
      <c r="B48" s="13">
        <v>1569</v>
      </c>
      <c r="C48" s="14" t="str">
        <f>+VLOOKUP(B48,[1]LISTE!$A$1:$D$431,4,FALSE)</f>
        <v>BETTAIEB MOULDI</v>
      </c>
      <c r="D48" s="14" t="s">
        <v>513</v>
      </c>
      <c r="E48" s="15">
        <v>45945</v>
      </c>
      <c r="F48" s="14" t="s">
        <v>364</v>
      </c>
      <c r="G48" s="16">
        <v>157.61000000000001</v>
      </c>
    </row>
    <row r="49" spans="1:7" x14ac:dyDescent="0.25">
      <c r="A49" s="13" t="s">
        <v>2815</v>
      </c>
      <c r="B49" s="13">
        <v>1569</v>
      </c>
      <c r="C49" s="14" t="str">
        <f>+VLOOKUP(B49,[1]LISTE!$A$1:$D$431,4,FALSE)</f>
        <v>BETTAIEB MOULDI</v>
      </c>
      <c r="D49" s="14" t="s">
        <v>513</v>
      </c>
      <c r="E49" s="15">
        <v>45959</v>
      </c>
      <c r="F49" s="14" t="s">
        <v>21</v>
      </c>
      <c r="G49" s="16">
        <v>41</v>
      </c>
    </row>
    <row r="50" spans="1:7" x14ac:dyDescent="0.25">
      <c r="A50" s="13" t="s">
        <v>2768</v>
      </c>
      <c r="B50" s="13">
        <v>1575</v>
      </c>
      <c r="C50" s="14" t="str">
        <f>+VLOOKUP(B50,[1]LISTE!$A$1:$D$431,4,FALSE)</f>
        <v>BEN ABDELJELIL ZOUHAIER</v>
      </c>
      <c r="D50" s="14" t="s">
        <v>22</v>
      </c>
      <c r="E50" s="15">
        <v>45951</v>
      </c>
      <c r="F50" s="14" t="s">
        <v>23</v>
      </c>
      <c r="G50" s="16">
        <v>20</v>
      </c>
    </row>
    <row r="51" spans="1:7" x14ac:dyDescent="0.25">
      <c r="A51" s="13" t="s">
        <v>2768</v>
      </c>
      <c r="B51" s="13">
        <v>1575</v>
      </c>
      <c r="C51" s="14" t="str">
        <f>+VLOOKUP(B51,[1]LISTE!$A$1:$D$431,4,FALSE)</f>
        <v>BEN ABDELJELIL ZOUHAIER</v>
      </c>
      <c r="D51" s="14" t="s">
        <v>22</v>
      </c>
      <c r="E51" s="15">
        <v>45954</v>
      </c>
      <c r="F51" s="14" t="s">
        <v>20</v>
      </c>
      <c r="G51" s="16">
        <v>18.395</v>
      </c>
    </row>
    <row r="52" spans="1:7" x14ac:dyDescent="0.25">
      <c r="A52" s="13" t="s">
        <v>2768</v>
      </c>
      <c r="B52" s="13">
        <v>1575</v>
      </c>
      <c r="C52" s="14" t="str">
        <f>+VLOOKUP(B52,[1]LISTE!$A$1:$D$431,4,FALSE)</f>
        <v>BEN ABDELJELIL ZOUHAIER</v>
      </c>
      <c r="D52" s="14" t="s">
        <v>22</v>
      </c>
      <c r="E52" s="15">
        <v>45951</v>
      </c>
      <c r="F52" s="14" t="s">
        <v>20</v>
      </c>
      <c r="G52" s="16">
        <v>12.31</v>
      </c>
    </row>
    <row r="53" spans="1:7" x14ac:dyDescent="0.25">
      <c r="A53" s="13" t="s">
        <v>2768</v>
      </c>
      <c r="B53" s="13">
        <v>1575</v>
      </c>
      <c r="C53" s="14" t="str">
        <f>+VLOOKUP(B53,[1]LISTE!$A$1:$D$431,4,FALSE)</f>
        <v>BEN ABDELJELIL ZOUHAIER</v>
      </c>
      <c r="D53" s="14" t="s">
        <v>22</v>
      </c>
      <c r="E53" s="15">
        <v>45951</v>
      </c>
      <c r="F53" s="14" t="s">
        <v>19</v>
      </c>
      <c r="G53" s="16">
        <v>6.9909999999999997</v>
      </c>
    </row>
    <row r="54" spans="1:7" x14ac:dyDescent="0.25">
      <c r="A54" s="13" t="s">
        <v>2768</v>
      </c>
      <c r="B54" s="13">
        <v>1575</v>
      </c>
      <c r="C54" s="14" t="str">
        <f>+VLOOKUP(B54,[1]LISTE!$A$1:$D$431,4,FALSE)</f>
        <v>BEN ABDELJELIL ZOUHAIER</v>
      </c>
      <c r="D54" s="15" t="s">
        <v>22</v>
      </c>
      <c r="E54" s="15">
        <v>45955</v>
      </c>
      <c r="F54" s="14" t="s">
        <v>20</v>
      </c>
      <c r="G54" s="16">
        <v>45.537999999999997</v>
      </c>
    </row>
    <row r="55" spans="1:7" x14ac:dyDescent="0.25">
      <c r="A55" s="13" t="s">
        <v>2768</v>
      </c>
      <c r="B55" s="13">
        <v>1575</v>
      </c>
      <c r="C55" s="14" t="str">
        <f>+VLOOKUP(B55,[1]LISTE!$A$1:$D$431,4,FALSE)</f>
        <v>BEN ABDELJELIL ZOUHAIER</v>
      </c>
      <c r="D55" s="15" t="s">
        <v>22</v>
      </c>
      <c r="E55" s="15">
        <v>45955</v>
      </c>
      <c r="F55" s="14" t="s">
        <v>21</v>
      </c>
      <c r="G55" s="16">
        <v>40</v>
      </c>
    </row>
    <row r="56" spans="1:7" x14ac:dyDescent="0.25">
      <c r="A56" s="13" t="s">
        <v>2769</v>
      </c>
      <c r="B56" s="13">
        <v>1575</v>
      </c>
      <c r="C56" s="14" t="str">
        <f>+VLOOKUP(B56,[1]LISTE!$A$1:$D$431,4,FALSE)</f>
        <v>BEN ABDELJELIL ZOUHAIER</v>
      </c>
      <c r="D56" s="14" t="s">
        <v>125</v>
      </c>
      <c r="E56" s="15">
        <v>45937</v>
      </c>
      <c r="F56" s="14" t="s">
        <v>23</v>
      </c>
      <c r="G56" s="16">
        <v>40</v>
      </c>
    </row>
    <row r="57" spans="1:7" x14ac:dyDescent="0.25">
      <c r="A57" s="13" t="s">
        <v>2769</v>
      </c>
      <c r="B57" s="13">
        <v>1575</v>
      </c>
      <c r="C57" s="14" t="str">
        <f>+VLOOKUP(B57,[1]LISTE!$A$1:$D$431,4,FALSE)</f>
        <v>BEN ABDELJELIL ZOUHAIER</v>
      </c>
      <c r="D57" s="14" t="s">
        <v>125</v>
      </c>
      <c r="E57" s="15">
        <v>45937</v>
      </c>
      <c r="F57" s="14" t="s">
        <v>20</v>
      </c>
      <c r="G57" s="16">
        <v>55.314</v>
      </c>
    </row>
    <row r="58" spans="1:7" x14ac:dyDescent="0.25">
      <c r="A58" s="13" t="s">
        <v>2810</v>
      </c>
      <c r="B58" s="13">
        <v>1576</v>
      </c>
      <c r="C58" s="14" t="s">
        <v>1667</v>
      </c>
      <c r="D58" s="14" t="s">
        <v>22</v>
      </c>
      <c r="E58" s="15">
        <v>45950</v>
      </c>
      <c r="F58" s="14" t="s">
        <v>23</v>
      </c>
      <c r="G58" s="16">
        <v>10</v>
      </c>
    </row>
    <row r="59" spans="1:7" x14ac:dyDescent="0.25">
      <c r="A59" s="13" t="s">
        <v>2810</v>
      </c>
      <c r="B59" s="13">
        <v>1576</v>
      </c>
      <c r="C59" s="14" t="s">
        <v>1667</v>
      </c>
      <c r="D59" s="14" t="s">
        <v>22</v>
      </c>
      <c r="E59" s="15">
        <v>45950</v>
      </c>
      <c r="F59" s="14" t="s">
        <v>20</v>
      </c>
      <c r="G59" s="16">
        <v>73.322000000000003</v>
      </c>
    </row>
    <row r="60" spans="1:7" x14ac:dyDescent="0.25">
      <c r="A60" s="13" t="s">
        <v>2826</v>
      </c>
      <c r="B60" s="13">
        <v>1576</v>
      </c>
      <c r="C60" s="14" t="s">
        <v>1667</v>
      </c>
      <c r="D60" s="15" t="s">
        <v>22</v>
      </c>
      <c r="E60" s="15">
        <v>45957</v>
      </c>
      <c r="F60" s="14" t="s">
        <v>18</v>
      </c>
      <c r="G60" s="16">
        <v>70</v>
      </c>
    </row>
    <row r="61" spans="1:7" x14ac:dyDescent="0.25">
      <c r="A61" s="13" t="s">
        <v>2826</v>
      </c>
      <c r="B61" s="13">
        <v>1576</v>
      </c>
      <c r="C61" s="14" t="s">
        <v>1667</v>
      </c>
      <c r="D61" s="14" t="s">
        <v>22</v>
      </c>
      <c r="E61" s="15">
        <v>45960</v>
      </c>
      <c r="F61" s="14" t="s">
        <v>20</v>
      </c>
      <c r="G61" s="16">
        <v>8.82</v>
      </c>
    </row>
    <row r="62" spans="1:7" x14ac:dyDescent="0.25">
      <c r="A62" s="13" t="s">
        <v>2901</v>
      </c>
      <c r="B62" s="13">
        <v>1580</v>
      </c>
      <c r="C62" s="14" t="str">
        <f>+VLOOKUP(B62,[1]LISTE!$A$1:$D$431,4,FALSE)</f>
        <v>ZARRAA MOHAMED</v>
      </c>
      <c r="D62" s="15" t="s">
        <v>22</v>
      </c>
      <c r="E62" s="15">
        <v>45964</v>
      </c>
      <c r="F62" s="14" t="s">
        <v>23</v>
      </c>
      <c r="G62" s="16">
        <v>40</v>
      </c>
    </row>
    <row r="63" spans="1:7" x14ac:dyDescent="0.25">
      <c r="A63" s="13" t="s">
        <v>2901</v>
      </c>
      <c r="B63" s="13">
        <v>1580</v>
      </c>
      <c r="C63" s="14" t="str">
        <f>+VLOOKUP(B63,[1]LISTE!$A$1:$D$431,4,FALSE)</f>
        <v>ZARRAA MOHAMED</v>
      </c>
      <c r="D63" s="15" t="s">
        <v>22</v>
      </c>
      <c r="E63" s="15">
        <v>45964</v>
      </c>
      <c r="F63" s="14" t="s">
        <v>20</v>
      </c>
      <c r="G63" s="16">
        <v>29.754999999999999</v>
      </c>
    </row>
    <row r="64" spans="1:7" x14ac:dyDescent="0.25">
      <c r="A64" s="13" t="s">
        <v>2901</v>
      </c>
      <c r="B64" s="13">
        <v>1580</v>
      </c>
      <c r="C64" s="14" t="str">
        <f>+VLOOKUP(B64,[1]LISTE!$A$1:$D$431,4,FALSE)</f>
        <v>ZARRAA MOHAMED</v>
      </c>
      <c r="D64" s="15" t="s">
        <v>22</v>
      </c>
      <c r="E64" s="15">
        <v>45971</v>
      </c>
      <c r="F64" s="14" t="s">
        <v>24</v>
      </c>
      <c r="G64" s="16">
        <v>210</v>
      </c>
    </row>
    <row r="65" spans="1:7" x14ac:dyDescent="0.25">
      <c r="A65" s="13" t="s">
        <v>2800</v>
      </c>
      <c r="B65" s="13">
        <v>1591</v>
      </c>
      <c r="C65" s="14" t="str">
        <f>+VLOOKUP(B65,[1]LISTE!$A$1:$D$431,4,FALSE)</f>
        <v>BDAY KARIM</v>
      </c>
      <c r="D65" s="15" t="s">
        <v>311</v>
      </c>
      <c r="E65" s="15">
        <v>45957</v>
      </c>
      <c r="F65" s="14" t="s">
        <v>69</v>
      </c>
      <c r="G65" s="16">
        <v>335</v>
      </c>
    </row>
    <row r="66" spans="1:7" x14ac:dyDescent="0.25">
      <c r="A66" s="13" t="s">
        <v>2801</v>
      </c>
      <c r="B66" s="13">
        <v>1591</v>
      </c>
      <c r="C66" s="14" t="str">
        <f>+VLOOKUP(B66,[1]LISTE!$A$1:$D$431,4,FALSE)</f>
        <v>BDAY KARIM</v>
      </c>
      <c r="D66" s="14" t="s">
        <v>2802</v>
      </c>
      <c r="E66" s="15">
        <v>45957</v>
      </c>
      <c r="F66" s="14" t="s">
        <v>69</v>
      </c>
      <c r="G66" s="16">
        <v>275</v>
      </c>
    </row>
    <row r="67" spans="1:7" x14ac:dyDescent="0.25">
      <c r="A67" s="13" t="s">
        <v>2805</v>
      </c>
      <c r="B67" s="13">
        <v>1602</v>
      </c>
      <c r="C67" s="14" t="str">
        <f>+VLOOKUP(B67,[1]LISTE!$A$1:$D$431,4,FALSE)</f>
        <v>MAMIA RAMZI</v>
      </c>
      <c r="D67" s="15" t="s">
        <v>22</v>
      </c>
      <c r="E67" s="15">
        <v>45955</v>
      </c>
      <c r="F67" s="14" t="s">
        <v>23</v>
      </c>
      <c r="G67" s="16">
        <v>50</v>
      </c>
    </row>
    <row r="68" spans="1:7" x14ac:dyDescent="0.25">
      <c r="A68" s="13" t="s">
        <v>2805</v>
      </c>
      <c r="B68" s="13">
        <v>1602</v>
      </c>
      <c r="C68" s="14" t="str">
        <f>+VLOOKUP(B68,[1]LISTE!$A$1:$D$431,4,FALSE)</f>
        <v>MAMIA RAMZI</v>
      </c>
      <c r="D68" s="15" t="s">
        <v>22</v>
      </c>
      <c r="E68" s="15">
        <v>45955</v>
      </c>
      <c r="F68" s="14" t="s">
        <v>20</v>
      </c>
      <c r="G68" s="16">
        <v>2.605</v>
      </c>
    </row>
    <row r="69" spans="1:7" x14ac:dyDescent="0.25">
      <c r="A69" s="13" t="s">
        <v>2805</v>
      </c>
      <c r="B69" s="13">
        <v>1602</v>
      </c>
      <c r="C69" s="14" t="str">
        <f>+VLOOKUP(B69,[1]LISTE!$A$1:$D$431,4,FALSE)</f>
        <v>MAMIA RAMZI</v>
      </c>
      <c r="D69" s="15" t="s">
        <v>22</v>
      </c>
      <c r="E69" s="15">
        <v>45962</v>
      </c>
      <c r="F69" s="14" t="s">
        <v>24</v>
      </c>
      <c r="G69" s="16">
        <v>90</v>
      </c>
    </row>
    <row r="70" spans="1:7" x14ac:dyDescent="0.25">
      <c r="A70" s="13" t="s">
        <v>2774</v>
      </c>
      <c r="B70" s="13">
        <v>1612</v>
      </c>
      <c r="C70" s="14" t="str">
        <f>+VLOOKUP(B70,[1]LISTE!$A$1:$D$431,4,FALSE)</f>
        <v>LADHERI NAJEH</v>
      </c>
      <c r="D70" s="15" t="s">
        <v>604</v>
      </c>
      <c r="E70" s="15">
        <v>45955</v>
      </c>
      <c r="F70" s="14" t="s">
        <v>21</v>
      </c>
      <c r="G70" s="16">
        <v>110</v>
      </c>
    </row>
    <row r="71" spans="1:7" x14ac:dyDescent="0.25">
      <c r="A71" s="13" t="s">
        <v>2889</v>
      </c>
      <c r="B71" s="13">
        <v>1612</v>
      </c>
      <c r="C71" s="14" t="str">
        <f>+VLOOKUP(B71,[1]LISTE!$A$1:$D$431,4,FALSE)</f>
        <v>LADHERI NAJEH</v>
      </c>
      <c r="D71" s="14" t="s">
        <v>22</v>
      </c>
      <c r="E71" s="15">
        <v>45968</v>
      </c>
      <c r="F71" s="14" t="s">
        <v>23</v>
      </c>
      <c r="G71" s="16">
        <v>50</v>
      </c>
    </row>
    <row r="72" spans="1:7" x14ac:dyDescent="0.25">
      <c r="A72" s="13" t="s">
        <v>2889</v>
      </c>
      <c r="B72" s="13">
        <v>1612</v>
      </c>
      <c r="C72" s="14" t="str">
        <f>+VLOOKUP(B72,[1]LISTE!$A$1:$D$431,4,FALSE)</f>
        <v>LADHERI NAJEH</v>
      </c>
      <c r="D72" s="14" t="s">
        <v>22</v>
      </c>
      <c r="E72" s="15">
        <v>45968</v>
      </c>
      <c r="F72" s="14" t="s">
        <v>20</v>
      </c>
      <c r="G72" s="16">
        <v>20.495000000000001</v>
      </c>
    </row>
    <row r="73" spans="1:7" x14ac:dyDescent="0.25">
      <c r="A73" s="13" t="s">
        <v>2786</v>
      </c>
      <c r="B73" s="13">
        <v>1616</v>
      </c>
      <c r="C73" s="14" t="str">
        <f>+VLOOKUP(B73,[1]LISTE!$A$1:$D$431,4,FALSE)</f>
        <v>MOUSSA FETHI</v>
      </c>
      <c r="D73" s="14" t="s">
        <v>251</v>
      </c>
      <c r="E73" s="15">
        <v>45954</v>
      </c>
      <c r="F73" s="14" t="s">
        <v>18</v>
      </c>
      <c r="G73" s="16">
        <v>70</v>
      </c>
    </row>
    <row r="74" spans="1:7" x14ac:dyDescent="0.25">
      <c r="A74" s="13" t="s">
        <v>2786</v>
      </c>
      <c r="B74" s="13">
        <v>1616</v>
      </c>
      <c r="C74" s="14" t="str">
        <f>+VLOOKUP(B74,[1]LISTE!$A$1:$D$431,4,FALSE)</f>
        <v>MOUSSA FETHI</v>
      </c>
      <c r="D74" s="14" t="s">
        <v>251</v>
      </c>
      <c r="E74" s="15">
        <v>45957</v>
      </c>
      <c r="F74" s="14" t="s">
        <v>20</v>
      </c>
      <c r="G74" s="16">
        <v>12.351000000000001</v>
      </c>
    </row>
    <row r="75" spans="1:7" x14ac:dyDescent="0.25">
      <c r="A75" s="13" t="s">
        <v>2786</v>
      </c>
      <c r="B75" s="13">
        <v>1616</v>
      </c>
      <c r="C75" s="14" t="str">
        <f>+VLOOKUP(B75,[1]LISTE!$A$1:$D$431,4,FALSE)</f>
        <v>MOUSSA FETHI</v>
      </c>
      <c r="D75" s="14" t="s">
        <v>251</v>
      </c>
      <c r="E75" s="15">
        <v>45955</v>
      </c>
      <c r="F75" s="14" t="s">
        <v>69</v>
      </c>
      <c r="G75" s="16">
        <v>78.540000000000006</v>
      </c>
    </row>
    <row r="76" spans="1:7" x14ac:dyDescent="0.25">
      <c r="A76" s="13" t="s">
        <v>2845</v>
      </c>
      <c r="B76" s="13">
        <v>1625</v>
      </c>
      <c r="C76" s="14" t="str">
        <f>+VLOOKUP(B76,[1]LISTE!$A$1:$D$431,4,FALSE)</f>
        <v>HAMILA SAMIR</v>
      </c>
      <c r="D76" s="14" t="s">
        <v>721</v>
      </c>
      <c r="E76" s="15">
        <v>45937</v>
      </c>
      <c r="F76" s="14" t="s">
        <v>18</v>
      </c>
      <c r="G76" s="16">
        <v>30</v>
      </c>
    </row>
    <row r="77" spans="1:7" x14ac:dyDescent="0.25">
      <c r="A77" s="13" t="s">
        <v>2845</v>
      </c>
      <c r="B77" s="13">
        <v>1625</v>
      </c>
      <c r="C77" s="14" t="str">
        <f>+VLOOKUP(B77,[1]LISTE!$A$1:$D$431,4,FALSE)</f>
        <v>HAMILA SAMIR</v>
      </c>
      <c r="D77" s="14" t="s">
        <v>721</v>
      </c>
      <c r="E77" s="15">
        <v>45965</v>
      </c>
      <c r="F77" s="14" t="s">
        <v>69</v>
      </c>
      <c r="G77" s="16">
        <v>310</v>
      </c>
    </row>
    <row r="78" spans="1:7" x14ac:dyDescent="0.25">
      <c r="A78" s="13" t="s">
        <v>2846</v>
      </c>
      <c r="B78" s="13">
        <v>1625</v>
      </c>
      <c r="C78" s="14" t="str">
        <f>+VLOOKUP(B78,[1]LISTE!$A$1:$D$431,4,FALSE)</f>
        <v>HAMILA SAMIR</v>
      </c>
      <c r="D78" s="14" t="s">
        <v>455</v>
      </c>
      <c r="E78" s="15">
        <v>45939</v>
      </c>
      <c r="F78" s="14" t="s">
        <v>18</v>
      </c>
      <c r="G78" s="16">
        <v>70</v>
      </c>
    </row>
    <row r="79" spans="1:7" x14ac:dyDescent="0.25">
      <c r="A79" s="13" t="s">
        <v>2846</v>
      </c>
      <c r="B79" s="13">
        <v>1625</v>
      </c>
      <c r="C79" s="14" t="str">
        <f>+VLOOKUP(B79,[1]LISTE!$A$1:$D$431,4,FALSE)</f>
        <v>HAMILA SAMIR</v>
      </c>
      <c r="D79" s="15" t="s">
        <v>455</v>
      </c>
      <c r="E79" s="15">
        <v>45939</v>
      </c>
      <c r="F79" s="14" t="s">
        <v>20</v>
      </c>
      <c r="G79" s="16">
        <v>3.004</v>
      </c>
    </row>
    <row r="80" spans="1:7" x14ac:dyDescent="0.25">
      <c r="A80" s="13" t="s">
        <v>2846</v>
      </c>
      <c r="B80" s="13">
        <v>1625</v>
      </c>
      <c r="C80" s="14" t="str">
        <f>+VLOOKUP(B80,[1]LISTE!$A$1:$D$431,4,FALSE)</f>
        <v>HAMILA SAMIR</v>
      </c>
      <c r="D80" s="14" t="s">
        <v>455</v>
      </c>
      <c r="E80" s="15">
        <v>45965</v>
      </c>
      <c r="F80" s="14" t="s">
        <v>69</v>
      </c>
      <c r="G80" s="16">
        <v>260</v>
      </c>
    </row>
    <row r="81" spans="1:7" x14ac:dyDescent="0.25">
      <c r="A81" s="13" t="s">
        <v>2847</v>
      </c>
      <c r="B81" s="13">
        <v>1625</v>
      </c>
      <c r="C81" s="14" t="str">
        <f>+VLOOKUP(B81,[1]LISTE!$A$1:$D$431,4,FALSE)</f>
        <v>HAMILA SAMIR</v>
      </c>
      <c r="D81" s="14" t="s">
        <v>22</v>
      </c>
      <c r="E81" s="15">
        <v>45937</v>
      </c>
      <c r="F81" s="14" t="s">
        <v>18</v>
      </c>
      <c r="G81" s="16">
        <v>30</v>
      </c>
    </row>
    <row r="82" spans="1:7" x14ac:dyDescent="0.25">
      <c r="A82" s="13" t="s">
        <v>2847</v>
      </c>
      <c r="B82" s="13">
        <v>1625</v>
      </c>
      <c r="C82" s="14" t="str">
        <f>+VLOOKUP(B82,[1]LISTE!$A$1:$D$431,4,FALSE)</f>
        <v>HAMILA SAMIR</v>
      </c>
      <c r="D82" s="14" t="s">
        <v>22</v>
      </c>
      <c r="E82" s="15">
        <v>45965</v>
      </c>
      <c r="F82" s="14" t="s">
        <v>69</v>
      </c>
      <c r="G82" s="16">
        <v>290</v>
      </c>
    </row>
    <row r="83" spans="1:7" x14ac:dyDescent="0.25">
      <c r="A83" s="13" t="s">
        <v>2783</v>
      </c>
      <c r="B83" s="13">
        <v>1651</v>
      </c>
      <c r="C83" s="14" t="str">
        <f>+VLOOKUP(B83,[1]LISTE!$A$1:$D$431,4,FALSE)</f>
        <v>BEL HADJ MOHAMED</v>
      </c>
      <c r="D83" s="14" t="s">
        <v>245</v>
      </c>
      <c r="E83" s="15">
        <v>45953</v>
      </c>
      <c r="F83" s="14" t="s">
        <v>24</v>
      </c>
      <c r="G83" s="16">
        <v>80</v>
      </c>
    </row>
    <row r="84" spans="1:7" x14ac:dyDescent="0.25">
      <c r="A84" s="13" t="s">
        <v>2784</v>
      </c>
      <c r="B84" s="13">
        <v>1651</v>
      </c>
      <c r="C84" s="14" t="str">
        <f>+VLOOKUP(B84,[1]LISTE!$A$1:$D$431,4,FALSE)</f>
        <v>BEL HADJ MOHAMED</v>
      </c>
      <c r="D84" s="15" t="s">
        <v>486</v>
      </c>
      <c r="E84" s="15">
        <v>45953</v>
      </c>
      <c r="F84" s="14" t="s">
        <v>24</v>
      </c>
      <c r="G84" s="16">
        <v>1000</v>
      </c>
    </row>
    <row r="85" spans="1:7" x14ac:dyDescent="0.25">
      <c r="A85" s="13" t="s">
        <v>2875</v>
      </c>
      <c r="B85" s="13">
        <v>1664</v>
      </c>
      <c r="C85" s="14" t="str">
        <f>+VLOOKUP(B85,[1]LISTE!$A$1:$D$431,4,FALSE)</f>
        <v>BEN SAOUD SOFIANE</v>
      </c>
      <c r="D85" s="14" t="s">
        <v>22</v>
      </c>
      <c r="E85" s="15">
        <v>45966</v>
      </c>
      <c r="F85" s="14" t="s">
        <v>18</v>
      </c>
      <c r="G85" s="16">
        <v>70</v>
      </c>
    </row>
    <row r="86" spans="1:7" x14ac:dyDescent="0.25">
      <c r="A86" s="13" t="s">
        <v>2875</v>
      </c>
      <c r="B86" s="13">
        <v>1664</v>
      </c>
      <c r="C86" s="14" t="str">
        <f>+VLOOKUP(B86,[1]LISTE!$A$1:$D$431,4,FALSE)</f>
        <v>BEN SAOUD SOFIANE</v>
      </c>
      <c r="D86" s="14" t="s">
        <v>22</v>
      </c>
      <c r="E86" s="15">
        <v>45967</v>
      </c>
      <c r="F86" s="14" t="s">
        <v>20</v>
      </c>
      <c r="G86" s="16">
        <v>20.783000000000001</v>
      </c>
    </row>
    <row r="87" spans="1:7" x14ac:dyDescent="0.25">
      <c r="A87" s="13" t="s">
        <v>2906</v>
      </c>
      <c r="B87" s="13">
        <v>1666</v>
      </c>
      <c r="C87" s="14" t="str">
        <f>+VLOOKUP(B87,[1]LISTE!$A$1:$D$431,4,FALSE)</f>
        <v>BOUZIR SAHBI</v>
      </c>
      <c r="D87" s="15" t="s">
        <v>292</v>
      </c>
      <c r="E87" s="15">
        <v>45965</v>
      </c>
      <c r="F87" s="14" t="s">
        <v>23</v>
      </c>
      <c r="G87" s="16">
        <v>45</v>
      </c>
    </row>
    <row r="88" spans="1:7" x14ac:dyDescent="0.25">
      <c r="A88" s="13" t="s">
        <v>2906</v>
      </c>
      <c r="B88" s="13">
        <v>1666</v>
      </c>
      <c r="C88" s="14" t="str">
        <f>+VLOOKUP(B88,[1]LISTE!$A$1:$D$431,4,FALSE)</f>
        <v>BOUZIR SAHBI</v>
      </c>
      <c r="D88" s="15" t="s">
        <v>292</v>
      </c>
      <c r="E88" s="15">
        <v>45965</v>
      </c>
      <c r="F88" s="14" t="s">
        <v>20</v>
      </c>
      <c r="G88" s="16">
        <v>74.77</v>
      </c>
    </row>
    <row r="89" spans="1:7" x14ac:dyDescent="0.25">
      <c r="A89" s="13" t="s">
        <v>2907</v>
      </c>
      <c r="B89" s="13">
        <v>1666</v>
      </c>
      <c r="C89" s="14" t="str">
        <f>+VLOOKUP(B89,[1]LISTE!$A$1:$D$431,4,FALSE)</f>
        <v>BOUZIR SAHBI</v>
      </c>
      <c r="D89" s="15" t="s">
        <v>22</v>
      </c>
      <c r="E89" s="15">
        <v>45969</v>
      </c>
      <c r="F89" s="14" t="s">
        <v>23</v>
      </c>
      <c r="G89" s="16">
        <v>45</v>
      </c>
    </row>
    <row r="90" spans="1:7" x14ac:dyDescent="0.25">
      <c r="A90" s="13" t="s">
        <v>2907</v>
      </c>
      <c r="B90" s="13">
        <v>1666</v>
      </c>
      <c r="C90" s="14" t="str">
        <f>+VLOOKUP(B90,[1]LISTE!$A$1:$D$431,4,FALSE)</f>
        <v>BOUZIR SAHBI</v>
      </c>
      <c r="D90" s="15" t="s">
        <v>22</v>
      </c>
      <c r="E90" s="15">
        <v>45969</v>
      </c>
      <c r="F90" s="14" t="s">
        <v>20</v>
      </c>
      <c r="G90" s="16">
        <v>72.043999999999997</v>
      </c>
    </row>
    <row r="91" spans="1:7" x14ac:dyDescent="0.25">
      <c r="A91" s="13" t="s">
        <v>2813</v>
      </c>
      <c r="B91" s="13">
        <v>1667</v>
      </c>
      <c r="C91" s="14" t="str">
        <f>+VLOOKUP(B91,[1]LISTE!$A$1:$D$431,4,FALSE)</f>
        <v>MRIZEK TAOUFIK</v>
      </c>
      <c r="D91" s="14" t="s">
        <v>1681</v>
      </c>
      <c r="E91" s="15">
        <v>45960</v>
      </c>
      <c r="F91" s="14" t="s">
        <v>18</v>
      </c>
      <c r="G91" s="16">
        <v>60</v>
      </c>
    </row>
    <row r="92" spans="1:7" x14ac:dyDescent="0.25">
      <c r="A92" s="13" t="s">
        <v>2813</v>
      </c>
      <c r="B92" s="13">
        <v>1667</v>
      </c>
      <c r="C92" s="14" t="str">
        <f>+VLOOKUP(B92,[1]LISTE!$A$1:$D$431,4,FALSE)</f>
        <v>MRIZEK TAOUFIK</v>
      </c>
      <c r="D92" s="14" t="s">
        <v>1681</v>
      </c>
      <c r="E92" s="15">
        <v>45960</v>
      </c>
      <c r="F92" s="14" t="s">
        <v>20</v>
      </c>
      <c r="G92" s="16">
        <v>12.87</v>
      </c>
    </row>
    <row r="93" spans="1:7" x14ac:dyDescent="0.25">
      <c r="A93" s="13" t="s">
        <v>2886</v>
      </c>
      <c r="B93" s="13">
        <v>1671</v>
      </c>
      <c r="C93" s="14" t="str">
        <f>+VLOOKUP(B93,[1]LISTE!$A$1:$D$431,4,FALSE)</f>
        <v>EL BACH ADEL</v>
      </c>
      <c r="D93" s="14" t="s">
        <v>22</v>
      </c>
      <c r="E93" s="15">
        <v>45971</v>
      </c>
      <c r="F93" s="14" t="s">
        <v>23</v>
      </c>
      <c r="G93" s="16">
        <v>50</v>
      </c>
    </row>
    <row r="94" spans="1:7" x14ac:dyDescent="0.25">
      <c r="A94" s="13" t="s">
        <v>2886</v>
      </c>
      <c r="B94" s="13">
        <v>1671</v>
      </c>
      <c r="C94" s="14" t="str">
        <f>+VLOOKUP(B94,[1]LISTE!$A$1:$D$431,4,FALSE)</f>
        <v>EL BACH ADEL</v>
      </c>
      <c r="D94" s="14" t="s">
        <v>22</v>
      </c>
      <c r="E94" s="15">
        <v>45971</v>
      </c>
      <c r="F94" s="14" t="s">
        <v>20</v>
      </c>
      <c r="G94" s="16">
        <v>21.055</v>
      </c>
    </row>
    <row r="95" spans="1:7" x14ac:dyDescent="0.25">
      <c r="A95" s="13" t="s">
        <v>2851</v>
      </c>
      <c r="B95" s="13">
        <v>1687</v>
      </c>
      <c r="C95" s="14" t="str">
        <f>+VLOOKUP(B95,[1]LISTE!$A$1:$D$431,4,FALSE)</f>
        <v>LACHHAB SAHBI</v>
      </c>
      <c r="D95" s="14" t="s">
        <v>22</v>
      </c>
      <c r="E95" s="15">
        <v>45966</v>
      </c>
      <c r="F95" s="14" t="s">
        <v>18</v>
      </c>
      <c r="G95" s="16">
        <v>60</v>
      </c>
    </row>
    <row r="96" spans="1:7" x14ac:dyDescent="0.25">
      <c r="A96" s="13" t="s">
        <v>2851</v>
      </c>
      <c r="B96" s="13">
        <v>1687</v>
      </c>
      <c r="C96" s="14" t="str">
        <f>+VLOOKUP(B96,[1]LISTE!$A$1:$D$431,4,FALSE)</f>
        <v>LACHHAB SAHBI</v>
      </c>
      <c r="D96" s="15" t="s">
        <v>22</v>
      </c>
      <c r="E96" s="15">
        <v>45966</v>
      </c>
      <c r="F96" s="14" t="s">
        <v>20</v>
      </c>
      <c r="G96" s="16">
        <v>98.325000000000003</v>
      </c>
    </row>
    <row r="97" spans="1:7" x14ac:dyDescent="0.25">
      <c r="A97" s="13" t="s">
        <v>2852</v>
      </c>
      <c r="B97" s="13">
        <v>1687</v>
      </c>
      <c r="C97" s="14" t="str">
        <f>+VLOOKUP(B97,[1]LISTE!$A$1:$D$431,4,FALSE)</f>
        <v>LACHHAB SAHBI</v>
      </c>
      <c r="D97" s="14" t="s">
        <v>54</v>
      </c>
      <c r="E97" s="15">
        <v>45962</v>
      </c>
      <c r="F97" s="14" t="s">
        <v>18</v>
      </c>
      <c r="G97" s="16">
        <v>60</v>
      </c>
    </row>
    <row r="98" spans="1:7" x14ac:dyDescent="0.25">
      <c r="A98" s="13" t="s">
        <v>2852</v>
      </c>
      <c r="B98" s="13">
        <v>1687</v>
      </c>
      <c r="C98" s="14" t="str">
        <f>+VLOOKUP(B98,[1]LISTE!$A$1:$D$431,4,FALSE)</f>
        <v>LACHHAB SAHBI</v>
      </c>
      <c r="D98" s="14" t="s">
        <v>54</v>
      </c>
      <c r="E98" s="15">
        <v>45962</v>
      </c>
      <c r="F98" s="14" t="s">
        <v>20</v>
      </c>
      <c r="G98" s="16">
        <v>107.875</v>
      </c>
    </row>
    <row r="99" spans="1:7" x14ac:dyDescent="0.25">
      <c r="A99" s="13" t="s">
        <v>2787</v>
      </c>
      <c r="B99" s="13">
        <v>1706</v>
      </c>
      <c r="C99" s="14" t="str">
        <f>+VLOOKUP(B99,[1]LISTE!$A$1:$D$431,4,FALSE)</f>
        <v>GRIRA LOKHDHIRI FREDJ</v>
      </c>
      <c r="D99" s="14" t="s">
        <v>22</v>
      </c>
      <c r="E99" s="15">
        <v>45954</v>
      </c>
      <c r="F99" s="14" t="s">
        <v>23</v>
      </c>
      <c r="G99" s="16">
        <v>3</v>
      </c>
    </row>
    <row r="100" spans="1:7" x14ac:dyDescent="0.25">
      <c r="A100" s="13" t="s">
        <v>2787</v>
      </c>
      <c r="B100" s="13">
        <v>1706</v>
      </c>
      <c r="C100" s="14" t="str">
        <f>+VLOOKUP(B100,[1]LISTE!$A$1:$D$431,4,FALSE)</f>
        <v>GRIRA LOKHDHIRI FREDJ</v>
      </c>
      <c r="D100" s="14" t="s">
        <v>22</v>
      </c>
      <c r="E100" s="15">
        <v>45959</v>
      </c>
      <c r="F100" s="14" t="s">
        <v>20</v>
      </c>
      <c r="G100" s="16">
        <v>244.685</v>
      </c>
    </row>
    <row r="101" spans="1:7" x14ac:dyDescent="0.25">
      <c r="A101" s="13" t="s">
        <v>2817</v>
      </c>
      <c r="B101" s="13">
        <v>1706</v>
      </c>
      <c r="C101" s="14" t="str">
        <f>+VLOOKUP(B101,[1]LISTE!$A$1:$D$431,4,FALSE)</f>
        <v>GRIRA LOKHDHIRI FREDJ</v>
      </c>
      <c r="D101" s="15" t="s">
        <v>186</v>
      </c>
      <c r="E101" s="15">
        <v>45960</v>
      </c>
      <c r="F101" s="14" t="s">
        <v>18</v>
      </c>
      <c r="G101" s="16">
        <v>70</v>
      </c>
    </row>
    <row r="102" spans="1:7" x14ac:dyDescent="0.25">
      <c r="A102" s="13" t="s">
        <v>2817</v>
      </c>
      <c r="B102" s="13">
        <v>1706</v>
      </c>
      <c r="C102" s="14" t="str">
        <f>+VLOOKUP(B102,[1]LISTE!$A$1:$D$431,4,FALSE)</f>
        <v>GRIRA LOKHDHIRI FREDJ</v>
      </c>
      <c r="D102" s="14" t="s">
        <v>186</v>
      </c>
      <c r="E102" s="15">
        <v>45960</v>
      </c>
      <c r="F102" s="14" t="s">
        <v>20</v>
      </c>
      <c r="G102" s="16">
        <v>16.625</v>
      </c>
    </row>
    <row r="103" spans="1:7" x14ac:dyDescent="0.25">
      <c r="A103" s="13" t="s">
        <v>2890</v>
      </c>
      <c r="B103" s="13">
        <v>1712</v>
      </c>
      <c r="C103" s="14" t="str">
        <f>+VLOOKUP(B103,[1]LISTE!$A$1:$D$431,4,FALSE)</f>
        <v>MKHININI ZAATOUT MOHAMED</v>
      </c>
      <c r="D103" s="15" t="s">
        <v>22</v>
      </c>
      <c r="E103" s="15">
        <v>45967</v>
      </c>
      <c r="F103" s="14" t="s">
        <v>18</v>
      </c>
      <c r="G103" s="16">
        <v>30</v>
      </c>
    </row>
    <row r="104" spans="1:7" x14ac:dyDescent="0.25">
      <c r="A104" s="13" t="s">
        <v>2890</v>
      </c>
      <c r="B104" s="13">
        <v>1712</v>
      </c>
      <c r="C104" s="14" t="str">
        <f>+VLOOKUP(B104,[1]LISTE!$A$1:$D$431,4,FALSE)</f>
        <v>MKHININI ZAATOUT MOHAMED</v>
      </c>
      <c r="D104" s="15" t="s">
        <v>22</v>
      </c>
      <c r="E104" s="15">
        <v>45971</v>
      </c>
      <c r="F104" s="14" t="s">
        <v>69</v>
      </c>
      <c r="G104" s="16">
        <v>280</v>
      </c>
    </row>
    <row r="105" spans="1:7" x14ac:dyDescent="0.25">
      <c r="A105" s="13" t="s">
        <v>2891</v>
      </c>
      <c r="B105" s="13">
        <v>1712</v>
      </c>
      <c r="C105" s="14" t="str">
        <f>+VLOOKUP(B105,[1]LISTE!$A$1:$D$431,4,FALSE)</f>
        <v>MKHININI ZAATOUT MOHAMED</v>
      </c>
      <c r="D105" s="14" t="s">
        <v>200</v>
      </c>
      <c r="E105" s="15">
        <v>45961</v>
      </c>
      <c r="F105" s="14" t="s">
        <v>18</v>
      </c>
      <c r="G105" s="16">
        <v>30</v>
      </c>
    </row>
    <row r="106" spans="1:7" x14ac:dyDescent="0.25">
      <c r="A106" s="13" t="s">
        <v>2891</v>
      </c>
      <c r="B106" s="13">
        <v>1712</v>
      </c>
      <c r="C106" s="14" t="str">
        <f>+VLOOKUP(B106,[1]LISTE!$A$1:$D$431,4,FALSE)</f>
        <v>MKHININI ZAATOUT MOHAMED</v>
      </c>
      <c r="D106" s="15" t="s">
        <v>200</v>
      </c>
      <c r="E106" s="15">
        <v>45961</v>
      </c>
      <c r="F106" s="14" t="s">
        <v>20</v>
      </c>
      <c r="G106" s="16">
        <v>2.4550000000000001</v>
      </c>
    </row>
    <row r="107" spans="1:7" x14ac:dyDescent="0.25">
      <c r="A107" s="13" t="s">
        <v>2869</v>
      </c>
      <c r="B107" s="13">
        <v>1713</v>
      </c>
      <c r="C107" s="14" t="s">
        <v>939</v>
      </c>
      <c r="D107" s="14" t="s">
        <v>22</v>
      </c>
      <c r="E107" s="15">
        <v>45967</v>
      </c>
      <c r="F107" s="14" t="s">
        <v>18</v>
      </c>
      <c r="G107" s="16">
        <v>70</v>
      </c>
    </row>
    <row r="108" spans="1:7" x14ac:dyDescent="0.25">
      <c r="A108" s="13" t="s">
        <v>2869</v>
      </c>
      <c r="B108" s="13">
        <v>1713</v>
      </c>
      <c r="C108" s="14" t="s">
        <v>939</v>
      </c>
      <c r="D108" s="14" t="s">
        <v>22</v>
      </c>
      <c r="E108" s="15">
        <v>45967</v>
      </c>
      <c r="F108" s="14" t="s">
        <v>20</v>
      </c>
      <c r="G108" s="16">
        <v>46.965000000000003</v>
      </c>
    </row>
    <row r="109" spans="1:7" x14ac:dyDescent="0.25">
      <c r="A109" s="13" t="s">
        <v>2764</v>
      </c>
      <c r="B109" s="13">
        <v>1735</v>
      </c>
      <c r="C109" s="14" t="str">
        <f>+VLOOKUP(B109,[1]LISTE!$A$1:$D$431,4,FALSE)</f>
        <v>SAKKA ROUIS MED HAFEDH</v>
      </c>
      <c r="D109" s="14" t="s">
        <v>163</v>
      </c>
      <c r="E109" s="15">
        <v>45953</v>
      </c>
      <c r="F109" s="14" t="s">
        <v>18</v>
      </c>
      <c r="G109" s="16">
        <v>70</v>
      </c>
    </row>
    <row r="110" spans="1:7" x14ac:dyDescent="0.25">
      <c r="A110" s="13" t="s">
        <v>2764</v>
      </c>
      <c r="B110" s="13">
        <v>1735</v>
      </c>
      <c r="C110" s="14" t="str">
        <f>+VLOOKUP(B110,[1]LISTE!$A$1:$D$431,4,FALSE)</f>
        <v>SAKKA ROUIS MED HAFEDH</v>
      </c>
      <c r="D110" s="15" t="s">
        <v>163</v>
      </c>
      <c r="E110" s="15">
        <v>45955</v>
      </c>
      <c r="F110" s="14" t="s">
        <v>69</v>
      </c>
      <c r="G110" s="16">
        <v>420</v>
      </c>
    </row>
    <row r="111" spans="1:7" x14ac:dyDescent="0.25">
      <c r="A111" s="13" t="s">
        <v>2803</v>
      </c>
      <c r="B111" s="13">
        <v>1735</v>
      </c>
      <c r="C111" s="14" t="str">
        <f>+VLOOKUP(B111,[1]LISTE!$A$1:$D$431,4,FALSE)</f>
        <v>SAKKA ROUIS MED HAFEDH</v>
      </c>
      <c r="D111" s="14" t="s">
        <v>2804</v>
      </c>
      <c r="E111" s="15">
        <v>45962</v>
      </c>
      <c r="F111" s="14" t="s">
        <v>18</v>
      </c>
      <c r="G111" s="16">
        <v>70</v>
      </c>
    </row>
    <row r="112" spans="1:7" x14ac:dyDescent="0.25">
      <c r="A112" s="13" t="s">
        <v>2803</v>
      </c>
      <c r="B112" s="13">
        <v>1735</v>
      </c>
      <c r="C112" s="14" t="str">
        <f>+VLOOKUP(B112,[1]LISTE!$A$1:$D$431,4,FALSE)</f>
        <v>SAKKA ROUIS MED HAFEDH</v>
      </c>
      <c r="D112" s="14" t="s">
        <v>2804</v>
      </c>
      <c r="E112" s="15">
        <v>45962</v>
      </c>
      <c r="F112" s="14" t="s">
        <v>20</v>
      </c>
      <c r="G112" s="16">
        <v>9.11</v>
      </c>
    </row>
    <row r="113" spans="1:7" x14ac:dyDescent="0.25">
      <c r="A113" s="13" t="s">
        <v>2870</v>
      </c>
      <c r="B113" s="13">
        <v>1735</v>
      </c>
      <c r="C113" s="14" t="str">
        <f>+VLOOKUP(B113,[1]LISTE!$A$1:$D$431,4,FALSE)</f>
        <v>SAKKA ROUIS MED HAFEDH</v>
      </c>
      <c r="D113" s="14" t="s">
        <v>2804</v>
      </c>
      <c r="E113" s="15">
        <v>45964</v>
      </c>
      <c r="F113" s="14" t="s">
        <v>18</v>
      </c>
      <c r="G113" s="16">
        <v>70</v>
      </c>
    </row>
    <row r="114" spans="1:7" x14ac:dyDescent="0.25">
      <c r="A114" s="13" t="s">
        <v>2870</v>
      </c>
      <c r="B114" s="13">
        <v>1735</v>
      </c>
      <c r="C114" s="14" t="str">
        <f>+VLOOKUP(B114,[1]LISTE!$A$1:$D$431,4,FALSE)</f>
        <v>SAKKA ROUIS MED HAFEDH</v>
      </c>
      <c r="D114" s="14" t="s">
        <v>2804</v>
      </c>
      <c r="E114" s="15">
        <v>45964</v>
      </c>
      <c r="F114" s="14" t="s">
        <v>65</v>
      </c>
      <c r="G114" s="16">
        <v>20</v>
      </c>
    </row>
    <row r="115" spans="1:7" x14ac:dyDescent="0.25">
      <c r="A115" s="13" t="s">
        <v>2870</v>
      </c>
      <c r="B115" s="13">
        <v>1735</v>
      </c>
      <c r="C115" s="14" t="str">
        <f>+VLOOKUP(B115,[1]LISTE!$A$1:$D$431,4,FALSE)</f>
        <v>SAKKA ROUIS MED HAFEDH</v>
      </c>
      <c r="D115" s="14" t="s">
        <v>2804</v>
      </c>
      <c r="E115" s="15">
        <v>45965</v>
      </c>
      <c r="F115" s="14" t="s">
        <v>19</v>
      </c>
      <c r="G115" s="16">
        <v>201.48</v>
      </c>
    </row>
    <row r="116" spans="1:7" x14ac:dyDescent="0.25">
      <c r="A116" s="13" t="s">
        <v>2870</v>
      </c>
      <c r="B116" s="13">
        <v>1735</v>
      </c>
      <c r="C116" s="14" t="str">
        <f>+VLOOKUP(B116,[1]LISTE!$A$1:$D$431,4,FALSE)</f>
        <v>SAKKA ROUIS MED HAFEDH</v>
      </c>
      <c r="D116" s="15" t="s">
        <v>2804</v>
      </c>
      <c r="E116" s="15">
        <v>45965</v>
      </c>
      <c r="F116" s="14" t="s">
        <v>19</v>
      </c>
      <c r="G116" s="16">
        <v>50</v>
      </c>
    </row>
    <row r="117" spans="1:7" x14ac:dyDescent="0.25">
      <c r="A117" s="13" t="s">
        <v>2870</v>
      </c>
      <c r="B117" s="13">
        <v>1735</v>
      </c>
      <c r="C117" s="14" t="str">
        <f>+VLOOKUP(B117,[1]LISTE!$A$1:$D$431,4,FALSE)</f>
        <v>SAKKA ROUIS MED HAFEDH</v>
      </c>
      <c r="D117" s="14" t="s">
        <v>2804</v>
      </c>
      <c r="E117" s="15">
        <v>45967</v>
      </c>
      <c r="F117" s="14" t="s">
        <v>20</v>
      </c>
      <c r="G117" s="16">
        <v>126.624</v>
      </c>
    </row>
    <row r="118" spans="1:7" x14ac:dyDescent="0.25">
      <c r="A118" s="13" t="s">
        <v>2772</v>
      </c>
      <c r="B118" s="13">
        <v>1741</v>
      </c>
      <c r="C118" s="14" t="str">
        <f>+VLOOKUP(B118,[1]LISTE!$A$1:$D$431,4,FALSE)</f>
        <v>HACHICHA ZIED</v>
      </c>
      <c r="D118" s="14" t="s">
        <v>1994</v>
      </c>
      <c r="E118" s="15">
        <v>45957</v>
      </c>
      <c r="F118" s="14" t="s">
        <v>20</v>
      </c>
      <c r="G118" s="16">
        <v>45.268000000000001</v>
      </c>
    </row>
    <row r="119" spans="1:7" x14ac:dyDescent="0.25">
      <c r="A119" s="13" t="s">
        <v>2865</v>
      </c>
      <c r="B119" s="13">
        <v>1760</v>
      </c>
      <c r="C119" s="14" t="str">
        <f>+VLOOKUP(B119,[1]LISTE!$A$1:$D$431,4,FALSE)</f>
        <v>SASSI SAMIR</v>
      </c>
      <c r="D119" s="15" t="s">
        <v>2737</v>
      </c>
      <c r="E119" s="15">
        <v>45967</v>
      </c>
      <c r="F119" s="14" t="s">
        <v>23</v>
      </c>
      <c r="G119" s="16">
        <v>10</v>
      </c>
    </row>
    <row r="120" spans="1:7" x14ac:dyDescent="0.25">
      <c r="A120" s="13" t="s">
        <v>2865</v>
      </c>
      <c r="B120" s="13">
        <v>1760</v>
      </c>
      <c r="C120" s="14" t="str">
        <f>+VLOOKUP(B120,[1]LISTE!$A$1:$D$431,4,FALSE)</f>
        <v>SASSI SAMIR</v>
      </c>
      <c r="D120" s="14" t="s">
        <v>2737</v>
      </c>
      <c r="E120" s="15">
        <v>45967</v>
      </c>
      <c r="F120" s="14" t="s">
        <v>21</v>
      </c>
      <c r="G120" s="16">
        <v>22.5</v>
      </c>
    </row>
    <row r="121" spans="1:7" x14ac:dyDescent="0.25">
      <c r="A121" s="13" t="s">
        <v>2816</v>
      </c>
      <c r="B121" s="13">
        <v>1768</v>
      </c>
      <c r="C121" s="14" t="str">
        <f>+VLOOKUP(B121,[1]LISTE!$A$1:$D$431,4,FALSE)</f>
        <v>LADJIMI MAHER</v>
      </c>
      <c r="D121" s="14" t="s">
        <v>22</v>
      </c>
      <c r="E121" s="15">
        <v>45960</v>
      </c>
      <c r="F121" s="14" t="s">
        <v>18</v>
      </c>
      <c r="G121" s="16">
        <v>30</v>
      </c>
    </row>
    <row r="122" spans="1:7" x14ac:dyDescent="0.25">
      <c r="A122" s="13" t="s">
        <v>2816</v>
      </c>
      <c r="B122" s="13">
        <v>1768</v>
      </c>
      <c r="C122" s="14" t="str">
        <f>+VLOOKUP(B122,[1]LISTE!$A$1:$D$431,4,FALSE)</f>
        <v>LADJIMI MAHER</v>
      </c>
      <c r="D122" s="14" t="s">
        <v>22</v>
      </c>
      <c r="E122" s="15">
        <v>45960</v>
      </c>
      <c r="F122" s="14" t="s">
        <v>20</v>
      </c>
      <c r="G122" s="16">
        <v>63.777999999999999</v>
      </c>
    </row>
    <row r="123" spans="1:7" x14ac:dyDescent="0.25">
      <c r="A123" s="13" t="s">
        <v>2816</v>
      </c>
      <c r="B123" s="13">
        <v>1768</v>
      </c>
      <c r="C123" s="14" t="str">
        <f>+VLOOKUP(B123,[1]LISTE!$A$1:$D$431,4,FALSE)</f>
        <v>LADJIMI MAHER</v>
      </c>
      <c r="D123" s="14" t="s">
        <v>22</v>
      </c>
      <c r="E123" s="15">
        <v>45960</v>
      </c>
      <c r="F123" s="14" t="s">
        <v>20</v>
      </c>
      <c r="G123" s="16">
        <v>141.72</v>
      </c>
    </row>
    <row r="124" spans="1:7" x14ac:dyDescent="0.25">
      <c r="A124" s="13" t="s">
        <v>2843</v>
      </c>
      <c r="B124" s="13">
        <v>1781</v>
      </c>
      <c r="C124" s="14" t="str">
        <f>+VLOOKUP(B124,[1]LISTE!$A$1:$D$431,4,FALSE)</f>
        <v>KEMIMECH MOHAMED</v>
      </c>
      <c r="D124" s="14" t="s">
        <v>2844</v>
      </c>
      <c r="E124" s="15">
        <v>45933</v>
      </c>
      <c r="F124" s="14" t="s">
        <v>23</v>
      </c>
      <c r="G124" s="16">
        <v>50</v>
      </c>
    </row>
    <row r="125" spans="1:7" x14ac:dyDescent="0.25">
      <c r="A125" s="13" t="s">
        <v>2843</v>
      </c>
      <c r="B125" s="13">
        <v>1781</v>
      </c>
      <c r="C125" s="14" t="str">
        <f>+VLOOKUP(B125,[1]LISTE!$A$1:$D$431,4,FALSE)</f>
        <v>KEMIMECH MOHAMED</v>
      </c>
      <c r="D125" s="14" t="s">
        <v>2844</v>
      </c>
      <c r="E125" s="15">
        <v>45933</v>
      </c>
      <c r="F125" s="14" t="s">
        <v>20</v>
      </c>
      <c r="G125" s="16">
        <v>32.427</v>
      </c>
    </row>
    <row r="126" spans="1:7" x14ac:dyDescent="0.25">
      <c r="A126" s="13" t="s">
        <v>2843</v>
      </c>
      <c r="B126" s="13">
        <v>1781</v>
      </c>
      <c r="C126" s="14" t="str">
        <f>+VLOOKUP(B126,[1]LISTE!$A$1:$D$431,4,FALSE)</f>
        <v>KEMIMECH MOHAMED</v>
      </c>
      <c r="D126" s="14" t="s">
        <v>2844</v>
      </c>
      <c r="E126" s="15">
        <v>45933</v>
      </c>
      <c r="F126" s="14" t="s">
        <v>24</v>
      </c>
      <c r="G126" s="16">
        <v>150</v>
      </c>
    </row>
    <row r="127" spans="1:7" x14ac:dyDescent="0.25">
      <c r="A127" s="13" t="s">
        <v>2878</v>
      </c>
      <c r="B127" s="13">
        <v>1781</v>
      </c>
      <c r="C127" s="14" t="str">
        <f>+VLOOKUP(B127,[1]LISTE!$A$1:$D$431,4,FALSE)</f>
        <v>KEMIMECH MOHAMED</v>
      </c>
      <c r="D127" s="15" t="s">
        <v>160</v>
      </c>
      <c r="E127" s="15">
        <v>45957</v>
      </c>
      <c r="F127" s="14" t="s">
        <v>20</v>
      </c>
      <c r="G127" s="16">
        <v>95.366</v>
      </c>
    </row>
    <row r="128" spans="1:7" x14ac:dyDescent="0.25">
      <c r="A128" s="13" t="s">
        <v>2811</v>
      </c>
      <c r="B128" s="13">
        <v>1784</v>
      </c>
      <c r="C128" s="14" t="str">
        <f>+VLOOKUP(B128,[1]LISTE!$A$1:$D$431,4,FALSE)</f>
        <v>LAYOUNI KHALED</v>
      </c>
      <c r="D128" s="14" t="s">
        <v>421</v>
      </c>
      <c r="E128" s="15">
        <v>45957</v>
      </c>
      <c r="F128" s="14" t="s">
        <v>23</v>
      </c>
      <c r="G128" s="16">
        <v>50</v>
      </c>
    </row>
    <row r="129" spans="1:7" x14ac:dyDescent="0.25">
      <c r="A129" s="13" t="s">
        <v>2811</v>
      </c>
      <c r="B129" s="13">
        <v>1784</v>
      </c>
      <c r="C129" s="14" t="str">
        <f>+VLOOKUP(B129,[1]LISTE!$A$1:$D$431,4,FALSE)</f>
        <v>LAYOUNI KHALED</v>
      </c>
      <c r="D129" s="14" t="s">
        <v>421</v>
      </c>
      <c r="E129" s="15">
        <v>45957</v>
      </c>
      <c r="F129" s="14" t="s">
        <v>20</v>
      </c>
      <c r="G129" s="16">
        <v>79.668000000000006</v>
      </c>
    </row>
    <row r="130" spans="1:7" x14ac:dyDescent="0.25">
      <c r="A130" s="13" t="s">
        <v>2829</v>
      </c>
      <c r="B130" s="13">
        <v>1784</v>
      </c>
      <c r="C130" s="14" t="str">
        <f>+VLOOKUP(B130,[1]LISTE!$A$1:$D$431,4,FALSE)</f>
        <v>LAYOUNI KHALED</v>
      </c>
      <c r="D130" s="14" t="s">
        <v>907</v>
      </c>
      <c r="E130" s="15">
        <v>45954</v>
      </c>
      <c r="F130" s="14" t="s">
        <v>23</v>
      </c>
      <c r="G130" s="16">
        <v>30</v>
      </c>
    </row>
    <row r="131" spans="1:7" x14ac:dyDescent="0.25">
      <c r="A131" s="13" t="s">
        <v>2829</v>
      </c>
      <c r="B131" s="13">
        <v>1784</v>
      </c>
      <c r="C131" s="14" t="str">
        <f>+VLOOKUP(B131,[1]LISTE!$A$1:$D$431,4,FALSE)</f>
        <v>LAYOUNI KHALED</v>
      </c>
      <c r="D131" s="14" t="s">
        <v>907</v>
      </c>
      <c r="E131" s="15">
        <v>45954</v>
      </c>
      <c r="F131" s="14" t="s">
        <v>23</v>
      </c>
      <c r="G131" s="16">
        <v>14</v>
      </c>
    </row>
    <row r="132" spans="1:7" x14ac:dyDescent="0.25">
      <c r="A132" s="13" t="s">
        <v>2773</v>
      </c>
      <c r="B132" s="13">
        <v>1787</v>
      </c>
      <c r="C132" s="14" t="str">
        <f>+VLOOKUP(B132,[1]LISTE!$A$1:$D$431,4,FALSE)</f>
        <v>BEN ALITA NEBIL</v>
      </c>
      <c r="D132" s="14" t="s">
        <v>1641</v>
      </c>
      <c r="E132" s="15">
        <v>45954</v>
      </c>
      <c r="F132" s="14" t="s">
        <v>23</v>
      </c>
      <c r="G132" s="16">
        <v>10</v>
      </c>
    </row>
    <row r="133" spans="1:7" x14ac:dyDescent="0.25">
      <c r="A133" s="13" t="s">
        <v>2773</v>
      </c>
      <c r="B133" s="13">
        <v>1787</v>
      </c>
      <c r="C133" s="14" t="str">
        <f>+VLOOKUP(B133,[1]LISTE!$A$1:$D$431,4,FALSE)</f>
        <v>BEN ALITA NEBIL</v>
      </c>
      <c r="D133" s="14" t="s">
        <v>1641</v>
      </c>
      <c r="E133" s="15">
        <v>45954</v>
      </c>
      <c r="F133" s="14" t="s">
        <v>20</v>
      </c>
      <c r="G133" s="16">
        <v>34.026000000000003</v>
      </c>
    </row>
    <row r="134" spans="1:7" x14ac:dyDescent="0.25">
      <c r="A134" s="13" t="s">
        <v>2848</v>
      </c>
      <c r="B134" s="13">
        <v>1795</v>
      </c>
      <c r="C134" s="14" t="str">
        <f>+VLOOKUP(B134,[1]LISTE!$A$1:$D$431,4,FALSE)</f>
        <v>SOUA MOHAMED</v>
      </c>
      <c r="D134" s="14" t="s">
        <v>200</v>
      </c>
      <c r="E134" s="15">
        <v>45957</v>
      </c>
      <c r="F134" s="14" t="s">
        <v>23</v>
      </c>
      <c r="G134" s="16">
        <v>50</v>
      </c>
    </row>
    <row r="135" spans="1:7" x14ac:dyDescent="0.25">
      <c r="A135" s="13" t="s">
        <v>2848</v>
      </c>
      <c r="B135" s="13">
        <v>1795</v>
      </c>
      <c r="C135" s="14" t="str">
        <f>+VLOOKUP(B135,[1]LISTE!$A$1:$D$431,4,FALSE)</f>
        <v>SOUA MOHAMED</v>
      </c>
      <c r="D135" s="14" t="s">
        <v>200</v>
      </c>
      <c r="E135" s="15">
        <v>45957</v>
      </c>
      <c r="F135" s="14" t="s">
        <v>20</v>
      </c>
      <c r="G135" s="16">
        <v>2.7149999999999999</v>
      </c>
    </row>
    <row r="136" spans="1:7" x14ac:dyDescent="0.25">
      <c r="A136" s="13" t="s">
        <v>2848</v>
      </c>
      <c r="B136" s="13">
        <v>1795</v>
      </c>
      <c r="C136" s="14" t="str">
        <f>+VLOOKUP(B136,[1]LISTE!$A$1:$D$431,4,FALSE)</f>
        <v>SOUA MOHAMED</v>
      </c>
      <c r="D136" s="14" t="s">
        <v>200</v>
      </c>
      <c r="E136" s="15">
        <v>45962</v>
      </c>
      <c r="F136" s="14" t="s">
        <v>24</v>
      </c>
      <c r="G136" s="16">
        <v>120</v>
      </c>
    </row>
    <row r="137" spans="1:7" x14ac:dyDescent="0.25">
      <c r="A137" s="13" t="s">
        <v>2895</v>
      </c>
      <c r="B137" s="13">
        <v>1796</v>
      </c>
      <c r="C137" s="14" t="str">
        <f>+VLOOKUP(B137,[1]LISTE!$A$1:$D$431,4,FALSE)</f>
        <v>BEL HADJ HASSINE IMED</v>
      </c>
      <c r="D137" s="15" t="s">
        <v>22</v>
      </c>
      <c r="E137" s="15">
        <v>45940</v>
      </c>
      <c r="F137" s="14" t="s">
        <v>18</v>
      </c>
      <c r="G137" s="16">
        <v>70</v>
      </c>
    </row>
    <row r="138" spans="1:7" x14ac:dyDescent="0.25">
      <c r="A138" s="13" t="s">
        <v>2895</v>
      </c>
      <c r="B138" s="13">
        <v>1796</v>
      </c>
      <c r="C138" s="14" t="str">
        <f>+VLOOKUP(B138,[1]LISTE!$A$1:$D$431,4,FALSE)</f>
        <v>BEL HADJ HASSINE IMED</v>
      </c>
      <c r="D138" s="15" t="s">
        <v>22</v>
      </c>
      <c r="E138" s="15">
        <v>45958</v>
      </c>
      <c r="F138" s="14" t="s">
        <v>20</v>
      </c>
      <c r="G138" s="16">
        <v>18.292999999999999</v>
      </c>
    </row>
    <row r="139" spans="1:7" x14ac:dyDescent="0.25">
      <c r="A139" s="13" t="s">
        <v>2896</v>
      </c>
      <c r="B139" s="13">
        <v>1817</v>
      </c>
      <c r="C139" s="14" t="str">
        <f>+VLOOKUP(B139,[1]LISTE!$A$1:$D$431,4,FALSE)</f>
        <v>ZOUITEN MUSTAPHA</v>
      </c>
      <c r="D139" s="15" t="s">
        <v>22</v>
      </c>
      <c r="E139" s="15">
        <v>45966</v>
      </c>
      <c r="F139" s="14" t="s">
        <v>20</v>
      </c>
      <c r="G139" s="16">
        <v>64.572000000000003</v>
      </c>
    </row>
    <row r="140" spans="1:7" x14ac:dyDescent="0.25">
      <c r="A140" s="13" t="s">
        <v>2896</v>
      </c>
      <c r="B140" s="13">
        <v>1817</v>
      </c>
      <c r="C140" s="14" t="str">
        <f>+VLOOKUP(B140,[1]LISTE!$A$1:$D$431,4,FALSE)</f>
        <v>ZOUITEN MUSTAPHA</v>
      </c>
      <c r="D140" s="15" t="s">
        <v>22</v>
      </c>
      <c r="E140" s="15">
        <v>45967</v>
      </c>
      <c r="F140" s="14" t="s">
        <v>20</v>
      </c>
      <c r="G140" s="16">
        <v>103.22499999999999</v>
      </c>
    </row>
    <row r="141" spans="1:7" x14ac:dyDescent="0.25">
      <c r="A141" s="13" t="s">
        <v>2838</v>
      </c>
      <c r="B141" s="13">
        <v>1819</v>
      </c>
      <c r="C141" s="14" t="str">
        <f>+VLOOKUP(B141,[1]LISTE!$A$1:$D$431,4,FALSE)</f>
        <v>SASSI MOHAMED WALID</v>
      </c>
      <c r="D141" s="14" t="s">
        <v>22</v>
      </c>
      <c r="E141" s="15">
        <v>45951</v>
      </c>
      <c r="F141" s="14" t="s">
        <v>23</v>
      </c>
      <c r="G141" s="16">
        <v>10</v>
      </c>
    </row>
    <row r="142" spans="1:7" x14ac:dyDescent="0.25">
      <c r="A142" s="13" t="s">
        <v>2839</v>
      </c>
      <c r="B142" s="13">
        <v>1819</v>
      </c>
      <c r="C142" s="14" t="str">
        <f>+VLOOKUP(B142,[1]LISTE!$A$1:$D$431,4,FALSE)</f>
        <v>SASSI MOHAMED WALID</v>
      </c>
      <c r="D142" s="15" t="s">
        <v>22</v>
      </c>
      <c r="E142" s="15">
        <v>45933</v>
      </c>
      <c r="F142" s="14" t="s">
        <v>18</v>
      </c>
      <c r="G142" s="16">
        <v>70</v>
      </c>
    </row>
    <row r="143" spans="1:7" x14ac:dyDescent="0.25">
      <c r="A143" s="13" t="s">
        <v>2839</v>
      </c>
      <c r="B143" s="13">
        <v>1819</v>
      </c>
      <c r="C143" s="14" t="str">
        <f>+VLOOKUP(B143,[1]LISTE!$A$1:$D$431,4,FALSE)</f>
        <v>SASSI MOHAMED WALID</v>
      </c>
      <c r="D143" s="14" t="s">
        <v>22</v>
      </c>
      <c r="E143" s="15">
        <v>45958</v>
      </c>
      <c r="F143" s="14" t="s">
        <v>69</v>
      </c>
      <c r="G143" s="16">
        <v>440</v>
      </c>
    </row>
    <row r="144" spans="1:7" x14ac:dyDescent="0.25">
      <c r="A144" s="13" t="s">
        <v>2840</v>
      </c>
      <c r="B144" s="13">
        <v>1819</v>
      </c>
      <c r="C144" s="14" t="str">
        <f>+VLOOKUP(B144,[1]LISTE!$A$1:$D$431,4,FALSE)</f>
        <v>SASSI MOHAMED WALID</v>
      </c>
      <c r="D144" s="15" t="s">
        <v>371</v>
      </c>
      <c r="E144" s="15">
        <v>45936</v>
      </c>
      <c r="F144" s="14" t="s">
        <v>18</v>
      </c>
      <c r="G144" s="16">
        <v>60</v>
      </c>
    </row>
    <row r="145" spans="1:7" x14ac:dyDescent="0.25">
      <c r="A145" s="13" t="s">
        <v>2840</v>
      </c>
      <c r="B145" s="13">
        <v>1819</v>
      </c>
      <c r="C145" s="14" t="str">
        <f>+VLOOKUP(B145,[1]LISTE!$A$1:$D$431,4,FALSE)</f>
        <v>SASSI MOHAMED WALID</v>
      </c>
      <c r="D145" s="14" t="s">
        <v>371</v>
      </c>
      <c r="E145" s="15">
        <v>45936</v>
      </c>
      <c r="F145" s="14" t="s">
        <v>20</v>
      </c>
      <c r="G145" s="16">
        <v>33.886000000000003</v>
      </c>
    </row>
    <row r="146" spans="1:7" x14ac:dyDescent="0.25">
      <c r="A146" s="13" t="s">
        <v>2790</v>
      </c>
      <c r="B146" s="13">
        <v>1827</v>
      </c>
      <c r="C146" s="14" t="str">
        <f>+VLOOKUP(B146,[1]LISTE!$A$1:$D$431,4,FALSE)</f>
        <v>CHTIOUI HAMADI</v>
      </c>
      <c r="D146" s="14" t="s">
        <v>22</v>
      </c>
      <c r="E146" s="15">
        <v>45950</v>
      </c>
      <c r="F146" s="14" t="s">
        <v>20</v>
      </c>
      <c r="G146" s="16">
        <v>256.92</v>
      </c>
    </row>
    <row r="147" spans="1:7" x14ac:dyDescent="0.25">
      <c r="A147" s="13" t="s">
        <v>2887</v>
      </c>
      <c r="B147" s="13">
        <v>1832</v>
      </c>
      <c r="C147" s="14" t="str">
        <f>+VLOOKUP(B147,[1]LISTE!$A$1:$D$431,4,FALSE)</f>
        <v>ERGUEZ MEJDI</v>
      </c>
      <c r="D147" s="15" t="s">
        <v>742</v>
      </c>
      <c r="E147" s="15">
        <v>45958</v>
      </c>
      <c r="F147" s="14" t="s">
        <v>18</v>
      </c>
      <c r="G147" s="16">
        <v>70</v>
      </c>
    </row>
    <row r="148" spans="1:7" x14ac:dyDescent="0.25">
      <c r="A148" s="13" t="s">
        <v>2887</v>
      </c>
      <c r="B148" s="13">
        <v>1832</v>
      </c>
      <c r="C148" s="14" t="str">
        <f>+VLOOKUP(B148,[1]LISTE!$A$1:$D$431,4,FALSE)</f>
        <v>ERGUEZ MEJDI</v>
      </c>
      <c r="D148" s="14" t="s">
        <v>742</v>
      </c>
      <c r="E148" s="15">
        <v>45958</v>
      </c>
      <c r="F148" s="14" t="s">
        <v>20</v>
      </c>
      <c r="G148" s="16">
        <v>53.92</v>
      </c>
    </row>
    <row r="149" spans="1:7" x14ac:dyDescent="0.25">
      <c r="A149" s="13" t="s">
        <v>2887</v>
      </c>
      <c r="B149" s="13">
        <v>1832</v>
      </c>
      <c r="C149" s="14" t="str">
        <f>+VLOOKUP(B149,[1]LISTE!$A$1:$D$431,4,FALSE)</f>
        <v>ERGUEZ MEJDI</v>
      </c>
      <c r="D149" s="15" t="s">
        <v>742</v>
      </c>
      <c r="E149" s="15">
        <v>45969</v>
      </c>
      <c r="F149" s="14" t="s">
        <v>21</v>
      </c>
      <c r="G149" s="16">
        <v>69.77</v>
      </c>
    </row>
    <row r="150" spans="1:7" x14ac:dyDescent="0.25">
      <c r="A150" s="13" t="s">
        <v>2831</v>
      </c>
      <c r="B150" s="13">
        <v>1833</v>
      </c>
      <c r="C150" s="14" t="str">
        <f>+VLOOKUP(B150,[1]LISTE!$A$1:$D$431,4,FALSE)</f>
        <v>BOUZAABIA MOHAMED</v>
      </c>
      <c r="D150" s="15" t="s">
        <v>79</v>
      </c>
      <c r="E150" s="15">
        <v>45960</v>
      </c>
      <c r="F150" s="14" t="s">
        <v>23</v>
      </c>
      <c r="G150" s="16">
        <v>40</v>
      </c>
    </row>
    <row r="151" spans="1:7" x14ac:dyDescent="0.25">
      <c r="A151" s="13" t="s">
        <v>2831</v>
      </c>
      <c r="B151" s="13">
        <v>1833</v>
      </c>
      <c r="C151" s="14" t="str">
        <f>+VLOOKUP(B151,[1]LISTE!$A$1:$D$431,4,FALSE)</f>
        <v>BOUZAABIA MOHAMED</v>
      </c>
      <c r="D151" s="14" t="s">
        <v>79</v>
      </c>
      <c r="E151" s="15">
        <v>45960</v>
      </c>
      <c r="F151" s="14" t="s">
        <v>20</v>
      </c>
      <c r="G151" s="16">
        <v>45.737000000000002</v>
      </c>
    </row>
    <row r="152" spans="1:7" x14ac:dyDescent="0.25">
      <c r="A152" s="13" t="s">
        <v>2900</v>
      </c>
      <c r="B152" s="13">
        <v>1833</v>
      </c>
      <c r="C152" s="14" t="str">
        <f>+VLOOKUP(B152,[1]LISTE!$A$1:$D$431,4,FALSE)</f>
        <v>BOUZAABIA MOHAMED</v>
      </c>
      <c r="D152" s="15" t="s">
        <v>79</v>
      </c>
      <c r="E152" s="15">
        <v>45971</v>
      </c>
      <c r="F152" s="14" t="s">
        <v>23</v>
      </c>
      <c r="G152" s="16">
        <v>40</v>
      </c>
    </row>
    <row r="153" spans="1:7" x14ac:dyDescent="0.25">
      <c r="A153" s="13" t="s">
        <v>2900</v>
      </c>
      <c r="B153" s="13">
        <v>1833</v>
      </c>
      <c r="C153" s="14" t="str">
        <f>+VLOOKUP(B153,[1]LISTE!$A$1:$D$431,4,FALSE)</f>
        <v>BOUZAABIA MOHAMED</v>
      </c>
      <c r="D153" s="15" t="s">
        <v>79</v>
      </c>
      <c r="E153" s="15">
        <v>45971</v>
      </c>
      <c r="F153" s="14" t="s">
        <v>20</v>
      </c>
      <c r="G153" s="16">
        <v>79.643000000000001</v>
      </c>
    </row>
    <row r="154" spans="1:7" x14ac:dyDescent="0.25">
      <c r="A154" s="13" t="s">
        <v>2797</v>
      </c>
      <c r="B154" s="13">
        <v>1836</v>
      </c>
      <c r="C154" s="14" t="str">
        <f>+VLOOKUP(B154,[1]LISTE!$A$1:$D$431,4,FALSE)</f>
        <v>BEN KALIA LOTFI</v>
      </c>
      <c r="D154" s="15" t="s">
        <v>22</v>
      </c>
      <c r="E154" s="15">
        <v>45962</v>
      </c>
      <c r="F154" s="14" t="s">
        <v>23</v>
      </c>
      <c r="G154" s="16">
        <v>45</v>
      </c>
    </row>
    <row r="155" spans="1:7" x14ac:dyDescent="0.25">
      <c r="A155" s="13" t="s">
        <v>2797</v>
      </c>
      <c r="B155" s="13">
        <v>1836</v>
      </c>
      <c r="C155" s="14" t="str">
        <f>+VLOOKUP(B155,[1]LISTE!$A$1:$D$431,4,FALSE)</f>
        <v>BEN KALIA LOTFI</v>
      </c>
      <c r="D155" s="14" t="s">
        <v>22</v>
      </c>
      <c r="E155" s="15">
        <v>45962</v>
      </c>
      <c r="F155" s="14" t="s">
        <v>20</v>
      </c>
      <c r="G155" s="16">
        <v>74.575000000000003</v>
      </c>
    </row>
    <row r="156" spans="1:7" x14ac:dyDescent="0.25">
      <c r="A156" s="13" t="s">
        <v>2825</v>
      </c>
      <c r="B156" s="13">
        <v>1860</v>
      </c>
      <c r="C156" s="14" t="str">
        <f>+VLOOKUP(B156,[1]LISTE!$A$1:$D$431,4,FALSE)</f>
        <v>KTAIEB FREDJ</v>
      </c>
      <c r="D156" s="14" t="s">
        <v>22</v>
      </c>
      <c r="E156" s="15">
        <v>45961</v>
      </c>
      <c r="F156" s="14" t="s">
        <v>23</v>
      </c>
      <c r="G156" s="16">
        <v>50</v>
      </c>
    </row>
    <row r="157" spans="1:7" x14ac:dyDescent="0.25">
      <c r="A157" s="13" t="s">
        <v>2825</v>
      </c>
      <c r="B157" s="13">
        <v>1860</v>
      </c>
      <c r="C157" s="14" t="str">
        <f>+VLOOKUP(B157,[1]LISTE!$A$1:$D$431,4,FALSE)</f>
        <v>KTAIEB FREDJ</v>
      </c>
      <c r="D157" s="14" t="s">
        <v>22</v>
      </c>
      <c r="E157" s="15">
        <v>45961</v>
      </c>
      <c r="F157" s="14" t="s">
        <v>20</v>
      </c>
      <c r="G157" s="16">
        <v>11.994999999999999</v>
      </c>
    </row>
    <row r="158" spans="1:7" x14ac:dyDescent="0.25">
      <c r="A158" s="13" t="s">
        <v>2788</v>
      </c>
      <c r="B158" s="13">
        <v>1861</v>
      </c>
      <c r="C158" s="14" t="str">
        <f>+VLOOKUP(B158,[1]LISTE!$A$1:$D$431,4,FALSE)</f>
        <v>BOUHLEL ANIS BEN MUSTAPHA</v>
      </c>
      <c r="D158" s="14" t="s">
        <v>22</v>
      </c>
      <c r="E158" s="15">
        <v>45958</v>
      </c>
      <c r="F158" s="14" t="s">
        <v>23</v>
      </c>
      <c r="G158" s="16">
        <v>40</v>
      </c>
    </row>
    <row r="159" spans="1:7" x14ac:dyDescent="0.25">
      <c r="A159" s="13" t="s">
        <v>2788</v>
      </c>
      <c r="B159" s="13">
        <v>1861</v>
      </c>
      <c r="C159" s="14" t="str">
        <f>+VLOOKUP(B159,[1]LISTE!$A$1:$D$431,4,FALSE)</f>
        <v>BOUHLEL ANIS BEN MUSTAPHA</v>
      </c>
      <c r="D159" s="14" t="s">
        <v>22</v>
      </c>
      <c r="E159" s="15">
        <v>45958</v>
      </c>
      <c r="F159" s="14" t="s">
        <v>20</v>
      </c>
      <c r="G159" s="16">
        <v>32.316000000000003</v>
      </c>
    </row>
    <row r="160" spans="1:7" x14ac:dyDescent="0.25">
      <c r="A160" s="13" t="s">
        <v>2866</v>
      </c>
      <c r="B160" s="13">
        <v>1861</v>
      </c>
      <c r="C160" s="14" t="str">
        <f>+VLOOKUP(B160,[1]LISTE!$A$1:$D$431,4,FALSE)</f>
        <v>BOUHLEL ANIS BEN MUSTAPHA</v>
      </c>
      <c r="D160" s="14" t="s">
        <v>212</v>
      </c>
      <c r="E160" s="15">
        <v>45967</v>
      </c>
      <c r="F160" s="14" t="s">
        <v>23</v>
      </c>
      <c r="G160" s="16">
        <v>40</v>
      </c>
    </row>
    <row r="161" spans="1:7" x14ac:dyDescent="0.25">
      <c r="A161" s="13" t="s">
        <v>2866</v>
      </c>
      <c r="B161" s="13">
        <v>1861</v>
      </c>
      <c r="C161" s="14" t="str">
        <f>+VLOOKUP(B161,[1]LISTE!$A$1:$D$431,4,FALSE)</f>
        <v>BOUHLEL ANIS BEN MUSTAPHA</v>
      </c>
      <c r="D161" s="14" t="s">
        <v>212</v>
      </c>
      <c r="E161" s="15">
        <v>45967</v>
      </c>
      <c r="F161" s="14" t="s">
        <v>20</v>
      </c>
      <c r="G161" s="16">
        <v>18.308</v>
      </c>
    </row>
    <row r="162" spans="1:7" x14ac:dyDescent="0.25">
      <c r="A162" s="13" t="s">
        <v>2888</v>
      </c>
      <c r="B162" s="13">
        <v>1866</v>
      </c>
      <c r="C162" s="14" t="s">
        <v>1893</v>
      </c>
      <c r="D162" s="14" t="s">
        <v>349</v>
      </c>
      <c r="E162" s="15">
        <v>45966</v>
      </c>
      <c r="F162" s="14" t="s">
        <v>18</v>
      </c>
      <c r="G162" s="16">
        <v>70</v>
      </c>
    </row>
    <row r="163" spans="1:7" x14ac:dyDescent="0.25">
      <c r="A163" s="13" t="s">
        <v>2888</v>
      </c>
      <c r="B163" s="13">
        <v>1866</v>
      </c>
      <c r="C163" s="14" t="s">
        <v>1893</v>
      </c>
      <c r="D163" s="14" t="s">
        <v>349</v>
      </c>
      <c r="E163" s="15">
        <v>45966</v>
      </c>
      <c r="F163" s="14" t="s">
        <v>19</v>
      </c>
      <c r="G163" s="16">
        <v>20.757000000000001</v>
      </c>
    </row>
    <row r="164" spans="1:7" x14ac:dyDescent="0.25">
      <c r="A164" s="13" t="s">
        <v>2888</v>
      </c>
      <c r="B164" s="13">
        <v>1866</v>
      </c>
      <c r="C164" s="14" t="s">
        <v>1893</v>
      </c>
      <c r="D164" s="14" t="s">
        <v>349</v>
      </c>
      <c r="E164" s="15">
        <v>45966</v>
      </c>
      <c r="F164" s="14" t="s">
        <v>20</v>
      </c>
      <c r="G164" s="16">
        <v>7.4749999999999996</v>
      </c>
    </row>
    <row r="165" spans="1:7" x14ac:dyDescent="0.25">
      <c r="A165" s="13" t="s">
        <v>2876</v>
      </c>
      <c r="B165" s="13">
        <v>1887</v>
      </c>
      <c r="C165" s="14" t="str">
        <f>+VLOOKUP(B165,[1]LISTE!$A$1:$D$431,4,FALSE)</f>
        <v>BEN SALAH HATEM</v>
      </c>
      <c r="D165" s="14" t="s">
        <v>361</v>
      </c>
      <c r="E165" s="15">
        <v>45958</v>
      </c>
      <c r="F165" s="14" t="s">
        <v>23</v>
      </c>
      <c r="G165" s="16">
        <v>50</v>
      </c>
    </row>
    <row r="166" spans="1:7" x14ac:dyDescent="0.25">
      <c r="A166" s="13" t="s">
        <v>2876</v>
      </c>
      <c r="B166" s="13">
        <v>1887</v>
      </c>
      <c r="C166" s="14" t="str">
        <f>+VLOOKUP(B166,[1]LISTE!$A$1:$D$431,4,FALSE)</f>
        <v>BEN SALAH HATEM</v>
      </c>
      <c r="D166" s="14" t="s">
        <v>361</v>
      </c>
      <c r="E166" s="15">
        <v>45966</v>
      </c>
      <c r="F166" s="14" t="s">
        <v>20</v>
      </c>
      <c r="G166" s="16">
        <v>5.69</v>
      </c>
    </row>
    <row r="167" spans="1:7" x14ac:dyDescent="0.25">
      <c r="A167" s="13" t="s">
        <v>2876</v>
      </c>
      <c r="B167" s="13">
        <v>1887</v>
      </c>
      <c r="C167" s="14" t="str">
        <f>+VLOOKUP(B167,[1]LISTE!$A$1:$D$431,4,FALSE)</f>
        <v>BEN SALAH HATEM</v>
      </c>
      <c r="D167" s="14" t="s">
        <v>361</v>
      </c>
      <c r="E167" s="15">
        <v>45966</v>
      </c>
      <c r="F167" s="14" t="s">
        <v>24</v>
      </c>
      <c r="G167" s="16">
        <v>180</v>
      </c>
    </row>
    <row r="168" spans="1:7" x14ac:dyDescent="0.25">
      <c r="A168" s="13" t="s">
        <v>2775</v>
      </c>
      <c r="B168" s="13">
        <v>1904</v>
      </c>
      <c r="C168" s="14" t="str">
        <f>+VLOOKUP(B168,[1]LISTE!$A$1:$D$431,4,FALSE)</f>
        <v>GLOULOU LOTFI</v>
      </c>
      <c r="D168" s="14" t="s">
        <v>2161</v>
      </c>
      <c r="E168" s="15">
        <v>45958</v>
      </c>
      <c r="F168" s="14" t="s">
        <v>23</v>
      </c>
      <c r="G168" s="16">
        <v>50</v>
      </c>
    </row>
    <row r="169" spans="1:7" x14ac:dyDescent="0.25">
      <c r="A169" s="13" t="s">
        <v>2775</v>
      </c>
      <c r="B169" s="13">
        <v>1904</v>
      </c>
      <c r="C169" s="14" t="str">
        <f>+VLOOKUP(B169,[1]LISTE!$A$1:$D$431,4,FALSE)</f>
        <v>GLOULOU LOTFI</v>
      </c>
      <c r="D169" s="14" t="s">
        <v>2161</v>
      </c>
      <c r="E169" s="15">
        <v>45958</v>
      </c>
      <c r="F169" s="14" t="s">
        <v>20</v>
      </c>
      <c r="G169" s="16">
        <v>46.104999999999997</v>
      </c>
    </row>
    <row r="170" spans="1:7" x14ac:dyDescent="0.25">
      <c r="A170" s="13" t="s">
        <v>2899</v>
      </c>
      <c r="B170" s="13">
        <v>1910</v>
      </c>
      <c r="C170" s="14" t="str">
        <f>+VLOOKUP(B170,[1]LISTE!$A$1:$D$431,4,FALSE)</f>
        <v>YOUSFI MEHDI</v>
      </c>
      <c r="D170" s="15" t="s">
        <v>292</v>
      </c>
      <c r="E170" s="15">
        <v>45962</v>
      </c>
      <c r="F170" s="14" t="s">
        <v>18</v>
      </c>
      <c r="G170" s="16">
        <v>70</v>
      </c>
    </row>
    <row r="171" spans="1:7" x14ac:dyDescent="0.25">
      <c r="A171" s="13" t="s">
        <v>2899</v>
      </c>
      <c r="B171" s="13">
        <v>1910</v>
      </c>
      <c r="C171" s="14" t="str">
        <f>+VLOOKUP(B171,[1]LISTE!$A$1:$D$431,4,FALSE)</f>
        <v>YOUSFI MEHDI</v>
      </c>
      <c r="D171" s="15" t="s">
        <v>292</v>
      </c>
      <c r="E171" s="15">
        <v>45962</v>
      </c>
      <c r="F171" s="14" t="s">
        <v>19</v>
      </c>
      <c r="G171" s="16">
        <v>57.6</v>
      </c>
    </row>
    <row r="172" spans="1:7" x14ac:dyDescent="0.25">
      <c r="A172" s="13" t="s">
        <v>2899</v>
      </c>
      <c r="B172" s="13">
        <v>1910</v>
      </c>
      <c r="C172" s="14" t="str">
        <f>+VLOOKUP(B172,[1]LISTE!$A$1:$D$431,4,FALSE)</f>
        <v>YOUSFI MEHDI</v>
      </c>
      <c r="D172" s="15" t="s">
        <v>292</v>
      </c>
      <c r="E172" s="15">
        <v>45962</v>
      </c>
      <c r="F172" s="14" t="s">
        <v>20</v>
      </c>
      <c r="G172" s="16">
        <v>24.885000000000002</v>
      </c>
    </row>
    <row r="173" spans="1:7" x14ac:dyDescent="0.25">
      <c r="A173" s="13" t="s">
        <v>2899</v>
      </c>
      <c r="B173" s="13">
        <v>1910</v>
      </c>
      <c r="C173" s="14" t="str">
        <f>+VLOOKUP(B173,[1]LISTE!$A$1:$D$431,4,FALSE)</f>
        <v>YOUSFI MEHDI</v>
      </c>
      <c r="D173" s="15" t="s">
        <v>292</v>
      </c>
      <c r="E173" s="15">
        <v>45962</v>
      </c>
      <c r="F173" s="14" t="s">
        <v>20</v>
      </c>
      <c r="G173" s="16">
        <v>19.7</v>
      </c>
    </row>
    <row r="174" spans="1:7" x14ac:dyDescent="0.25">
      <c r="A174" s="13" t="s">
        <v>2881</v>
      </c>
      <c r="B174" s="13">
        <v>1911</v>
      </c>
      <c r="C174" s="14" t="str">
        <f>+VLOOKUP(B174,[1]LISTE!$A$1:$D$431,4,FALSE)</f>
        <v>MEJRI KHELIL</v>
      </c>
      <c r="D174" s="14" t="s">
        <v>763</v>
      </c>
      <c r="E174" s="15">
        <v>45953</v>
      </c>
      <c r="F174" s="14" t="s">
        <v>23</v>
      </c>
      <c r="G174" s="16">
        <v>45</v>
      </c>
    </row>
    <row r="175" spans="1:7" x14ac:dyDescent="0.25">
      <c r="A175" s="13" t="s">
        <v>2881</v>
      </c>
      <c r="B175" s="13">
        <v>1911</v>
      </c>
      <c r="C175" s="14" t="str">
        <f>+VLOOKUP(B175,[1]LISTE!$A$1:$D$431,4,FALSE)</f>
        <v>MEJRI KHELIL</v>
      </c>
      <c r="D175" s="14" t="s">
        <v>763</v>
      </c>
      <c r="E175" s="15">
        <v>45954</v>
      </c>
      <c r="F175" s="14" t="s">
        <v>19</v>
      </c>
      <c r="G175" s="16">
        <v>118.38</v>
      </c>
    </row>
    <row r="176" spans="1:7" x14ac:dyDescent="0.25">
      <c r="A176" s="13" t="s">
        <v>2881</v>
      </c>
      <c r="B176" s="13">
        <v>1911</v>
      </c>
      <c r="C176" s="14" t="str">
        <f>+VLOOKUP(B176,[1]LISTE!$A$1:$D$431,4,FALSE)</f>
        <v>MEJRI KHELIL</v>
      </c>
      <c r="D176" s="14" t="s">
        <v>763</v>
      </c>
      <c r="E176" s="15">
        <v>45957</v>
      </c>
      <c r="F176" s="14" t="s">
        <v>20</v>
      </c>
      <c r="G176" s="16">
        <v>37.731999999999999</v>
      </c>
    </row>
    <row r="177" spans="1:7" x14ac:dyDescent="0.25">
      <c r="A177" s="13" t="s">
        <v>2881</v>
      </c>
      <c r="B177" s="13">
        <v>1911</v>
      </c>
      <c r="C177" s="14" t="str">
        <f>+VLOOKUP(B177,[1]LISTE!$A$1:$D$431,4,FALSE)</f>
        <v>MEJRI KHELIL</v>
      </c>
      <c r="D177" s="14" t="s">
        <v>763</v>
      </c>
      <c r="E177" s="15">
        <v>45954</v>
      </c>
      <c r="F177" s="14" t="s">
        <v>21</v>
      </c>
      <c r="G177" s="16">
        <v>40</v>
      </c>
    </row>
    <row r="178" spans="1:7" x14ac:dyDescent="0.25">
      <c r="A178" s="13" t="s">
        <v>2882</v>
      </c>
      <c r="B178" s="13">
        <v>1911</v>
      </c>
      <c r="C178" s="14" t="str">
        <f>+VLOOKUP(B178,[1]LISTE!$A$1:$D$431,4,FALSE)</f>
        <v>MEJRI KHELIL</v>
      </c>
      <c r="D178" s="14" t="s">
        <v>763</v>
      </c>
      <c r="E178" s="15">
        <v>45947</v>
      </c>
      <c r="F178" s="14" t="s">
        <v>23</v>
      </c>
      <c r="G178" s="16">
        <v>50</v>
      </c>
    </row>
    <row r="179" spans="1:7" x14ac:dyDescent="0.25">
      <c r="A179" s="13" t="s">
        <v>2882</v>
      </c>
      <c r="B179" s="13">
        <v>1911</v>
      </c>
      <c r="C179" s="14" t="str">
        <f>+VLOOKUP(B179,[1]LISTE!$A$1:$D$431,4,FALSE)</f>
        <v>MEJRI KHELIL</v>
      </c>
      <c r="D179" s="15" t="s">
        <v>763</v>
      </c>
      <c r="E179" s="15">
        <v>45957</v>
      </c>
      <c r="F179" s="14" t="s">
        <v>20</v>
      </c>
      <c r="G179" s="16">
        <v>22</v>
      </c>
    </row>
    <row r="180" spans="1:7" x14ac:dyDescent="0.25">
      <c r="A180" s="13" t="s">
        <v>2882</v>
      </c>
      <c r="B180" s="13">
        <v>1911</v>
      </c>
      <c r="C180" s="14" t="str">
        <f>+VLOOKUP(B180,[1]LISTE!$A$1:$D$431,4,FALSE)</f>
        <v>MEJRI KHELIL</v>
      </c>
      <c r="D180" s="14" t="s">
        <v>763</v>
      </c>
      <c r="E180" s="15">
        <v>45947</v>
      </c>
      <c r="F180" s="14" t="s">
        <v>21</v>
      </c>
      <c r="G180" s="16">
        <v>120</v>
      </c>
    </row>
    <row r="181" spans="1:7" x14ac:dyDescent="0.25">
      <c r="A181" s="13" t="s">
        <v>2882</v>
      </c>
      <c r="B181" s="13">
        <v>1911</v>
      </c>
      <c r="C181" s="14" t="str">
        <f>+VLOOKUP(B181,[1]LISTE!$A$1:$D$431,4,FALSE)</f>
        <v>MEJRI KHELIL</v>
      </c>
      <c r="D181" s="14" t="s">
        <v>763</v>
      </c>
      <c r="E181" s="15">
        <v>45952</v>
      </c>
      <c r="F181" s="14" t="s">
        <v>24</v>
      </c>
      <c r="G181" s="16">
        <v>400</v>
      </c>
    </row>
    <row r="182" spans="1:7" x14ac:dyDescent="0.25">
      <c r="A182" s="13" t="s">
        <v>2823</v>
      </c>
      <c r="B182" s="13">
        <v>1915</v>
      </c>
      <c r="C182" s="14" t="str">
        <f>+VLOOKUP(B182,[1]LISTE!$A$1:$D$431,4,FALSE)</f>
        <v>BEN ABDALLAH MOHAMED SALAH</v>
      </c>
      <c r="D182" s="14" t="s">
        <v>22</v>
      </c>
      <c r="E182" s="15">
        <v>45948</v>
      </c>
      <c r="F182" s="14" t="s">
        <v>23</v>
      </c>
      <c r="G182" s="16">
        <v>40</v>
      </c>
    </row>
    <row r="183" spans="1:7" x14ac:dyDescent="0.25">
      <c r="A183" s="13" t="s">
        <v>2823</v>
      </c>
      <c r="B183" s="13">
        <v>1915</v>
      </c>
      <c r="C183" s="14" t="str">
        <f>+VLOOKUP(B183,[1]LISTE!$A$1:$D$431,4,FALSE)</f>
        <v>BEN ABDALLAH MOHAMED SALAH</v>
      </c>
      <c r="D183" s="14" t="s">
        <v>22</v>
      </c>
      <c r="E183" s="15">
        <v>45964</v>
      </c>
      <c r="F183" s="14" t="s">
        <v>20</v>
      </c>
      <c r="G183" s="16">
        <v>4.2450000000000001</v>
      </c>
    </row>
    <row r="184" spans="1:7" x14ac:dyDescent="0.25">
      <c r="A184" s="13" t="s">
        <v>2823</v>
      </c>
      <c r="B184" s="13">
        <v>1915</v>
      </c>
      <c r="C184" s="14" t="str">
        <f>+VLOOKUP(B184,[1]LISTE!$A$1:$D$431,4,FALSE)</f>
        <v>BEN ABDALLAH MOHAMED SALAH</v>
      </c>
      <c r="D184" s="14" t="s">
        <v>22</v>
      </c>
      <c r="E184" s="15">
        <v>45962</v>
      </c>
      <c r="F184" s="14" t="s">
        <v>24</v>
      </c>
      <c r="G184" s="16">
        <v>180</v>
      </c>
    </row>
    <row r="185" spans="1:7" x14ac:dyDescent="0.25">
      <c r="A185" s="13" t="s">
        <v>2911</v>
      </c>
      <c r="B185" s="13">
        <v>1917</v>
      </c>
      <c r="C185" s="14" t="str">
        <f>+VLOOKUP(B185,[1]LISTE!$A$1:$D$431,4,FALSE)</f>
        <v>HAMILA JAMEL</v>
      </c>
      <c r="D185" s="15" t="s">
        <v>119</v>
      </c>
      <c r="E185" s="15">
        <v>45966</v>
      </c>
      <c r="F185" s="14" t="s">
        <v>18</v>
      </c>
      <c r="G185" s="16">
        <v>70</v>
      </c>
    </row>
    <row r="186" spans="1:7" x14ac:dyDescent="0.25">
      <c r="A186" s="13" t="s">
        <v>2911</v>
      </c>
      <c r="B186" s="13">
        <v>1917</v>
      </c>
      <c r="C186" s="14" t="str">
        <f>+VLOOKUP(B186,[1]LISTE!$A$1:$D$431,4,FALSE)</f>
        <v>HAMILA JAMEL</v>
      </c>
      <c r="D186" s="15" t="s">
        <v>119</v>
      </c>
      <c r="E186" s="15">
        <v>45966</v>
      </c>
      <c r="F186" s="14" t="s">
        <v>21</v>
      </c>
      <c r="G186" s="16">
        <v>140</v>
      </c>
    </row>
    <row r="187" spans="1:7" x14ac:dyDescent="0.25">
      <c r="A187" s="13" t="s">
        <v>2911</v>
      </c>
      <c r="B187" s="13">
        <v>1917</v>
      </c>
      <c r="C187" s="14" t="str">
        <f>+VLOOKUP(B187,[1]LISTE!$A$1:$D$431,4,FALSE)</f>
        <v>HAMILA JAMEL</v>
      </c>
      <c r="D187" s="15" t="s">
        <v>119</v>
      </c>
      <c r="E187" s="15">
        <v>45966</v>
      </c>
      <c r="F187" s="14" t="s">
        <v>20</v>
      </c>
      <c r="G187" s="16">
        <v>98.938999999999993</v>
      </c>
    </row>
    <row r="188" spans="1:7" x14ac:dyDescent="0.25">
      <c r="A188" s="13" t="s">
        <v>2814</v>
      </c>
      <c r="B188" s="13">
        <v>1922</v>
      </c>
      <c r="C188" s="14" t="str">
        <f>+VLOOKUP(B188,[1]LISTE!$A$1:$D$431,4,FALSE)</f>
        <v>MAHJOUB FAKER</v>
      </c>
      <c r="D188" s="14" t="s">
        <v>22</v>
      </c>
      <c r="E188" s="15">
        <v>45952</v>
      </c>
      <c r="F188" s="14" t="s">
        <v>23</v>
      </c>
      <c r="G188" s="16">
        <v>45</v>
      </c>
    </row>
    <row r="189" spans="1:7" x14ac:dyDescent="0.25">
      <c r="A189" s="13" t="s">
        <v>2814</v>
      </c>
      <c r="B189" s="13">
        <v>1922</v>
      </c>
      <c r="C189" s="14" t="str">
        <f>+VLOOKUP(B189,[1]LISTE!$A$1:$D$431,4,FALSE)</f>
        <v>MAHJOUB FAKER</v>
      </c>
      <c r="D189" s="15" t="s">
        <v>22</v>
      </c>
      <c r="E189" s="15">
        <v>45953</v>
      </c>
      <c r="F189" s="14" t="s">
        <v>19</v>
      </c>
      <c r="G189" s="16">
        <v>383.38099999999997</v>
      </c>
    </row>
    <row r="190" spans="1:7" x14ac:dyDescent="0.25">
      <c r="A190" s="13" t="s">
        <v>2814</v>
      </c>
      <c r="B190" s="13">
        <v>1922</v>
      </c>
      <c r="C190" s="14" t="str">
        <f>+VLOOKUP(B190,[1]LISTE!$A$1:$D$431,4,FALSE)</f>
        <v>MAHJOUB FAKER</v>
      </c>
      <c r="D190" s="14" t="s">
        <v>22</v>
      </c>
      <c r="E190" s="15">
        <v>45952</v>
      </c>
      <c r="F190" s="14" t="s">
        <v>20</v>
      </c>
      <c r="G190" s="16">
        <v>54.07</v>
      </c>
    </row>
    <row r="191" spans="1:7" x14ac:dyDescent="0.25">
      <c r="A191" s="13" t="s">
        <v>2806</v>
      </c>
      <c r="B191" s="13">
        <v>1924</v>
      </c>
      <c r="C191" s="14" t="str">
        <f>+VLOOKUP(B191,[1]LISTE!$A$1:$D$431,4,FALSE)</f>
        <v>BRAHIM Wahiba</v>
      </c>
      <c r="D191" s="15" t="s">
        <v>22</v>
      </c>
      <c r="E191" s="15">
        <v>45951</v>
      </c>
      <c r="F191" s="14" t="s">
        <v>18</v>
      </c>
      <c r="G191" s="16">
        <v>70</v>
      </c>
    </row>
    <row r="192" spans="1:7" x14ac:dyDescent="0.25">
      <c r="A192" s="13" t="s">
        <v>2806</v>
      </c>
      <c r="B192" s="13">
        <v>1924</v>
      </c>
      <c r="C192" s="14" t="str">
        <f>+VLOOKUP(B192,[1]LISTE!$A$1:$D$431,4,FALSE)</f>
        <v>BRAHIM Wahiba</v>
      </c>
      <c r="D192" s="15" t="s">
        <v>22</v>
      </c>
      <c r="E192" s="15">
        <v>45959</v>
      </c>
      <c r="F192" s="14" t="s">
        <v>69</v>
      </c>
      <c r="G192" s="16">
        <v>1250</v>
      </c>
    </row>
    <row r="193" spans="1:7" x14ac:dyDescent="0.25">
      <c r="A193" s="13" t="s">
        <v>2795</v>
      </c>
      <c r="B193" s="13">
        <v>1928</v>
      </c>
      <c r="C193" s="14" t="str">
        <f>+VLOOKUP(B193,[1]LISTE!$A$1:$D$431,4,FALSE)</f>
        <v>ZAGGAR JAMEL</v>
      </c>
      <c r="D193" s="14" t="s">
        <v>976</v>
      </c>
      <c r="E193" s="15">
        <v>45958</v>
      </c>
      <c r="F193" s="14" t="s">
        <v>23</v>
      </c>
      <c r="G193" s="16">
        <v>3</v>
      </c>
    </row>
    <row r="194" spans="1:7" x14ac:dyDescent="0.25">
      <c r="A194" s="13" t="s">
        <v>2795</v>
      </c>
      <c r="B194" s="13">
        <v>1928</v>
      </c>
      <c r="C194" s="14" t="str">
        <f>+VLOOKUP(B194,[1]LISTE!$A$1:$D$431,4,FALSE)</f>
        <v>ZAGGAR JAMEL</v>
      </c>
      <c r="D194" s="14" t="s">
        <v>976</v>
      </c>
      <c r="E194" s="15">
        <v>45958</v>
      </c>
      <c r="F194" s="14" t="s">
        <v>20</v>
      </c>
      <c r="G194" s="16">
        <v>65.855000000000004</v>
      </c>
    </row>
    <row r="195" spans="1:7" x14ac:dyDescent="0.25">
      <c r="A195" s="13" t="s">
        <v>2812</v>
      </c>
      <c r="B195" s="13">
        <v>1961</v>
      </c>
      <c r="C195" s="14" t="str">
        <f>+VLOOKUP(B195,[1]LISTE!$A$1:$D$431,4,FALSE)</f>
        <v>HEDFI ANIS</v>
      </c>
      <c r="D195" s="14" t="s">
        <v>1088</v>
      </c>
      <c r="E195" s="15">
        <v>45959</v>
      </c>
      <c r="F195" s="14" t="s">
        <v>20</v>
      </c>
      <c r="G195" s="16">
        <v>52.21</v>
      </c>
    </row>
    <row r="196" spans="1:7" x14ac:dyDescent="0.25">
      <c r="A196" s="13" t="s">
        <v>2859</v>
      </c>
      <c r="B196" s="13">
        <v>1980</v>
      </c>
      <c r="C196" s="14" t="str">
        <f>+VLOOKUP(B196,[1]LISTE!$A$1:$D$431,4,FALSE)</f>
        <v>MLAYEH YOUSSEF</v>
      </c>
      <c r="D196" s="14" t="s">
        <v>2262</v>
      </c>
      <c r="E196" s="15">
        <v>45965</v>
      </c>
      <c r="F196" s="14" t="s">
        <v>20</v>
      </c>
      <c r="G196" s="16">
        <v>16.234999999999999</v>
      </c>
    </row>
    <row r="197" spans="1:7" x14ac:dyDescent="0.25">
      <c r="A197" s="13" t="s">
        <v>2859</v>
      </c>
      <c r="B197" s="13">
        <v>1980</v>
      </c>
      <c r="C197" s="14" t="str">
        <f>+VLOOKUP(B197,[1]LISTE!$A$1:$D$431,4,FALSE)</f>
        <v>MLAYEH YOUSSEF</v>
      </c>
      <c r="D197" s="15" t="s">
        <v>2262</v>
      </c>
      <c r="E197" s="15">
        <v>45965</v>
      </c>
      <c r="F197" s="14" t="s">
        <v>24</v>
      </c>
      <c r="G197" s="16">
        <v>90</v>
      </c>
    </row>
    <row r="198" spans="1:7" x14ac:dyDescent="0.25">
      <c r="A198" s="13" t="s">
        <v>2765</v>
      </c>
      <c r="B198" s="13">
        <v>2009</v>
      </c>
      <c r="C198" s="14" t="str">
        <f>+VLOOKUP(B198,[1]LISTE!$A$1:$D$431,4,FALSE)</f>
        <v>BEN SAAD MOHAMED AMINE</v>
      </c>
      <c r="D198" s="15" t="s">
        <v>721</v>
      </c>
      <c r="E198" s="15">
        <v>45948</v>
      </c>
      <c r="F198" s="14" t="s">
        <v>18</v>
      </c>
      <c r="G198" s="16">
        <v>70</v>
      </c>
    </row>
    <row r="199" spans="1:7" x14ac:dyDescent="0.25">
      <c r="A199" s="13" t="s">
        <v>2765</v>
      </c>
      <c r="B199" s="13">
        <v>2009</v>
      </c>
      <c r="C199" s="14" t="str">
        <f>+VLOOKUP(B199,[1]LISTE!$A$1:$D$431,4,FALSE)</f>
        <v>BEN SAAD MOHAMED AMINE</v>
      </c>
      <c r="D199" s="14" t="s">
        <v>721</v>
      </c>
      <c r="E199" s="15">
        <v>45947</v>
      </c>
      <c r="F199" s="14" t="s">
        <v>19</v>
      </c>
      <c r="G199" s="16">
        <v>91.81</v>
      </c>
    </row>
    <row r="200" spans="1:7" x14ac:dyDescent="0.25">
      <c r="A200" s="13" t="s">
        <v>2765</v>
      </c>
      <c r="B200" s="13">
        <v>2009</v>
      </c>
      <c r="C200" s="14" t="str">
        <f>+VLOOKUP(B200,[1]LISTE!$A$1:$D$431,4,FALSE)</f>
        <v>BEN SAAD MOHAMED AMINE</v>
      </c>
      <c r="D200" s="14" t="s">
        <v>721</v>
      </c>
      <c r="E200" s="15">
        <v>45948</v>
      </c>
      <c r="F200" s="14" t="s">
        <v>20</v>
      </c>
      <c r="G200" s="16">
        <v>16.72</v>
      </c>
    </row>
    <row r="201" spans="1:7" x14ac:dyDescent="0.25">
      <c r="A201" s="13" t="s">
        <v>2796</v>
      </c>
      <c r="B201" s="13">
        <v>2013</v>
      </c>
      <c r="C201" s="14" t="str">
        <f>+VLOOKUP(B201,[1]LISTE!$A$1:$D$431,4,FALSE)</f>
        <v>BEL HADJ ALI MOHAMED ALI</v>
      </c>
      <c r="D201" s="14" t="s">
        <v>160</v>
      </c>
      <c r="E201" s="15">
        <v>45958</v>
      </c>
      <c r="F201" s="14" t="s">
        <v>65</v>
      </c>
      <c r="G201" s="16">
        <v>480</v>
      </c>
    </row>
    <row r="202" spans="1:7" x14ac:dyDescent="0.25">
      <c r="A202" s="13" t="s">
        <v>2849</v>
      </c>
      <c r="B202" s="13">
        <v>2048</v>
      </c>
      <c r="C202" s="14" t="str">
        <f>+VLOOKUP(B202,[1]LISTE!$A$1:$D$431,4,FALSE)</f>
        <v>BEL HADJ FREDJ NOUREDDINE</v>
      </c>
      <c r="D202" s="14" t="s">
        <v>22</v>
      </c>
      <c r="E202" s="15">
        <v>45962</v>
      </c>
      <c r="F202" s="14" t="s">
        <v>18</v>
      </c>
      <c r="G202" s="16">
        <v>90</v>
      </c>
    </row>
    <row r="203" spans="1:7" x14ac:dyDescent="0.25">
      <c r="A203" s="13" t="s">
        <v>2849</v>
      </c>
      <c r="B203" s="13">
        <v>2048</v>
      </c>
      <c r="C203" s="14" t="str">
        <f>+VLOOKUP(B203,[1]LISTE!$A$1:$D$431,4,FALSE)</f>
        <v>BEL HADJ FREDJ NOUREDDINE</v>
      </c>
      <c r="D203" s="14" t="s">
        <v>22</v>
      </c>
      <c r="E203" s="15">
        <v>45962</v>
      </c>
      <c r="F203" s="14" t="s">
        <v>20</v>
      </c>
      <c r="G203" s="16">
        <v>4.2450000000000001</v>
      </c>
    </row>
    <row r="204" spans="1:7" x14ac:dyDescent="0.25">
      <c r="A204" s="13" t="s">
        <v>2877</v>
      </c>
      <c r="B204" s="13">
        <v>2065</v>
      </c>
      <c r="C204" s="14" t="str">
        <f>+VLOOKUP(B204,[1]LISTE!$A$1:$D$431,4,FALSE)</f>
        <v>CHIHAOUI ALAAEDDINE</v>
      </c>
      <c r="D204" s="14" t="s">
        <v>22</v>
      </c>
      <c r="E204" s="15">
        <v>45966</v>
      </c>
      <c r="F204" s="14" t="s">
        <v>23</v>
      </c>
      <c r="G204" s="16">
        <v>60</v>
      </c>
    </row>
    <row r="205" spans="1:7" x14ac:dyDescent="0.25">
      <c r="A205" s="13" t="s">
        <v>2877</v>
      </c>
      <c r="B205" s="13">
        <v>2065</v>
      </c>
      <c r="C205" s="14" t="str">
        <f>+VLOOKUP(B205,[1]LISTE!$A$1:$D$431,4,FALSE)</f>
        <v>CHIHAOUI ALAAEDDINE</v>
      </c>
      <c r="D205" s="14" t="s">
        <v>22</v>
      </c>
      <c r="E205" s="15">
        <v>45966</v>
      </c>
      <c r="F205" s="14" t="s">
        <v>20</v>
      </c>
      <c r="G205" s="16">
        <v>25.954999999999998</v>
      </c>
    </row>
    <row r="206" spans="1:7" x14ac:dyDescent="0.25">
      <c r="A206" s="13" t="s">
        <v>2904</v>
      </c>
      <c r="B206" s="13">
        <v>2084</v>
      </c>
      <c r="C206" s="14" t="str">
        <f>+VLOOKUP(B206,[1]LISTE!$A$1:$D$431,4,FALSE)</f>
        <v>HELALI Emna</v>
      </c>
      <c r="D206" s="15" t="s">
        <v>22</v>
      </c>
      <c r="E206" s="15">
        <v>45969</v>
      </c>
      <c r="F206" s="14" t="s">
        <v>18</v>
      </c>
      <c r="G206" s="16">
        <v>70</v>
      </c>
    </row>
    <row r="207" spans="1:7" x14ac:dyDescent="0.25">
      <c r="A207" s="13" t="s">
        <v>2904</v>
      </c>
      <c r="B207" s="13">
        <v>2084</v>
      </c>
      <c r="C207" s="14" t="str">
        <f>+VLOOKUP(B207,[1]LISTE!$A$1:$D$431,4,FALSE)</f>
        <v>HELALI Emna</v>
      </c>
      <c r="D207" s="15" t="s">
        <v>22</v>
      </c>
      <c r="E207" s="15">
        <v>45969</v>
      </c>
      <c r="F207" s="14" t="s">
        <v>20</v>
      </c>
      <c r="G207" s="16">
        <v>17.175000000000001</v>
      </c>
    </row>
    <row r="208" spans="1:7" x14ac:dyDescent="0.25">
      <c r="A208" s="13" t="s">
        <v>2905</v>
      </c>
      <c r="B208" s="13">
        <v>2084</v>
      </c>
      <c r="C208" s="14" t="str">
        <f>+VLOOKUP(B208,[1]LISTE!$A$1:$D$431,4,FALSE)</f>
        <v>HELALI Emna</v>
      </c>
      <c r="D208" s="15" t="s">
        <v>22</v>
      </c>
      <c r="E208" s="15">
        <v>45969</v>
      </c>
      <c r="F208" s="14" t="s">
        <v>23</v>
      </c>
      <c r="G208" s="16">
        <v>50</v>
      </c>
    </row>
    <row r="209" spans="1:7" x14ac:dyDescent="0.25">
      <c r="A209" s="13" t="s">
        <v>2905</v>
      </c>
      <c r="B209" s="13">
        <v>2084</v>
      </c>
      <c r="C209" s="14" t="str">
        <f>+VLOOKUP(B209,[1]LISTE!$A$1:$D$431,4,FALSE)</f>
        <v>HELALI Emna</v>
      </c>
      <c r="D209" s="15" t="s">
        <v>22</v>
      </c>
      <c r="E209" s="15">
        <v>45969</v>
      </c>
      <c r="F209" s="14" t="s">
        <v>20</v>
      </c>
      <c r="G209" s="16">
        <v>48.027000000000001</v>
      </c>
    </row>
    <row r="210" spans="1:7" x14ac:dyDescent="0.25">
      <c r="A210" s="13" t="s">
        <v>2830</v>
      </c>
      <c r="B210" s="13">
        <v>2090</v>
      </c>
      <c r="C210" s="14" t="str">
        <f>+VLOOKUP(B210,[1]LISTE!$A$1:$D$431,4,FALSE)</f>
        <v>WAJDI HMIDA</v>
      </c>
      <c r="D210" s="14" t="s">
        <v>22</v>
      </c>
      <c r="E210" s="15">
        <v>45961</v>
      </c>
      <c r="F210" s="14" t="s">
        <v>23</v>
      </c>
      <c r="G210" s="16">
        <v>45</v>
      </c>
    </row>
    <row r="211" spans="1:7" x14ac:dyDescent="0.25">
      <c r="A211" s="13" t="s">
        <v>2830</v>
      </c>
      <c r="B211" s="13">
        <v>2090</v>
      </c>
      <c r="C211" s="14" t="str">
        <f>+VLOOKUP(B211,[1]LISTE!$A$1:$D$431,4,FALSE)</f>
        <v>WAJDI HMIDA</v>
      </c>
      <c r="D211" s="14" t="s">
        <v>22</v>
      </c>
      <c r="E211" s="15">
        <v>45961</v>
      </c>
      <c r="F211" s="14" t="s">
        <v>20</v>
      </c>
      <c r="G211" s="16">
        <v>43.14</v>
      </c>
    </row>
    <row r="212" spans="1:7" x14ac:dyDescent="0.25">
      <c r="A212" s="13" t="s">
        <v>2827</v>
      </c>
      <c r="B212" s="13">
        <v>2102</v>
      </c>
      <c r="C212" s="14" t="str">
        <f>+VLOOKUP(B212,[1]LISTE!$A$1:$D$431,4,FALSE)</f>
        <v>BENAMER MARWA</v>
      </c>
      <c r="D212" s="14" t="s">
        <v>190</v>
      </c>
      <c r="E212" s="15">
        <v>45959</v>
      </c>
      <c r="F212" s="14" t="s">
        <v>18</v>
      </c>
      <c r="G212" s="16">
        <v>60</v>
      </c>
    </row>
    <row r="213" spans="1:7" x14ac:dyDescent="0.25">
      <c r="A213" s="13" t="s">
        <v>2827</v>
      </c>
      <c r="B213" s="13">
        <v>2102</v>
      </c>
      <c r="C213" s="14" t="str">
        <f>+VLOOKUP(B213,[1]LISTE!$A$1:$D$431,4,FALSE)</f>
        <v>BENAMER MARWA</v>
      </c>
      <c r="D213" s="14" t="s">
        <v>190</v>
      </c>
      <c r="E213" s="15">
        <v>45959</v>
      </c>
      <c r="F213" s="14" t="s">
        <v>20</v>
      </c>
      <c r="G213" s="16">
        <v>16.914999999999999</v>
      </c>
    </row>
    <row r="214" spans="1:7" x14ac:dyDescent="0.25">
      <c r="A214" s="13" t="s">
        <v>2914</v>
      </c>
      <c r="B214" s="13">
        <v>2102</v>
      </c>
      <c r="C214" s="14" t="str">
        <f>+VLOOKUP(B214,[1]LISTE!$A$1:$D$431,4,FALSE)</f>
        <v>BENAMER MARWA</v>
      </c>
      <c r="D214" s="14" t="s">
        <v>22</v>
      </c>
      <c r="E214" s="15">
        <v>45955</v>
      </c>
      <c r="F214" s="14" t="s">
        <v>23</v>
      </c>
      <c r="G214" s="16">
        <v>40</v>
      </c>
    </row>
    <row r="215" spans="1:7" x14ac:dyDescent="0.25">
      <c r="A215" s="13" t="s">
        <v>2914</v>
      </c>
      <c r="B215" s="13">
        <v>2102</v>
      </c>
      <c r="C215" s="14" t="str">
        <f>+VLOOKUP(B215,[1]LISTE!$A$1:$D$431,4,FALSE)</f>
        <v>BENAMER MARWA</v>
      </c>
      <c r="D215" s="14" t="s">
        <v>22</v>
      </c>
      <c r="E215" s="15">
        <v>45971</v>
      </c>
      <c r="F215" s="14" t="s">
        <v>23</v>
      </c>
      <c r="G215" s="16">
        <v>25</v>
      </c>
    </row>
    <row r="216" spans="1:7" x14ac:dyDescent="0.25">
      <c r="A216" s="13" t="s">
        <v>2914</v>
      </c>
      <c r="B216" s="13">
        <v>2102</v>
      </c>
      <c r="C216" s="14" t="str">
        <f>+VLOOKUP(B216,[1]LISTE!$A$1:$D$431,4,FALSE)</f>
        <v>BENAMER MARWA</v>
      </c>
      <c r="D216" s="14" t="s">
        <v>22</v>
      </c>
      <c r="E216" s="15">
        <v>45971</v>
      </c>
      <c r="F216" s="14" t="s">
        <v>20</v>
      </c>
      <c r="G216" s="16">
        <v>50.05</v>
      </c>
    </row>
    <row r="217" spans="1:7" x14ac:dyDescent="0.25">
      <c r="A217" s="13" t="s">
        <v>2834</v>
      </c>
      <c r="B217" s="13">
        <v>2128</v>
      </c>
      <c r="C217" s="14" t="str">
        <f>+VLOOKUP(B217,[1]LISTE!$A$1:$D$431,4,FALSE)</f>
        <v>ILYES DHIFALLAH</v>
      </c>
      <c r="D217" s="14" t="s">
        <v>744</v>
      </c>
      <c r="E217" s="15">
        <v>45962</v>
      </c>
      <c r="F217" s="14" t="s">
        <v>18</v>
      </c>
      <c r="G217" s="16">
        <v>70</v>
      </c>
    </row>
    <row r="218" spans="1:7" x14ac:dyDescent="0.25">
      <c r="A218" s="13" t="s">
        <v>2834</v>
      </c>
      <c r="B218" s="13">
        <v>2128</v>
      </c>
      <c r="C218" s="14" t="str">
        <f>+VLOOKUP(B218,[1]LISTE!$A$1:$D$431,4,FALSE)</f>
        <v>ILYES DHIFALLAH</v>
      </c>
      <c r="D218" s="14" t="s">
        <v>744</v>
      </c>
      <c r="E218" s="15">
        <v>45962</v>
      </c>
      <c r="F218" s="14" t="s">
        <v>69</v>
      </c>
      <c r="G218" s="16">
        <v>510</v>
      </c>
    </row>
    <row r="219" spans="1:7" x14ac:dyDescent="0.25">
      <c r="A219" s="13" t="s">
        <v>2835</v>
      </c>
      <c r="B219" s="13">
        <v>2128</v>
      </c>
      <c r="C219" s="14" t="str">
        <f>+VLOOKUP(B219,[1]LISTE!$A$1:$D$431,4,FALSE)</f>
        <v>ILYES DHIFALLAH</v>
      </c>
      <c r="D219" s="14" t="s">
        <v>22</v>
      </c>
      <c r="E219" s="15">
        <v>45962</v>
      </c>
      <c r="F219" s="14" t="s">
        <v>18</v>
      </c>
      <c r="G219" s="16">
        <v>70</v>
      </c>
    </row>
    <row r="220" spans="1:7" x14ac:dyDescent="0.25">
      <c r="A220" s="13" t="s">
        <v>2835</v>
      </c>
      <c r="B220" s="13">
        <v>2128</v>
      </c>
      <c r="C220" s="14" t="str">
        <f>+VLOOKUP(B220,[1]LISTE!$A$1:$D$431,4,FALSE)</f>
        <v>ILYES DHIFALLAH</v>
      </c>
      <c r="D220" s="14" t="s">
        <v>22</v>
      </c>
      <c r="E220" s="15">
        <v>45962</v>
      </c>
      <c r="F220" s="14" t="s">
        <v>69</v>
      </c>
      <c r="G220" s="16">
        <v>580</v>
      </c>
    </row>
    <row r="221" spans="1:7" x14ac:dyDescent="0.25">
      <c r="A221" s="13" t="s">
        <v>2863</v>
      </c>
      <c r="B221" s="13">
        <v>2128</v>
      </c>
      <c r="C221" s="14" t="str">
        <f>+VLOOKUP(B221,[1]LISTE!$A$1:$D$431,4,FALSE)</f>
        <v>ILYES DHIFALLAH</v>
      </c>
      <c r="D221" s="14" t="s">
        <v>744</v>
      </c>
      <c r="E221" s="15">
        <v>45967</v>
      </c>
      <c r="F221" s="14" t="s">
        <v>18</v>
      </c>
      <c r="G221" s="16">
        <v>70</v>
      </c>
    </row>
    <row r="222" spans="1:7" x14ac:dyDescent="0.25">
      <c r="A222" s="13" t="s">
        <v>2863</v>
      </c>
      <c r="B222" s="13">
        <v>2128</v>
      </c>
      <c r="C222" s="14" t="str">
        <f>+VLOOKUP(B222,[1]LISTE!$A$1:$D$431,4,FALSE)</f>
        <v>ILYES DHIFALLAH</v>
      </c>
      <c r="D222" s="14" t="s">
        <v>744</v>
      </c>
      <c r="E222" s="15">
        <v>45967</v>
      </c>
      <c r="F222" s="14" t="s">
        <v>19</v>
      </c>
      <c r="G222" s="16">
        <v>159.30000000000001</v>
      </c>
    </row>
    <row r="223" spans="1:7" x14ac:dyDescent="0.25">
      <c r="A223" s="13" t="s">
        <v>2863</v>
      </c>
      <c r="B223" s="13">
        <v>2128</v>
      </c>
      <c r="C223" s="14" t="str">
        <f>+VLOOKUP(B223,[1]LISTE!$A$1:$D$431,4,FALSE)</f>
        <v>ILYES DHIFALLAH</v>
      </c>
      <c r="D223" s="14" t="s">
        <v>744</v>
      </c>
      <c r="E223" s="15">
        <v>45968</v>
      </c>
      <c r="F223" s="14" t="s">
        <v>20</v>
      </c>
      <c r="G223" s="16">
        <v>84.912999999999997</v>
      </c>
    </row>
    <row r="224" spans="1:7" x14ac:dyDescent="0.25">
      <c r="A224" s="13" t="s">
        <v>2777</v>
      </c>
      <c r="B224" s="13">
        <v>2137</v>
      </c>
      <c r="C224" s="14" t="str">
        <f>+VLOOKUP(B224,[1]LISTE!$A$1:$D$431,4,FALSE)</f>
        <v>MOHAMED BOUZAMOUCHA</v>
      </c>
      <c r="D224" s="14" t="s">
        <v>22</v>
      </c>
      <c r="E224" s="15">
        <v>45953</v>
      </c>
      <c r="F224" s="14" t="s">
        <v>23</v>
      </c>
      <c r="G224" s="16">
        <v>40</v>
      </c>
    </row>
    <row r="225" spans="1:7" x14ac:dyDescent="0.25">
      <c r="A225" s="13" t="s">
        <v>2777</v>
      </c>
      <c r="B225" s="13">
        <v>2137</v>
      </c>
      <c r="C225" s="14" t="str">
        <f>+VLOOKUP(B225,[1]LISTE!$A$1:$D$431,4,FALSE)</f>
        <v>MOHAMED BOUZAMOUCHA</v>
      </c>
      <c r="D225" s="14" t="s">
        <v>22</v>
      </c>
      <c r="E225" s="15">
        <v>45959</v>
      </c>
      <c r="F225" s="14" t="s">
        <v>20</v>
      </c>
      <c r="G225" s="16">
        <v>11.615</v>
      </c>
    </row>
    <row r="226" spans="1:7" x14ac:dyDescent="0.25">
      <c r="A226" s="13" t="s">
        <v>2777</v>
      </c>
      <c r="B226" s="13">
        <v>2137</v>
      </c>
      <c r="C226" s="14" t="str">
        <f>+VLOOKUP(B226,[1]LISTE!$A$1:$D$431,4,FALSE)</f>
        <v>MOHAMED BOUZAMOUCHA</v>
      </c>
      <c r="D226" s="14" t="s">
        <v>22</v>
      </c>
      <c r="E226" s="15">
        <v>45959</v>
      </c>
      <c r="F226" s="14" t="s">
        <v>25</v>
      </c>
      <c r="G226" s="16">
        <v>400</v>
      </c>
    </row>
    <row r="227" spans="1:7" x14ac:dyDescent="0.25">
      <c r="A227" s="13" t="s">
        <v>2883</v>
      </c>
      <c r="B227" s="13">
        <v>2137</v>
      </c>
      <c r="C227" s="14" t="str">
        <f>+VLOOKUP(B227,[1]LISTE!$A$1:$D$431,4,FALSE)</f>
        <v>MOHAMED BOUZAMOUCHA</v>
      </c>
      <c r="D227" s="14" t="s">
        <v>22</v>
      </c>
      <c r="E227" s="15">
        <v>45964</v>
      </c>
      <c r="F227" s="14" t="s">
        <v>23</v>
      </c>
      <c r="G227" s="16">
        <v>50</v>
      </c>
    </row>
    <row r="228" spans="1:7" x14ac:dyDescent="0.25">
      <c r="A228" s="13" t="s">
        <v>2883</v>
      </c>
      <c r="B228" s="13">
        <v>2137</v>
      </c>
      <c r="C228" s="14" t="str">
        <f>+VLOOKUP(B228,[1]LISTE!$A$1:$D$431,4,FALSE)</f>
        <v>MOHAMED BOUZAMOUCHA</v>
      </c>
      <c r="D228" s="14" t="s">
        <v>22</v>
      </c>
      <c r="E228" s="15">
        <v>45964</v>
      </c>
      <c r="F228" s="14" t="s">
        <v>20</v>
      </c>
      <c r="G228" s="16">
        <v>21.055</v>
      </c>
    </row>
    <row r="229" spans="1:7" x14ac:dyDescent="0.25">
      <c r="A229" s="13" t="s">
        <v>2767</v>
      </c>
      <c r="B229" s="13">
        <v>2148</v>
      </c>
      <c r="C229" s="14" t="str">
        <f>+VLOOKUP(B229,[1]LISTE!$A$1:$D$431,4,FALSE)</f>
        <v>CHIHI HOUSSEM</v>
      </c>
      <c r="D229" s="14" t="s">
        <v>22</v>
      </c>
      <c r="E229" s="15">
        <v>45959</v>
      </c>
      <c r="F229" s="14" t="s">
        <v>23</v>
      </c>
      <c r="G229" s="16">
        <v>50</v>
      </c>
    </row>
    <row r="230" spans="1:7" x14ac:dyDescent="0.25">
      <c r="A230" s="13" t="s">
        <v>2767</v>
      </c>
      <c r="B230" s="13">
        <v>2148</v>
      </c>
      <c r="C230" s="14" t="str">
        <f>+VLOOKUP(B230,[1]LISTE!$A$1:$D$431,4,FALSE)</f>
        <v>CHIHI HOUSSEM</v>
      </c>
      <c r="D230" s="15" t="s">
        <v>22</v>
      </c>
      <c r="E230" s="15">
        <v>45959</v>
      </c>
      <c r="F230" s="14" t="s">
        <v>20</v>
      </c>
      <c r="G230" s="16">
        <v>33.814999999999998</v>
      </c>
    </row>
    <row r="231" spans="1:7" x14ac:dyDescent="0.25">
      <c r="A231" s="13" t="s">
        <v>2767</v>
      </c>
      <c r="B231" s="13">
        <v>2148</v>
      </c>
      <c r="C231" s="14" t="str">
        <f>+VLOOKUP(B231,[1]LISTE!$A$1:$D$431,4,FALSE)</f>
        <v>CHIHI HOUSSEM</v>
      </c>
      <c r="D231" s="14" t="s">
        <v>22</v>
      </c>
      <c r="E231" s="15">
        <v>45959</v>
      </c>
      <c r="F231" s="14" t="s">
        <v>21</v>
      </c>
      <c r="G231" s="16">
        <v>60</v>
      </c>
    </row>
    <row r="232" spans="1:7" x14ac:dyDescent="0.25">
      <c r="A232" s="13" t="s">
        <v>2822</v>
      </c>
      <c r="B232" s="13">
        <v>2148</v>
      </c>
      <c r="C232" s="14" t="str">
        <f>+VLOOKUP(B232,[1]LISTE!$A$1:$D$431,4,FALSE)</f>
        <v>CHIHI HOUSSEM</v>
      </c>
      <c r="D232" s="15" t="s">
        <v>327</v>
      </c>
      <c r="E232" s="15">
        <v>45962</v>
      </c>
      <c r="F232" s="14" t="s">
        <v>18</v>
      </c>
      <c r="G232" s="16">
        <v>70</v>
      </c>
    </row>
    <row r="233" spans="1:7" x14ac:dyDescent="0.25">
      <c r="A233" s="13" t="s">
        <v>2822</v>
      </c>
      <c r="B233" s="13">
        <v>2148</v>
      </c>
      <c r="C233" s="14" t="str">
        <f>+VLOOKUP(B233,[1]LISTE!$A$1:$D$431,4,FALSE)</f>
        <v>CHIHI HOUSSEM</v>
      </c>
      <c r="D233" s="14" t="s">
        <v>327</v>
      </c>
      <c r="E233" s="15">
        <v>45959</v>
      </c>
      <c r="F233" s="14" t="s">
        <v>19</v>
      </c>
      <c r="G233" s="16">
        <v>48.15</v>
      </c>
    </row>
    <row r="234" spans="1:7" x14ac:dyDescent="0.25">
      <c r="A234" s="13" t="s">
        <v>2822</v>
      </c>
      <c r="B234" s="13">
        <v>2148</v>
      </c>
      <c r="C234" s="14" t="str">
        <f>+VLOOKUP(B234,[1]LISTE!$A$1:$D$431,4,FALSE)</f>
        <v>CHIHI HOUSSEM</v>
      </c>
      <c r="D234" s="14" t="s">
        <v>327</v>
      </c>
      <c r="E234" s="15">
        <v>45962</v>
      </c>
      <c r="F234" s="14" t="s">
        <v>20</v>
      </c>
      <c r="G234" s="16">
        <v>65.468999999999994</v>
      </c>
    </row>
    <row r="235" spans="1:7" x14ac:dyDescent="0.25">
      <c r="A235" s="13" t="s">
        <v>2792</v>
      </c>
      <c r="B235" s="13">
        <v>2210</v>
      </c>
      <c r="C235" s="14" t="s">
        <v>1818</v>
      </c>
      <c r="D235" s="14" t="s">
        <v>2793</v>
      </c>
      <c r="E235" s="15">
        <v>45955</v>
      </c>
      <c r="F235" s="14" t="s">
        <v>18</v>
      </c>
      <c r="G235" s="16">
        <v>70</v>
      </c>
    </row>
    <row r="236" spans="1:7" x14ac:dyDescent="0.25">
      <c r="A236" s="13" t="s">
        <v>2792</v>
      </c>
      <c r="B236" s="13">
        <v>2210</v>
      </c>
      <c r="C236" s="14" t="s">
        <v>1818</v>
      </c>
      <c r="D236" s="14" t="s">
        <v>2793</v>
      </c>
      <c r="E236" s="15">
        <v>45955</v>
      </c>
      <c r="F236" s="14" t="s">
        <v>20</v>
      </c>
      <c r="G236" s="16">
        <v>116.735</v>
      </c>
    </row>
    <row r="237" spans="1:7" x14ac:dyDescent="0.25">
      <c r="A237" s="13" t="s">
        <v>2853</v>
      </c>
      <c r="B237" s="13">
        <v>2210</v>
      </c>
      <c r="C237" s="14" t="s">
        <v>1818</v>
      </c>
      <c r="D237" s="14" t="s">
        <v>22</v>
      </c>
      <c r="E237" s="15">
        <v>45950</v>
      </c>
      <c r="F237" s="14" t="s">
        <v>18</v>
      </c>
      <c r="G237" s="16">
        <v>70</v>
      </c>
    </row>
    <row r="238" spans="1:7" x14ac:dyDescent="0.25">
      <c r="A238" s="13" t="s">
        <v>2853</v>
      </c>
      <c r="B238" s="13">
        <v>2210</v>
      </c>
      <c r="C238" s="14" t="s">
        <v>1818</v>
      </c>
      <c r="D238" s="14" t="s">
        <v>22</v>
      </c>
      <c r="E238" s="15">
        <v>45950</v>
      </c>
      <c r="F238" s="14" t="s">
        <v>19</v>
      </c>
      <c r="G238" s="16">
        <v>15.943</v>
      </c>
    </row>
    <row r="239" spans="1:7" x14ac:dyDescent="0.25">
      <c r="A239" s="13" t="s">
        <v>2853</v>
      </c>
      <c r="B239" s="13">
        <v>2210</v>
      </c>
      <c r="C239" s="14" t="s">
        <v>1818</v>
      </c>
      <c r="D239" s="14" t="s">
        <v>22</v>
      </c>
      <c r="E239" s="15">
        <v>45965</v>
      </c>
      <c r="F239" s="14" t="s">
        <v>20</v>
      </c>
      <c r="G239" s="16">
        <v>47.52</v>
      </c>
    </row>
    <row r="240" spans="1:7" x14ac:dyDescent="0.25">
      <c r="A240" s="13" t="s">
        <v>2824</v>
      </c>
      <c r="B240" s="13">
        <v>2227</v>
      </c>
      <c r="C240" s="14" t="s">
        <v>1397</v>
      </c>
      <c r="D240" s="14" t="s">
        <v>22</v>
      </c>
      <c r="E240" s="15">
        <v>45958</v>
      </c>
      <c r="F240" s="14" t="s">
        <v>23</v>
      </c>
      <c r="G240" s="16">
        <v>45</v>
      </c>
    </row>
    <row r="241" spans="1:7" x14ac:dyDescent="0.25">
      <c r="A241" s="13" t="s">
        <v>2824</v>
      </c>
      <c r="B241" s="13">
        <v>2227</v>
      </c>
      <c r="C241" s="14" t="s">
        <v>1397</v>
      </c>
      <c r="D241" s="14" t="s">
        <v>22</v>
      </c>
      <c r="E241" s="15">
        <v>45960</v>
      </c>
      <c r="F241" s="14" t="s">
        <v>20</v>
      </c>
      <c r="G241" s="16">
        <v>16.989999999999998</v>
      </c>
    </row>
    <row r="242" spans="1:7" x14ac:dyDescent="0.25">
      <c r="A242" s="13" t="s">
        <v>2824</v>
      </c>
      <c r="B242" s="13">
        <v>2227</v>
      </c>
      <c r="C242" s="14" t="s">
        <v>1397</v>
      </c>
      <c r="D242" s="14" t="s">
        <v>22</v>
      </c>
      <c r="E242" s="15">
        <v>45958</v>
      </c>
      <c r="F242" s="14" t="s">
        <v>21</v>
      </c>
      <c r="G242" s="16">
        <v>35</v>
      </c>
    </row>
    <row r="243" spans="1:7" x14ac:dyDescent="0.25">
      <c r="A243" s="13" t="s">
        <v>2898</v>
      </c>
      <c r="B243" s="13">
        <v>2236</v>
      </c>
      <c r="C243" s="14" t="s">
        <v>336</v>
      </c>
      <c r="D243" s="15" t="s">
        <v>22</v>
      </c>
      <c r="E243" s="15">
        <v>45964</v>
      </c>
      <c r="F243" s="14" t="s">
        <v>23</v>
      </c>
      <c r="G243" s="16">
        <v>40</v>
      </c>
    </row>
    <row r="244" spans="1:7" x14ac:dyDescent="0.25">
      <c r="A244" s="13" t="s">
        <v>2898</v>
      </c>
      <c r="B244" s="13">
        <v>2236</v>
      </c>
      <c r="C244" s="14" t="s">
        <v>336</v>
      </c>
      <c r="D244" s="15" t="s">
        <v>22</v>
      </c>
      <c r="E244" s="15">
        <v>45964</v>
      </c>
      <c r="F244" s="14" t="s">
        <v>20</v>
      </c>
      <c r="G244" s="16">
        <v>5.8</v>
      </c>
    </row>
    <row r="245" spans="1:7" x14ac:dyDescent="0.25">
      <c r="A245" s="13" t="s">
        <v>2898</v>
      </c>
      <c r="B245" s="13">
        <v>2236</v>
      </c>
      <c r="C245" s="14" t="s">
        <v>336</v>
      </c>
      <c r="D245" s="15" t="s">
        <v>22</v>
      </c>
      <c r="E245" s="15">
        <v>45969</v>
      </c>
      <c r="F245" s="14" t="s">
        <v>20</v>
      </c>
      <c r="G245" s="16">
        <v>33.674999999999997</v>
      </c>
    </row>
    <row r="246" spans="1:7" x14ac:dyDescent="0.25">
      <c r="A246" s="13" t="s">
        <v>2791</v>
      </c>
      <c r="B246" s="13">
        <v>2271</v>
      </c>
      <c r="C246" s="14" t="s">
        <v>27</v>
      </c>
      <c r="D246" s="14" t="s">
        <v>63</v>
      </c>
      <c r="E246" s="15">
        <v>45951</v>
      </c>
      <c r="F246" s="14" t="s">
        <v>18</v>
      </c>
      <c r="G246" s="16">
        <v>60</v>
      </c>
    </row>
    <row r="247" spans="1:7" x14ac:dyDescent="0.25">
      <c r="A247" s="13" t="s">
        <v>2791</v>
      </c>
      <c r="B247" s="13">
        <v>2271</v>
      </c>
      <c r="C247" s="14" t="s">
        <v>27</v>
      </c>
      <c r="D247" s="14" t="s">
        <v>63</v>
      </c>
      <c r="E247" s="15">
        <v>45950</v>
      </c>
      <c r="F247" s="14" t="s">
        <v>20</v>
      </c>
      <c r="G247" s="16">
        <v>36.020000000000003</v>
      </c>
    </row>
    <row r="248" spans="1:7" x14ac:dyDescent="0.25">
      <c r="A248" s="13" t="s">
        <v>2855</v>
      </c>
      <c r="B248" s="13">
        <v>2271</v>
      </c>
      <c r="C248" s="14" t="s">
        <v>27</v>
      </c>
      <c r="D248" s="14" t="s">
        <v>63</v>
      </c>
      <c r="E248" s="15">
        <v>45966</v>
      </c>
      <c r="F248" s="14" t="s">
        <v>18</v>
      </c>
      <c r="G248" s="16">
        <v>60</v>
      </c>
    </row>
    <row r="249" spans="1:7" x14ac:dyDescent="0.25">
      <c r="A249" s="13" t="s">
        <v>2855</v>
      </c>
      <c r="B249" s="13">
        <v>2271</v>
      </c>
      <c r="C249" s="14" t="s">
        <v>27</v>
      </c>
      <c r="D249" s="14" t="s">
        <v>63</v>
      </c>
      <c r="E249" s="15">
        <v>45966</v>
      </c>
      <c r="F249" s="14" t="s">
        <v>20</v>
      </c>
      <c r="G249" s="16">
        <v>3.29</v>
      </c>
    </row>
    <row r="250" spans="1:7" x14ac:dyDescent="0.25">
      <c r="A250" s="13" t="s">
        <v>2794</v>
      </c>
      <c r="B250" s="13">
        <v>2312</v>
      </c>
      <c r="C250" s="14" t="s">
        <v>398</v>
      </c>
      <c r="D250" s="14" t="s">
        <v>327</v>
      </c>
      <c r="E250" s="15">
        <v>45957</v>
      </c>
      <c r="F250" s="14" t="s">
        <v>23</v>
      </c>
      <c r="G250" s="16">
        <v>3</v>
      </c>
    </row>
    <row r="251" spans="1:7" x14ac:dyDescent="0.25">
      <c r="A251" s="13" t="s">
        <v>2794</v>
      </c>
      <c r="B251" s="13">
        <v>2312</v>
      </c>
      <c r="C251" s="14" t="s">
        <v>398</v>
      </c>
      <c r="D251" s="14" t="s">
        <v>327</v>
      </c>
      <c r="E251" s="15">
        <v>45957</v>
      </c>
      <c r="F251" s="14" t="s">
        <v>20</v>
      </c>
      <c r="G251" s="16">
        <v>24.65</v>
      </c>
    </row>
    <row r="252" spans="1:7" x14ac:dyDescent="0.25">
      <c r="A252" s="13" t="s">
        <v>2832</v>
      </c>
      <c r="B252" s="13">
        <v>2351</v>
      </c>
      <c r="C252" s="14" t="s">
        <v>2833</v>
      </c>
      <c r="D252" s="14" t="s">
        <v>22</v>
      </c>
      <c r="E252" s="15">
        <v>45959</v>
      </c>
      <c r="F252" s="14" t="s">
        <v>18</v>
      </c>
      <c r="G252" s="16">
        <v>70</v>
      </c>
    </row>
    <row r="253" spans="1:7" x14ac:dyDescent="0.25">
      <c r="A253" s="13" t="s">
        <v>2832</v>
      </c>
      <c r="B253" s="13">
        <v>2351</v>
      </c>
      <c r="C253" s="14" t="s">
        <v>2833</v>
      </c>
      <c r="D253" s="14" t="s">
        <v>22</v>
      </c>
      <c r="E253" s="15">
        <v>45959</v>
      </c>
      <c r="F253" s="14" t="s">
        <v>20</v>
      </c>
      <c r="G253" s="16">
        <v>39.932000000000002</v>
      </c>
    </row>
    <row r="254" spans="1:7" x14ac:dyDescent="0.25">
      <c r="A254" s="13" t="s">
        <v>2856</v>
      </c>
      <c r="B254" s="13">
        <v>2363</v>
      </c>
      <c r="C254" s="14" t="s">
        <v>1599</v>
      </c>
      <c r="D254" s="14" t="s">
        <v>22</v>
      </c>
      <c r="E254" s="15">
        <v>45959</v>
      </c>
      <c r="F254" s="14" t="s">
        <v>18</v>
      </c>
      <c r="G254" s="16">
        <v>70</v>
      </c>
    </row>
    <row r="255" spans="1:7" x14ac:dyDescent="0.25">
      <c r="A255" s="13" t="s">
        <v>2856</v>
      </c>
      <c r="B255" s="13">
        <v>2363</v>
      </c>
      <c r="C255" s="14" t="s">
        <v>1599</v>
      </c>
      <c r="D255" s="14" t="s">
        <v>22</v>
      </c>
      <c r="E255" s="15">
        <v>45964</v>
      </c>
      <c r="F255" s="14" t="s">
        <v>19</v>
      </c>
      <c r="G255" s="16">
        <v>32.33</v>
      </c>
    </row>
    <row r="256" spans="1:7" x14ac:dyDescent="0.25">
      <c r="A256" s="13" t="s">
        <v>2856</v>
      </c>
      <c r="B256" s="13">
        <v>2363</v>
      </c>
      <c r="C256" s="14" t="s">
        <v>1599</v>
      </c>
      <c r="D256" s="14" t="s">
        <v>22</v>
      </c>
      <c r="E256" s="15">
        <v>45964</v>
      </c>
      <c r="F256" s="14" t="s">
        <v>21</v>
      </c>
      <c r="G256" s="16">
        <v>150</v>
      </c>
    </row>
    <row r="257" spans="1:7" x14ac:dyDescent="0.25">
      <c r="A257" s="13" t="s">
        <v>2892</v>
      </c>
      <c r="B257" s="13">
        <v>2380</v>
      </c>
      <c r="C257" s="14" t="s">
        <v>1462</v>
      </c>
      <c r="D257" s="15" t="s">
        <v>22</v>
      </c>
      <c r="E257" s="15">
        <v>45964</v>
      </c>
      <c r="F257" s="14" t="s">
        <v>18</v>
      </c>
      <c r="G257" s="16">
        <v>70</v>
      </c>
    </row>
    <row r="258" spans="1:7" x14ac:dyDescent="0.25">
      <c r="A258" s="13" t="s">
        <v>2892</v>
      </c>
      <c r="B258" s="13">
        <v>2380</v>
      </c>
      <c r="C258" s="14" t="s">
        <v>1462</v>
      </c>
      <c r="D258" s="15" t="s">
        <v>22</v>
      </c>
      <c r="E258" s="15">
        <v>45964</v>
      </c>
      <c r="F258" s="14" t="s">
        <v>20</v>
      </c>
      <c r="G258" s="16">
        <v>22.06</v>
      </c>
    </row>
    <row r="259" spans="1:7" x14ac:dyDescent="0.25">
      <c r="A259" s="13" t="s">
        <v>2892</v>
      </c>
      <c r="B259" s="13">
        <v>2380</v>
      </c>
      <c r="C259" s="14" t="s">
        <v>1462</v>
      </c>
      <c r="D259" s="15" t="s">
        <v>22</v>
      </c>
      <c r="E259" s="15">
        <v>45964</v>
      </c>
      <c r="F259" s="14" t="s">
        <v>21</v>
      </c>
      <c r="G259" s="16">
        <v>160</v>
      </c>
    </row>
    <row r="260" spans="1:7" x14ac:dyDescent="0.25">
      <c r="A260" s="13" t="s">
        <v>2902</v>
      </c>
      <c r="B260" s="13">
        <v>2392</v>
      </c>
      <c r="C260" s="14" t="s">
        <v>2903</v>
      </c>
      <c r="D260" s="15" t="s">
        <v>22</v>
      </c>
      <c r="E260" s="15">
        <v>45971</v>
      </c>
      <c r="F260" s="14" t="s">
        <v>23</v>
      </c>
      <c r="G260" s="16">
        <v>50</v>
      </c>
    </row>
    <row r="261" spans="1:7" x14ac:dyDescent="0.25">
      <c r="A261" s="13" t="s">
        <v>2902</v>
      </c>
      <c r="B261" s="13">
        <v>2392</v>
      </c>
      <c r="C261" s="14" t="s">
        <v>2903</v>
      </c>
      <c r="D261" s="15" t="s">
        <v>22</v>
      </c>
      <c r="E261" s="15">
        <v>45971</v>
      </c>
      <c r="F261" s="14" t="s">
        <v>20</v>
      </c>
      <c r="G261" s="16">
        <v>22.87</v>
      </c>
    </row>
    <row r="262" spans="1:7" x14ac:dyDescent="0.25">
      <c r="A262" s="13" t="s">
        <v>2893</v>
      </c>
      <c r="B262" s="13">
        <v>2427</v>
      </c>
      <c r="C262" s="14" t="s">
        <v>2894</v>
      </c>
      <c r="D262" s="15" t="s">
        <v>22</v>
      </c>
      <c r="E262" s="15">
        <v>45965</v>
      </c>
      <c r="F262" s="14" t="s">
        <v>18</v>
      </c>
      <c r="G262" s="16">
        <v>70</v>
      </c>
    </row>
    <row r="263" spans="1:7" x14ac:dyDescent="0.25">
      <c r="A263" s="13" t="s">
        <v>2893</v>
      </c>
      <c r="B263" s="13">
        <v>2427</v>
      </c>
      <c r="C263" s="14" t="s">
        <v>2894</v>
      </c>
      <c r="D263" s="15" t="s">
        <v>22</v>
      </c>
      <c r="E263" s="15">
        <v>45967</v>
      </c>
      <c r="F263" s="14" t="s">
        <v>69</v>
      </c>
      <c r="G263" s="16">
        <v>600</v>
      </c>
    </row>
    <row r="264" spans="1:7" x14ac:dyDescent="0.25">
      <c r="A264" s="13" t="s">
        <v>2770</v>
      </c>
      <c r="B264" s="13">
        <v>2486</v>
      </c>
      <c r="C264" s="14" t="s">
        <v>2771</v>
      </c>
      <c r="D264" s="14" t="s">
        <v>22</v>
      </c>
      <c r="E264" s="15">
        <v>45957</v>
      </c>
      <c r="F264" s="14" t="s">
        <v>20</v>
      </c>
      <c r="G264" s="16">
        <v>68.274000000000001</v>
      </c>
    </row>
    <row r="265" spans="1:7" x14ac:dyDescent="0.25">
      <c r="A265" s="13" t="s">
        <v>2858</v>
      </c>
      <c r="B265" s="13">
        <v>2486</v>
      </c>
      <c r="C265" s="14" t="s">
        <v>2771</v>
      </c>
      <c r="D265" s="15" t="s">
        <v>22</v>
      </c>
      <c r="E265" s="15">
        <v>45964</v>
      </c>
      <c r="F265" s="14" t="s">
        <v>23</v>
      </c>
      <c r="G265" s="16">
        <v>3</v>
      </c>
    </row>
    <row r="266" spans="1:7" x14ac:dyDescent="0.25">
      <c r="A266" s="13" t="s">
        <v>2858</v>
      </c>
      <c r="B266" s="13">
        <v>2486</v>
      </c>
      <c r="C266" s="14" t="s">
        <v>2771</v>
      </c>
      <c r="D266" s="14" t="s">
        <v>22</v>
      </c>
      <c r="E266" s="15">
        <v>45964</v>
      </c>
      <c r="F266" s="14" t="s">
        <v>20</v>
      </c>
      <c r="G266" s="16">
        <v>34.450000000000003</v>
      </c>
    </row>
    <row r="267" spans="1:7" x14ac:dyDescent="0.25">
      <c r="A267" s="13" t="s">
        <v>2910</v>
      </c>
      <c r="B267" s="13">
        <v>2486</v>
      </c>
      <c r="C267" s="14" t="s">
        <v>2771</v>
      </c>
      <c r="D267" s="15" t="s">
        <v>22</v>
      </c>
      <c r="E267" s="15">
        <v>45964</v>
      </c>
      <c r="F267" s="14" t="s">
        <v>18</v>
      </c>
      <c r="G267" s="16">
        <v>60</v>
      </c>
    </row>
    <row r="268" spans="1:7" x14ac:dyDescent="0.25">
      <c r="A268" s="13" t="s">
        <v>2910</v>
      </c>
      <c r="B268" s="13">
        <v>2486</v>
      </c>
      <c r="C268" s="14" t="s">
        <v>2771</v>
      </c>
      <c r="D268" s="15" t="s">
        <v>22</v>
      </c>
      <c r="E268" s="15">
        <v>45965</v>
      </c>
      <c r="F268" s="14" t="s">
        <v>19</v>
      </c>
      <c r="G268" s="16">
        <v>72.349999999999994</v>
      </c>
    </row>
    <row r="269" spans="1:7" x14ac:dyDescent="0.25">
      <c r="A269" s="13" t="s">
        <v>2789</v>
      </c>
      <c r="B269" s="13">
        <v>2516</v>
      </c>
      <c r="C269" s="14" t="s">
        <v>1199</v>
      </c>
      <c r="D269" s="14" t="s">
        <v>22</v>
      </c>
      <c r="E269" s="15">
        <v>45958</v>
      </c>
      <c r="F269" s="14" t="s">
        <v>23</v>
      </c>
      <c r="G269" s="16">
        <v>40</v>
      </c>
    </row>
    <row r="270" spans="1:7" x14ac:dyDescent="0.25">
      <c r="A270" s="13" t="s">
        <v>2789</v>
      </c>
      <c r="B270" s="13">
        <v>2516</v>
      </c>
      <c r="C270" s="14" t="s">
        <v>1199</v>
      </c>
      <c r="D270" s="15" t="s">
        <v>22</v>
      </c>
      <c r="E270" s="15">
        <v>45958</v>
      </c>
      <c r="F270" s="14" t="s">
        <v>20</v>
      </c>
      <c r="G270" s="16">
        <v>56.57</v>
      </c>
    </row>
    <row r="271" spans="1:7" x14ac:dyDescent="0.25">
      <c r="A271" s="13" t="s">
        <v>2766</v>
      </c>
      <c r="B271" s="13">
        <v>2517</v>
      </c>
      <c r="C271" s="14" t="s">
        <v>97</v>
      </c>
      <c r="D271" s="14" t="s">
        <v>98</v>
      </c>
      <c r="E271" s="15">
        <v>45958</v>
      </c>
      <c r="F271" s="14" t="s">
        <v>18</v>
      </c>
      <c r="G271" s="16">
        <v>70</v>
      </c>
    </row>
    <row r="272" spans="1:7" x14ac:dyDescent="0.25">
      <c r="A272" s="13" t="s">
        <v>2766</v>
      </c>
      <c r="B272" s="13">
        <v>2517</v>
      </c>
      <c r="C272" s="14" t="s">
        <v>97</v>
      </c>
      <c r="D272" s="14" t="s">
        <v>98</v>
      </c>
      <c r="E272" s="15">
        <v>45958</v>
      </c>
      <c r="F272" s="14" t="s">
        <v>20</v>
      </c>
      <c r="G272" s="16">
        <v>9.2720000000000002</v>
      </c>
    </row>
    <row r="273" spans="1:7" x14ac:dyDescent="0.25">
      <c r="A273" s="13" t="s">
        <v>2841</v>
      </c>
      <c r="B273" s="13">
        <v>2517</v>
      </c>
      <c r="C273" s="14" t="s">
        <v>97</v>
      </c>
      <c r="D273" s="15" t="s">
        <v>2842</v>
      </c>
      <c r="E273" s="15">
        <v>45955</v>
      </c>
      <c r="F273" s="14" t="s">
        <v>18</v>
      </c>
      <c r="G273" s="16">
        <v>70</v>
      </c>
    </row>
    <row r="274" spans="1:7" x14ac:dyDescent="0.25">
      <c r="A274" s="13" t="s">
        <v>2841</v>
      </c>
      <c r="B274" s="13">
        <v>2517</v>
      </c>
      <c r="C274" s="14" t="s">
        <v>97</v>
      </c>
      <c r="D274" s="14" t="s">
        <v>2842</v>
      </c>
      <c r="E274" s="15">
        <v>45962</v>
      </c>
      <c r="F274" s="14" t="s">
        <v>20</v>
      </c>
      <c r="G274" s="16">
        <v>30</v>
      </c>
    </row>
    <row r="275" spans="1:7" x14ac:dyDescent="0.25">
      <c r="A275" s="13" t="s">
        <v>2857</v>
      </c>
      <c r="B275" s="13">
        <v>2536</v>
      </c>
      <c r="C275" s="14" t="s">
        <v>1278</v>
      </c>
      <c r="D275" s="14" t="s">
        <v>717</v>
      </c>
      <c r="E275" s="15">
        <v>45951</v>
      </c>
      <c r="F275" s="14" t="s">
        <v>23</v>
      </c>
      <c r="G275" s="16">
        <v>50</v>
      </c>
    </row>
    <row r="276" spans="1:7" x14ac:dyDescent="0.25">
      <c r="A276" s="13" t="s">
        <v>2857</v>
      </c>
      <c r="B276" s="13">
        <v>2536</v>
      </c>
      <c r="C276" s="14" t="s">
        <v>1278</v>
      </c>
      <c r="D276" s="14" t="s">
        <v>717</v>
      </c>
      <c r="E276" s="15">
        <v>45951</v>
      </c>
      <c r="F276" s="14" t="s">
        <v>19</v>
      </c>
      <c r="G276" s="16">
        <v>34.133000000000003</v>
      </c>
    </row>
    <row r="277" spans="1:7" x14ac:dyDescent="0.25">
      <c r="A277" s="13" t="s">
        <v>2857</v>
      </c>
      <c r="B277" s="13">
        <v>2536</v>
      </c>
      <c r="C277" s="14" t="s">
        <v>1278</v>
      </c>
      <c r="D277" s="14" t="s">
        <v>717</v>
      </c>
      <c r="E277" s="15">
        <v>45952</v>
      </c>
      <c r="F277" s="14" t="s">
        <v>19</v>
      </c>
      <c r="G277" s="16">
        <v>323.34100000000001</v>
      </c>
    </row>
    <row r="278" spans="1:7" x14ac:dyDescent="0.25">
      <c r="A278" s="13" t="s">
        <v>2857</v>
      </c>
      <c r="B278" s="13">
        <v>2536</v>
      </c>
      <c r="C278" s="14" t="s">
        <v>1278</v>
      </c>
      <c r="D278" s="15" t="s">
        <v>717</v>
      </c>
      <c r="E278" s="15">
        <v>45953</v>
      </c>
      <c r="F278" s="14" t="s">
        <v>20</v>
      </c>
      <c r="G278" s="16">
        <v>47.76</v>
      </c>
    </row>
    <row r="279" spans="1:7" x14ac:dyDescent="0.25">
      <c r="A279" s="13" t="s">
        <v>2873</v>
      </c>
      <c r="B279" s="13">
        <v>2549</v>
      </c>
      <c r="C279" s="14" t="s">
        <v>2874</v>
      </c>
      <c r="D279" s="15" t="s">
        <v>22</v>
      </c>
      <c r="E279" s="15">
        <v>45934</v>
      </c>
      <c r="F279" s="14" t="s">
        <v>21</v>
      </c>
      <c r="G279" s="16">
        <v>111.265</v>
      </c>
    </row>
    <row r="280" spans="1:7" x14ac:dyDescent="0.25">
      <c r="A280" s="13" t="s">
        <v>2808</v>
      </c>
      <c r="B280" s="13">
        <v>2557</v>
      </c>
      <c r="C280" s="14" t="s">
        <v>2809</v>
      </c>
      <c r="D280" s="14" t="s">
        <v>22</v>
      </c>
      <c r="E280" s="15">
        <v>45958</v>
      </c>
      <c r="F280" s="14" t="s">
        <v>23</v>
      </c>
      <c r="G280" s="16">
        <v>7</v>
      </c>
    </row>
    <row r="281" spans="1:7" x14ac:dyDescent="0.25">
      <c r="A281" s="13" t="s">
        <v>2808</v>
      </c>
      <c r="B281" s="13">
        <v>2557</v>
      </c>
      <c r="C281" s="14" t="s">
        <v>2809</v>
      </c>
      <c r="D281" s="14" t="s">
        <v>22</v>
      </c>
      <c r="E281" s="15">
        <v>45958</v>
      </c>
      <c r="F281" s="14" t="s">
        <v>20</v>
      </c>
      <c r="G281" s="16">
        <v>22.056000000000001</v>
      </c>
    </row>
    <row r="282" spans="1:7" x14ac:dyDescent="0.25">
      <c r="A282" s="13" t="s">
        <v>2808</v>
      </c>
      <c r="B282" s="13">
        <v>2557</v>
      </c>
      <c r="C282" s="14" t="s">
        <v>2809</v>
      </c>
      <c r="D282" s="14" t="s">
        <v>22</v>
      </c>
      <c r="E282" s="15">
        <v>45958</v>
      </c>
      <c r="F282" s="14" t="s">
        <v>20</v>
      </c>
      <c r="G282" s="16">
        <v>67.793999999999997</v>
      </c>
    </row>
    <row r="283" spans="1:7" x14ac:dyDescent="0.25">
      <c r="A283" s="13" t="s">
        <v>2808</v>
      </c>
      <c r="B283" s="13">
        <v>2557</v>
      </c>
      <c r="C283" s="14" t="s">
        <v>2809</v>
      </c>
      <c r="D283" s="14" t="s">
        <v>22</v>
      </c>
      <c r="E283" s="15">
        <v>45958</v>
      </c>
      <c r="F283" s="14" t="s">
        <v>21</v>
      </c>
      <c r="G283" s="16">
        <v>22.5</v>
      </c>
    </row>
    <row r="284" spans="1:7" x14ac:dyDescent="0.25">
      <c r="A284" s="13" t="s">
        <v>2836</v>
      </c>
      <c r="B284" s="13">
        <v>2569</v>
      </c>
      <c r="C284" s="14" t="s">
        <v>101</v>
      </c>
      <c r="D284" s="14" t="s">
        <v>2837</v>
      </c>
      <c r="E284" s="15">
        <v>45961</v>
      </c>
      <c r="F284" s="14" t="s">
        <v>18</v>
      </c>
      <c r="G284" s="16">
        <v>60</v>
      </c>
    </row>
    <row r="285" spans="1:7" x14ac:dyDescent="0.25">
      <c r="A285" s="13" t="s">
        <v>2836</v>
      </c>
      <c r="B285" s="13">
        <v>2569</v>
      </c>
      <c r="C285" s="14" t="s">
        <v>101</v>
      </c>
      <c r="D285" s="14" t="s">
        <v>2837</v>
      </c>
      <c r="E285" s="15">
        <v>45961</v>
      </c>
      <c r="F285" s="14" t="s">
        <v>20</v>
      </c>
      <c r="G285" s="16">
        <v>53.271999999999998</v>
      </c>
    </row>
    <row r="286" spans="1:7" x14ac:dyDescent="0.25">
      <c r="A286" s="13" t="s">
        <v>2779</v>
      </c>
      <c r="B286" s="13">
        <v>2572</v>
      </c>
      <c r="C286" s="14" t="s">
        <v>462</v>
      </c>
      <c r="D286" s="14" t="s">
        <v>1978</v>
      </c>
      <c r="E286" s="15">
        <v>45957</v>
      </c>
      <c r="F286" s="14" t="s">
        <v>18</v>
      </c>
      <c r="G286" s="16">
        <v>60</v>
      </c>
    </row>
    <row r="287" spans="1:7" x14ac:dyDescent="0.25">
      <c r="A287" s="13" t="s">
        <v>2779</v>
      </c>
      <c r="B287" s="13">
        <v>2572</v>
      </c>
      <c r="C287" s="14" t="s">
        <v>462</v>
      </c>
      <c r="D287" s="14" t="s">
        <v>1978</v>
      </c>
      <c r="E287" s="15">
        <v>45957</v>
      </c>
      <c r="F287" s="14" t="s">
        <v>20</v>
      </c>
      <c r="G287" s="16">
        <v>19.059000000000001</v>
      </c>
    </row>
    <row r="288" spans="1:7" x14ac:dyDescent="0.25">
      <c r="A288" s="13" t="s">
        <v>2780</v>
      </c>
      <c r="B288" s="13">
        <v>2572</v>
      </c>
      <c r="C288" s="14" t="s">
        <v>462</v>
      </c>
      <c r="D288" s="14" t="s">
        <v>540</v>
      </c>
      <c r="E288" s="15">
        <v>45957</v>
      </c>
      <c r="F288" s="14" t="s">
        <v>19</v>
      </c>
      <c r="G288" s="16">
        <v>95.930999999999997</v>
      </c>
    </row>
    <row r="289" spans="1:7" x14ac:dyDescent="0.25">
      <c r="A289" s="13" t="s">
        <v>2780</v>
      </c>
      <c r="B289" s="13">
        <v>2572</v>
      </c>
      <c r="C289" s="14" t="s">
        <v>462</v>
      </c>
      <c r="D289" s="14" t="s">
        <v>540</v>
      </c>
      <c r="E289" s="15">
        <v>45957</v>
      </c>
      <c r="F289" s="14" t="s">
        <v>20</v>
      </c>
      <c r="G289" s="16">
        <v>16.202999999999999</v>
      </c>
    </row>
    <row r="290" spans="1:7" x14ac:dyDescent="0.25">
      <c r="A290" s="13" t="s">
        <v>2854</v>
      </c>
      <c r="B290" s="13">
        <v>2572</v>
      </c>
      <c r="C290" s="14" t="s">
        <v>462</v>
      </c>
      <c r="D290" s="15" t="s">
        <v>540</v>
      </c>
      <c r="E290" s="15">
        <v>45964</v>
      </c>
      <c r="F290" s="14" t="s">
        <v>19</v>
      </c>
      <c r="G290" s="16">
        <v>90.522000000000006</v>
      </c>
    </row>
    <row r="291" spans="1:7" x14ac:dyDescent="0.25">
      <c r="A291" s="13" t="s">
        <v>2864</v>
      </c>
      <c r="B291" s="13">
        <v>2572</v>
      </c>
      <c r="C291" s="14" t="s">
        <v>462</v>
      </c>
      <c r="D291" s="14" t="s">
        <v>1978</v>
      </c>
      <c r="E291" s="15">
        <v>45968</v>
      </c>
      <c r="F291" s="14" t="s">
        <v>18</v>
      </c>
      <c r="G291" s="16">
        <v>60</v>
      </c>
    </row>
    <row r="292" spans="1:7" x14ac:dyDescent="0.25">
      <c r="A292" s="13" t="s">
        <v>2864</v>
      </c>
      <c r="B292" s="13">
        <v>2572</v>
      </c>
      <c r="C292" s="14" t="s">
        <v>462</v>
      </c>
      <c r="D292" s="14" t="s">
        <v>1978</v>
      </c>
      <c r="E292" s="15">
        <v>45968</v>
      </c>
      <c r="F292" s="14" t="s">
        <v>20</v>
      </c>
      <c r="G292" s="16">
        <v>7.1</v>
      </c>
    </row>
    <row r="293" spans="1:7" x14ac:dyDescent="0.25">
      <c r="A293" s="13" t="s">
        <v>2880</v>
      </c>
      <c r="B293" s="13">
        <v>2572</v>
      </c>
      <c r="C293" s="14" t="s">
        <v>462</v>
      </c>
      <c r="D293" s="14" t="s">
        <v>503</v>
      </c>
      <c r="E293" s="15">
        <v>45964</v>
      </c>
      <c r="F293" s="14" t="s">
        <v>20</v>
      </c>
      <c r="G293" s="16">
        <v>14.615</v>
      </c>
    </row>
    <row r="294" spans="1:7" x14ac:dyDescent="0.25">
      <c r="A294" s="13" t="s">
        <v>2880</v>
      </c>
      <c r="B294" s="13">
        <v>2572</v>
      </c>
      <c r="C294" s="14" t="s">
        <v>462</v>
      </c>
      <c r="D294" s="15" t="s">
        <v>503</v>
      </c>
      <c r="E294" s="15">
        <v>45964</v>
      </c>
      <c r="F294" s="14" t="s">
        <v>24</v>
      </c>
      <c r="G294" s="16">
        <v>60</v>
      </c>
    </row>
    <row r="295" spans="1:7" x14ac:dyDescent="0.25">
      <c r="A295" s="13" t="s">
        <v>2908</v>
      </c>
      <c r="B295" s="13">
        <v>2579</v>
      </c>
      <c r="C295" s="14" t="s">
        <v>2909</v>
      </c>
      <c r="D295" s="15" t="s">
        <v>22</v>
      </c>
      <c r="E295" s="15">
        <v>45972</v>
      </c>
      <c r="F295" s="14" t="s">
        <v>23</v>
      </c>
      <c r="G295" s="16">
        <v>40</v>
      </c>
    </row>
    <row r="296" spans="1:7" x14ac:dyDescent="0.25">
      <c r="A296" s="13" t="s">
        <v>2908</v>
      </c>
      <c r="B296" s="13">
        <v>2579</v>
      </c>
      <c r="C296" s="14" t="s">
        <v>2909</v>
      </c>
      <c r="D296" s="15" t="s">
        <v>22</v>
      </c>
      <c r="E296" s="15">
        <v>45972</v>
      </c>
      <c r="F296" s="14" t="s">
        <v>20</v>
      </c>
      <c r="G296" s="16">
        <v>59.811999999999998</v>
      </c>
    </row>
    <row r="297" spans="1:7" x14ac:dyDescent="0.25">
      <c r="A297" s="13" t="s">
        <v>2785</v>
      </c>
      <c r="B297" s="13">
        <v>2592</v>
      </c>
      <c r="C297" s="14" t="s">
        <v>317</v>
      </c>
      <c r="D297" s="14" t="s">
        <v>22</v>
      </c>
      <c r="E297" s="15">
        <v>45957</v>
      </c>
      <c r="F297" s="14" t="s">
        <v>23</v>
      </c>
      <c r="G297" s="16">
        <v>60</v>
      </c>
    </row>
    <row r="298" spans="1:7" x14ac:dyDescent="0.25">
      <c r="A298" s="13" t="s">
        <v>2785</v>
      </c>
      <c r="B298" s="13">
        <v>2592</v>
      </c>
      <c r="C298" s="14" t="s">
        <v>317</v>
      </c>
      <c r="D298" s="14" t="s">
        <v>22</v>
      </c>
      <c r="E298" s="15">
        <v>45957</v>
      </c>
      <c r="F298" s="14" t="s">
        <v>20</v>
      </c>
      <c r="G298" s="16">
        <v>49.484999999999999</v>
      </c>
    </row>
    <row r="299" spans="1:7" x14ac:dyDescent="0.25">
      <c r="A299" s="13" t="s">
        <v>2867</v>
      </c>
      <c r="B299" s="13">
        <v>2592</v>
      </c>
      <c r="C299" s="14" t="s">
        <v>317</v>
      </c>
      <c r="D299" s="14" t="s">
        <v>22</v>
      </c>
      <c r="E299" s="15">
        <v>45967</v>
      </c>
      <c r="F299" s="14" t="s">
        <v>24</v>
      </c>
      <c r="G299" s="16">
        <v>60</v>
      </c>
    </row>
    <row r="300" spans="1:7" x14ac:dyDescent="0.25">
      <c r="A300" s="13" t="s">
        <v>2868</v>
      </c>
      <c r="B300" s="13">
        <v>2592</v>
      </c>
      <c r="C300" s="14" t="s">
        <v>317</v>
      </c>
      <c r="D300" s="14" t="s">
        <v>415</v>
      </c>
      <c r="E300" s="15">
        <v>45964</v>
      </c>
      <c r="F300" s="14" t="s">
        <v>18</v>
      </c>
      <c r="G300" s="16">
        <v>60</v>
      </c>
    </row>
    <row r="301" spans="1:7" x14ac:dyDescent="0.25">
      <c r="A301" s="13" t="s">
        <v>2868</v>
      </c>
      <c r="B301" s="13">
        <v>2592</v>
      </c>
      <c r="C301" s="14" t="s">
        <v>317</v>
      </c>
      <c r="D301" s="14" t="s">
        <v>415</v>
      </c>
      <c r="E301" s="15">
        <v>45964</v>
      </c>
      <c r="F301" s="14" t="s">
        <v>20</v>
      </c>
      <c r="G301" s="16">
        <v>4.2450000000000001</v>
      </c>
    </row>
    <row r="302" spans="1:7" x14ac:dyDescent="0.25">
      <c r="A302" s="13" t="s">
        <v>2868</v>
      </c>
      <c r="B302" s="13">
        <v>2592</v>
      </c>
      <c r="C302" s="14" t="s">
        <v>317</v>
      </c>
      <c r="D302" s="14" t="s">
        <v>415</v>
      </c>
      <c r="E302" s="15">
        <v>45967</v>
      </c>
      <c r="F302" s="14" t="s">
        <v>24</v>
      </c>
      <c r="G302" s="16">
        <v>180</v>
      </c>
    </row>
    <row r="303" spans="1:7" x14ac:dyDescent="0.25">
      <c r="A303" s="13" t="s">
        <v>2778</v>
      </c>
      <c r="B303" s="13">
        <v>2637</v>
      </c>
      <c r="C303" s="14" t="s">
        <v>1792</v>
      </c>
      <c r="D303" s="14" t="s">
        <v>22</v>
      </c>
      <c r="E303" s="15">
        <v>45950</v>
      </c>
      <c r="F303" s="14" t="s">
        <v>18</v>
      </c>
      <c r="G303" s="16">
        <v>70</v>
      </c>
    </row>
    <row r="304" spans="1:7" x14ac:dyDescent="0.25">
      <c r="A304" s="13" t="s">
        <v>2778</v>
      </c>
      <c r="B304" s="13">
        <v>2637</v>
      </c>
      <c r="C304" s="14" t="s">
        <v>1792</v>
      </c>
      <c r="D304" s="15" t="s">
        <v>22</v>
      </c>
      <c r="E304" s="15">
        <v>45951</v>
      </c>
      <c r="F304" s="14" t="s">
        <v>20</v>
      </c>
      <c r="G304" s="16">
        <v>19.7</v>
      </c>
    </row>
    <row r="305" spans="1:7" x14ac:dyDescent="0.25">
      <c r="A305" s="13" t="s">
        <v>2778</v>
      </c>
      <c r="B305" s="13">
        <v>2637</v>
      </c>
      <c r="C305" s="14" t="s">
        <v>1792</v>
      </c>
      <c r="D305" s="14" t="s">
        <v>22</v>
      </c>
      <c r="E305" s="15">
        <v>45951</v>
      </c>
      <c r="F305" s="14" t="s">
        <v>21</v>
      </c>
      <c r="G305" s="16">
        <v>4.5</v>
      </c>
    </row>
    <row r="306" spans="1:7" x14ac:dyDescent="0.25">
      <c r="A306" s="13" t="s">
        <v>2871</v>
      </c>
      <c r="B306" s="13">
        <v>2637</v>
      </c>
      <c r="C306" s="14" t="s">
        <v>2872</v>
      </c>
      <c r="D306" s="14" t="s">
        <v>22</v>
      </c>
      <c r="E306" s="15">
        <v>45961</v>
      </c>
      <c r="F306" s="14" t="s">
        <v>23</v>
      </c>
      <c r="G306" s="16">
        <v>45</v>
      </c>
    </row>
    <row r="307" spans="1:7" x14ac:dyDescent="0.25">
      <c r="A307" s="13" t="s">
        <v>2871</v>
      </c>
      <c r="B307" s="13">
        <v>2637</v>
      </c>
      <c r="C307" s="14" t="s">
        <v>2872</v>
      </c>
      <c r="D307" s="14" t="s">
        <v>22</v>
      </c>
      <c r="E307" s="15">
        <v>45961</v>
      </c>
      <c r="F307" s="14" t="s">
        <v>20</v>
      </c>
      <c r="G307" s="16">
        <v>35.078000000000003</v>
      </c>
    </row>
    <row r="308" spans="1:7" ht="18.75" x14ac:dyDescent="0.3">
      <c r="A308" s="14"/>
      <c r="B308" s="28"/>
      <c r="C308" s="29"/>
      <c r="D308" s="14"/>
      <c r="E308" s="28"/>
      <c r="F308" s="17" t="s">
        <v>11</v>
      </c>
      <c r="G308" s="17">
        <f>SUM(G10:G307)</f>
        <v>26322.621000000025</v>
      </c>
    </row>
    <row r="309" spans="1:7" ht="18.75" x14ac:dyDescent="0.3">
      <c r="A309" s="38"/>
      <c r="B309" s="39"/>
      <c r="C309" s="40"/>
      <c r="D309" s="41"/>
      <c r="E309" s="19"/>
      <c r="F309" s="18"/>
      <c r="G309" s="34"/>
    </row>
    <row r="310" spans="1:7" ht="18.75" x14ac:dyDescent="0.3">
      <c r="A310" s="35"/>
      <c r="B310" s="36"/>
      <c r="C310" s="37"/>
      <c r="D310" s="42"/>
      <c r="E310" s="43"/>
      <c r="F310" s="44"/>
      <c r="G310" s="44"/>
    </row>
    <row r="311" spans="1:7" ht="15.75" x14ac:dyDescent="0.25">
      <c r="A311" s="35"/>
      <c r="B311" s="36" t="s">
        <v>12</v>
      </c>
      <c r="C311" s="37"/>
      <c r="E311" s="36" t="s">
        <v>13</v>
      </c>
      <c r="F311" s="18"/>
      <c r="G311" s="18"/>
    </row>
    <row r="312" spans="1:7" ht="15.75" x14ac:dyDescent="0.25">
      <c r="A312" s="45"/>
      <c r="B312" s="46" t="s">
        <v>14</v>
      </c>
      <c r="C312" s="47"/>
      <c r="E312" s="36" t="s">
        <v>15</v>
      </c>
      <c r="F312" s="18"/>
      <c r="G312" s="18"/>
    </row>
    <row r="313" spans="1:7" ht="15.75" x14ac:dyDescent="0.25">
      <c r="A313" s="23"/>
      <c r="B313" s="24"/>
      <c r="C313" s="25"/>
      <c r="E313" s="27"/>
      <c r="F313" s="18"/>
      <c r="G313" s="18"/>
    </row>
    <row r="314" spans="1:7" ht="18.75" x14ac:dyDescent="0.3">
      <c r="B314" s="19"/>
      <c r="C314" s="20"/>
      <c r="D314" s="21"/>
      <c r="E314" s="22"/>
      <c r="F314" s="19"/>
      <c r="G314" s="22"/>
    </row>
    <row r="315" spans="1:7" ht="15.75" x14ac:dyDescent="0.25">
      <c r="A315" s="23"/>
      <c r="B315" s="24"/>
      <c r="C315" s="25"/>
      <c r="D315" s="26"/>
      <c r="E315" s="22"/>
      <c r="F315" s="27"/>
      <c r="G315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6"/>
  <sheetViews>
    <sheetView workbookViewId="0">
      <pane ySplit="9" topLeftCell="A10" activePane="bottomLeft" state="frozen"/>
      <selection pane="bottomLeft" activeCell="B25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2915</v>
      </c>
      <c r="C5" s="7"/>
      <c r="D5" s="4"/>
    </row>
    <row r="6" spans="1:7" ht="22.5" customHeight="1" x14ac:dyDescent="0.25">
      <c r="A6" s="6"/>
      <c r="B6" s="8" t="s">
        <v>3031</v>
      </c>
      <c r="C6" s="9"/>
      <c r="D6" s="4"/>
    </row>
    <row r="7" spans="1:7" ht="22.5" customHeight="1" x14ac:dyDescent="0.35">
      <c r="A7" s="4"/>
      <c r="B7" s="10"/>
      <c r="C7" s="11" t="s">
        <v>3032</v>
      </c>
      <c r="D7" s="4"/>
    </row>
    <row r="8" spans="1:7" ht="22.5" customHeight="1" x14ac:dyDescent="0.25">
      <c r="A8" s="12"/>
      <c r="B8" s="12"/>
    </row>
    <row r="9" spans="1:7" x14ac:dyDescent="0.25">
      <c r="A9" s="48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3023</v>
      </c>
      <c r="B10" s="13">
        <v>721</v>
      </c>
      <c r="C10" s="14" t="str">
        <f>+VLOOKUP(B10,[1]LISTE!$A$1:$D$431,4,FALSE)</f>
        <v>BEN ABDELJELIL WAHID</v>
      </c>
      <c r="D10" s="14" t="s">
        <v>221</v>
      </c>
      <c r="E10" s="15">
        <v>45978</v>
      </c>
      <c r="F10" s="14" t="s">
        <v>23</v>
      </c>
      <c r="G10" s="16">
        <v>50</v>
      </c>
    </row>
    <row r="11" spans="1:7" x14ac:dyDescent="0.25">
      <c r="A11" s="13" t="s">
        <v>3023</v>
      </c>
      <c r="B11" s="13">
        <v>721</v>
      </c>
      <c r="C11" s="14" t="str">
        <f>+VLOOKUP(B11,[1]LISTE!$A$1:$D$431,4,FALSE)</f>
        <v>BEN ABDELJELIL WAHID</v>
      </c>
      <c r="D11" s="14" t="s">
        <v>221</v>
      </c>
      <c r="E11" s="15">
        <v>45978</v>
      </c>
      <c r="F11" s="14" t="s">
        <v>20</v>
      </c>
      <c r="G11" s="16">
        <v>2.7149999999999999</v>
      </c>
    </row>
    <row r="12" spans="1:7" x14ac:dyDescent="0.25">
      <c r="A12" s="13" t="s">
        <v>3023</v>
      </c>
      <c r="B12" s="13">
        <v>721</v>
      </c>
      <c r="C12" s="14" t="str">
        <f>+VLOOKUP(B12,[1]LISTE!$A$1:$D$431,4,FALSE)</f>
        <v>BEN ABDELJELIL WAHID</v>
      </c>
      <c r="D12" s="14" t="s">
        <v>221</v>
      </c>
      <c r="E12" s="15">
        <v>45978</v>
      </c>
      <c r="F12" s="14" t="s">
        <v>24</v>
      </c>
      <c r="G12" s="16">
        <v>50</v>
      </c>
    </row>
    <row r="13" spans="1:7" x14ac:dyDescent="0.25">
      <c r="A13" s="13" t="s">
        <v>2919</v>
      </c>
      <c r="B13" s="13">
        <v>775</v>
      </c>
      <c r="C13" s="14" t="str">
        <f>+VLOOKUP(B13,[1]LISTE!$A$1:$D$431,4,FALSE)</f>
        <v>ZORGATI MONDHER</v>
      </c>
      <c r="D13" s="14" t="s">
        <v>236</v>
      </c>
      <c r="E13" s="15">
        <v>45969</v>
      </c>
      <c r="F13" s="14" t="s">
        <v>20</v>
      </c>
      <c r="G13" s="16">
        <v>21.693000000000001</v>
      </c>
    </row>
    <row r="14" spans="1:7" x14ac:dyDescent="0.25">
      <c r="A14" s="13" t="s">
        <v>2972</v>
      </c>
      <c r="B14" s="13">
        <v>790</v>
      </c>
      <c r="C14" s="14" t="str">
        <f>+VLOOKUP(B14,[1]LISTE!$A$1:$D$431,4,FALSE)</f>
        <v>ATTIA HAFEDH</v>
      </c>
      <c r="D14" s="14" t="s">
        <v>699</v>
      </c>
      <c r="E14" s="15">
        <v>45960</v>
      </c>
      <c r="F14" s="14" t="s">
        <v>23</v>
      </c>
      <c r="G14" s="16">
        <v>45</v>
      </c>
    </row>
    <row r="15" spans="1:7" x14ac:dyDescent="0.25">
      <c r="A15" s="13" t="s">
        <v>2972</v>
      </c>
      <c r="B15" s="13">
        <v>790</v>
      </c>
      <c r="C15" s="14" t="str">
        <f>+VLOOKUP(B15,[1]LISTE!$A$1:$D$431,4,FALSE)</f>
        <v>ATTIA HAFEDH</v>
      </c>
      <c r="D15" s="14" t="s">
        <v>699</v>
      </c>
      <c r="E15" s="15">
        <v>45960</v>
      </c>
      <c r="F15" s="14" t="s">
        <v>20</v>
      </c>
      <c r="G15" s="16">
        <v>21.288</v>
      </c>
    </row>
    <row r="16" spans="1:7" x14ac:dyDescent="0.25">
      <c r="A16" s="13" t="s">
        <v>2972</v>
      </c>
      <c r="B16" s="13">
        <v>790</v>
      </c>
      <c r="C16" s="14" t="str">
        <f>+VLOOKUP(B16,[1]LISTE!$A$1:$D$431,4,FALSE)</f>
        <v>ATTIA HAFEDH</v>
      </c>
      <c r="D16" s="14" t="s">
        <v>699</v>
      </c>
      <c r="E16" s="15">
        <v>45967</v>
      </c>
      <c r="F16" s="14" t="s">
        <v>21</v>
      </c>
      <c r="G16" s="16">
        <v>90</v>
      </c>
    </row>
    <row r="17" spans="1:7" x14ac:dyDescent="0.25">
      <c r="A17" s="13" t="s">
        <v>2974</v>
      </c>
      <c r="B17" s="13">
        <v>832</v>
      </c>
      <c r="C17" s="14" t="str">
        <f>+VLOOKUP(B17,[1]LISTE!$A$1:$D$431,4,FALSE)</f>
        <v>ABBASSI LOTFI</v>
      </c>
      <c r="D17" s="14" t="s">
        <v>284</v>
      </c>
      <c r="E17" s="15">
        <v>45964</v>
      </c>
      <c r="F17" s="14" t="s">
        <v>23</v>
      </c>
      <c r="G17" s="16">
        <v>50</v>
      </c>
    </row>
    <row r="18" spans="1:7" x14ac:dyDescent="0.25">
      <c r="A18" s="13" t="s">
        <v>2974</v>
      </c>
      <c r="B18" s="13">
        <v>832</v>
      </c>
      <c r="C18" s="14" t="str">
        <f>+VLOOKUP(B18,[1]LISTE!$A$1:$D$431,4,FALSE)</f>
        <v>ABBASSI LOTFI</v>
      </c>
      <c r="D18" s="14" t="s">
        <v>284</v>
      </c>
      <c r="E18" s="15">
        <v>45964</v>
      </c>
      <c r="F18" s="14" t="s">
        <v>20</v>
      </c>
      <c r="G18" s="16">
        <v>4.2450000000000001</v>
      </c>
    </row>
    <row r="19" spans="1:7" x14ac:dyDescent="0.25">
      <c r="A19" s="13" t="s">
        <v>2974</v>
      </c>
      <c r="B19" s="13">
        <v>832</v>
      </c>
      <c r="C19" s="14" t="str">
        <f>+VLOOKUP(B19,[1]LISTE!$A$1:$D$431,4,FALSE)</f>
        <v>ABBASSI LOTFI</v>
      </c>
      <c r="D19" s="14" t="s">
        <v>284</v>
      </c>
      <c r="E19" s="15">
        <v>45978</v>
      </c>
      <c r="F19" s="14" t="s">
        <v>24</v>
      </c>
      <c r="G19" s="16">
        <v>300</v>
      </c>
    </row>
    <row r="20" spans="1:7" x14ac:dyDescent="0.25">
      <c r="A20" s="13" t="s">
        <v>2947</v>
      </c>
      <c r="B20" s="13">
        <v>923</v>
      </c>
      <c r="C20" s="14" t="str">
        <f>+VLOOKUP(B20,[1]LISTE!$A$1:$D$431,4,FALSE)</f>
        <v>BEN AZIZA SLAH</v>
      </c>
      <c r="D20" s="14" t="s">
        <v>1436</v>
      </c>
      <c r="E20" s="15">
        <v>45972</v>
      </c>
      <c r="F20" s="14" t="s">
        <v>23</v>
      </c>
      <c r="G20" s="16">
        <v>50</v>
      </c>
    </row>
    <row r="21" spans="1:7" x14ac:dyDescent="0.25">
      <c r="A21" s="13" t="s">
        <v>2947</v>
      </c>
      <c r="B21" s="13">
        <v>923</v>
      </c>
      <c r="C21" s="14" t="str">
        <f>+VLOOKUP(B21,[1]LISTE!$A$1:$D$431,4,FALSE)</f>
        <v>BEN AZIZA SLAH</v>
      </c>
      <c r="D21" s="14" t="s">
        <v>1436</v>
      </c>
      <c r="E21" s="15">
        <v>45979</v>
      </c>
      <c r="F21" s="14" t="s">
        <v>20</v>
      </c>
      <c r="G21" s="16">
        <v>4.2450000000000001</v>
      </c>
    </row>
    <row r="22" spans="1:7" x14ac:dyDescent="0.25">
      <c r="A22" s="13" t="s">
        <v>2947</v>
      </c>
      <c r="B22" s="13">
        <v>923</v>
      </c>
      <c r="C22" s="14" t="str">
        <f>+VLOOKUP(B22,[1]LISTE!$A$1:$D$431,4,FALSE)</f>
        <v>BEN AZIZA SLAH</v>
      </c>
      <c r="D22" s="14" t="s">
        <v>1436</v>
      </c>
      <c r="E22" s="15">
        <v>45979</v>
      </c>
      <c r="F22" s="14" t="s">
        <v>25</v>
      </c>
      <c r="G22" s="16">
        <v>180</v>
      </c>
    </row>
    <row r="23" spans="1:7" x14ac:dyDescent="0.25">
      <c r="A23" s="13" t="s">
        <v>2952</v>
      </c>
      <c r="B23" s="13">
        <v>967</v>
      </c>
      <c r="C23" s="14" t="str">
        <f>+VLOOKUP(B23,[1]LISTE!$A$1:$D$431,4,FALSE)</f>
        <v>SOUISSI MOHAMED</v>
      </c>
      <c r="D23" s="14" t="s">
        <v>22</v>
      </c>
      <c r="E23" s="15">
        <v>45969</v>
      </c>
      <c r="F23" s="14" t="s">
        <v>20</v>
      </c>
      <c r="G23" s="16">
        <v>46.3</v>
      </c>
    </row>
    <row r="24" spans="1:7" x14ac:dyDescent="0.25">
      <c r="A24" s="13" t="s">
        <v>2952</v>
      </c>
      <c r="B24" s="13">
        <v>967</v>
      </c>
      <c r="C24" s="14" t="str">
        <f>+VLOOKUP(B24,[1]LISTE!$A$1:$D$431,4,FALSE)</f>
        <v>SOUISSI MOHAMED</v>
      </c>
      <c r="D24" s="15" t="s">
        <v>22</v>
      </c>
      <c r="E24" s="15">
        <v>45969</v>
      </c>
      <c r="F24" s="14" t="s">
        <v>24</v>
      </c>
      <c r="G24" s="16">
        <v>60</v>
      </c>
    </row>
    <row r="25" spans="1:7" x14ac:dyDescent="0.25">
      <c r="A25" s="13" t="s">
        <v>2928</v>
      </c>
      <c r="B25" s="13">
        <v>978</v>
      </c>
      <c r="C25" s="14" t="str">
        <f>+VLOOKUP(B25,[1]LISTE!$A$1:$D$431,4,FALSE)</f>
        <v>GRAIET ADEL</v>
      </c>
      <c r="D25" s="14" t="s">
        <v>543</v>
      </c>
      <c r="E25" s="15">
        <v>45974</v>
      </c>
      <c r="F25" s="14" t="s">
        <v>20</v>
      </c>
      <c r="G25" s="16">
        <v>17.024999999999999</v>
      </c>
    </row>
    <row r="26" spans="1:7" x14ac:dyDescent="0.25">
      <c r="A26" s="13" t="s">
        <v>2940</v>
      </c>
      <c r="B26" s="13">
        <v>978</v>
      </c>
      <c r="C26" s="14" t="str">
        <f>+VLOOKUP(B26,[1]LISTE!$A$1:$D$431,4,FALSE)</f>
        <v>GRAIET ADEL</v>
      </c>
      <c r="D26" s="14" t="s">
        <v>543</v>
      </c>
      <c r="E26" s="15">
        <v>45978</v>
      </c>
      <c r="F26" s="14" t="s">
        <v>25</v>
      </c>
      <c r="G26" s="16">
        <v>150</v>
      </c>
    </row>
    <row r="27" spans="1:7" x14ac:dyDescent="0.25">
      <c r="A27" s="13" t="s">
        <v>1204</v>
      </c>
      <c r="B27" s="13">
        <v>997</v>
      </c>
      <c r="C27" s="14" t="str">
        <f>+VLOOKUP(B27,[1]LISTE!$A$1:$D$431,4,FALSE)</f>
        <v>KOIUISSAH MAHJOUB SLAH</v>
      </c>
      <c r="D27" s="15" t="s">
        <v>22</v>
      </c>
      <c r="E27" s="15">
        <v>45969</v>
      </c>
      <c r="F27" s="14" t="s">
        <v>23</v>
      </c>
      <c r="G27" s="16">
        <v>50</v>
      </c>
    </row>
    <row r="28" spans="1:7" x14ac:dyDescent="0.25">
      <c r="A28" s="13" t="s">
        <v>1204</v>
      </c>
      <c r="B28" s="13">
        <v>997</v>
      </c>
      <c r="C28" s="14" t="str">
        <f>+VLOOKUP(B28,[1]LISTE!$A$1:$D$431,4,FALSE)</f>
        <v>KOIUISSAH MAHJOUB SLAH</v>
      </c>
      <c r="D28" s="15" t="s">
        <v>22</v>
      </c>
      <c r="E28" s="15">
        <v>45969</v>
      </c>
      <c r="F28" s="14" t="s">
        <v>20</v>
      </c>
      <c r="G28" s="16">
        <v>20.675000000000001</v>
      </c>
    </row>
    <row r="29" spans="1:7" x14ac:dyDescent="0.25">
      <c r="A29" s="13" t="s">
        <v>1204</v>
      </c>
      <c r="B29" s="13">
        <v>997</v>
      </c>
      <c r="C29" s="14" t="str">
        <f>+VLOOKUP(B29,[1]LISTE!$A$1:$D$431,4,FALSE)</f>
        <v>KOIUISSAH MAHJOUB SLAH</v>
      </c>
      <c r="D29" s="15" t="s">
        <v>22</v>
      </c>
      <c r="E29" s="15">
        <v>45976</v>
      </c>
      <c r="F29" s="14" t="s">
        <v>20</v>
      </c>
      <c r="G29" s="16">
        <v>7.3970000000000002</v>
      </c>
    </row>
    <row r="30" spans="1:7" x14ac:dyDescent="0.25">
      <c r="A30" s="13" t="s">
        <v>3005</v>
      </c>
      <c r="B30" s="13">
        <v>1504</v>
      </c>
      <c r="C30" s="14" t="str">
        <f>+VLOOKUP(B30,[1]LISTE!$A$1:$D$431,4,FALSE)</f>
        <v>ABBADI HABIB</v>
      </c>
      <c r="D30" s="14" t="s">
        <v>22</v>
      </c>
      <c r="E30" s="15">
        <v>45973</v>
      </c>
      <c r="F30" s="14" t="s">
        <v>18</v>
      </c>
      <c r="G30" s="16">
        <v>70</v>
      </c>
    </row>
    <row r="31" spans="1:7" x14ac:dyDescent="0.25">
      <c r="A31" s="13" t="s">
        <v>3005</v>
      </c>
      <c r="B31" s="13">
        <v>1504</v>
      </c>
      <c r="C31" s="14" t="str">
        <f>+VLOOKUP(B31,[1]LISTE!$A$1:$D$431,4,FALSE)</f>
        <v>ABBADI HABIB</v>
      </c>
      <c r="D31" s="15" t="s">
        <v>22</v>
      </c>
      <c r="E31" s="15">
        <v>45973</v>
      </c>
      <c r="F31" s="14" t="s">
        <v>20</v>
      </c>
      <c r="G31" s="16">
        <v>20.539000000000001</v>
      </c>
    </row>
    <row r="32" spans="1:7" x14ac:dyDescent="0.25">
      <c r="A32" s="13" t="s">
        <v>3005</v>
      </c>
      <c r="B32" s="13">
        <v>1504</v>
      </c>
      <c r="C32" s="14" t="str">
        <f>+VLOOKUP(B32,[1]LISTE!$A$1:$D$431,4,FALSE)</f>
        <v>ABBADI HABIB</v>
      </c>
      <c r="D32" s="15" t="s">
        <v>22</v>
      </c>
      <c r="E32" s="15">
        <v>45979</v>
      </c>
      <c r="F32" s="14" t="s">
        <v>21</v>
      </c>
      <c r="G32" s="16">
        <v>120</v>
      </c>
    </row>
    <row r="33" spans="1:7" x14ac:dyDescent="0.25">
      <c r="A33" s="13" t="s">
        <v>3019</v>
      </c>
      <c r="B33" s="13">
        <v>1511</v>
      </c>
      <c r="C33" s="14" t="str">
        <f>+VLOOKUP(B33,[1]LISTE!$A$1:$D$431,4,FALSE)</f>
        <v>SOYAH NEJIB</v>
      </c>
      <c r="D33" s="14" t="s">
        <v>22</v>
      </c>
      <c r="E33" s="15">
        <v>45969</v>
      </c>
      <c r="F33" s="14" t="s">
        <v>18</v>
      </c>
      <c r="G33" s="16">
        <v>70</v>
      </c>
    </row>
    <row r="34" spans="1:7" x14ac:dyDescent="0.25">
      <c r="A34" s="13" t="s">
        <v>3019</v>
      </c>
      <c r="B34" s="13">
        <v>1511</v>
      </c>
      <c r="C34" s="14" t="str">
        <f>+VLOOKUP(B34,[1]LISTE!$A$1:$D$431,4,FALSE)</f>
        <v>SOYAH NEJIB</v>
      </c>
      <c r="D34" s="14" t="s">
        <v>22</v>
      </c>
      <c r="E34" s="15">
        <v>45969</v>
      </c>
      <c r="F34" s="14" t="s">
        <v>19</v>
      </c>
      <c r="G34" s="16">
        <v>86.93</v>
      </c>
    </row>
    <row r="35" spans="1:7" x14ac:dyDescent="0.25">
      <c r="A35" s="13" t="s">
        <v>3019</v>
      </c>
      <c r="B35" s="13">
        <v>1511</v>
      </c>
      <c r="C35" s="14" t="str">
        <f>+VLOOKUP(B35,[1]LISTE!$A$1:$D$431,4,FALSE)</f>
        <v>SOYAH NEJIB</v>
      </c>
      <c r="D35" s="14" t="s">
        <v>22</v>
      </c>
      <c r="E35" s="15">
        <v>45969</v>
      </c>
      <c r="F35" s="14" t="s">
        <v>20</v>
      </c>
      <c r="G35" s="16">
        <v>147.51300000000001</v>
      </c>
    </row>
    <row r="36" spans="1:7" x14ac:dyDescent="0.25">
      <c r="A36" s="13" t="s">
        <v>3020</v>
      </c>
      <c r="B36" s="13">
        <v>1511</v>
      </c>
      <c r="C36" s="14" t="str">
        <f>+VLOOKUP(B36,[1]LISTE!$A$1:$D$431,4,FALSE)</f>
        <v>SOYAH NEJIB</v>
      </c>
      <c r="D36" s="14" t="s">
        <v>22</v>
      </c>
      <c r="E36" s="15">
        <v>45974</v>
      </c>
      <c r="F36" s="14" t="s">
        <v>18</v>
      </c>
      <c r="G36" s="16">
        <v>70</v>
      </c>
    </row>
    <row r="37" spans="1:7" x14ac:dyDescent="0.25">
      <c r="A37" s="13" t="s">
        <v>3020</v>
      </c>
      <c r="B37" s="13">
        <v>1511</v>
      </c>
      <c r="C37" s="14" t="str">
        <f>+VLOOKUP(B37,[1]LISTE!$A$1:$D$431,4,FALSE)</f>
        <v>SOYAH NEJIB</v>
      </c>
      <c r="D37" s="14" t="s">
        <v>22</v>
      </c>
      <c r="E37" s="15">
        <v>45974</v>
      </c>
      <c r="F37" s="14" t="s">
        <v>20</v>
      </c>
      <c r="G37" s="16">
        <v>4.2949999999999999</v>
      </c>
    </row>
    <row r="38" spans="1:7" x14ac:dyDescent="0.25">
      <c r="A38" s="13" t="s">
        <v>3021</v>
      </c>
      <c r="B38" s="13">
        <v>1511</v>
      </c>
      <c r="C38" s="14" t="str">
        <f>+VLOOKUP(B38,[1]LISTE!$A$1:$D$431,4,FALSE)</f>
        <v>SOYAH NEJIB</v>
      </c>
      <c r="D38" s="14" t="s">
        <v>3022</v>
      </c>
      <c r="E38" s="15">
        <v>45968</v>
      </c>
      <c r="F38" s="14" t="s">
        <v>23</v>
      </c>
      <c r="G38" s="16">
        <v>40</v>
      </c>
    </row>
    <row r="39" spans="1:7" x14ac:dyDescent="0.25">
      <c r="A39" s="13" t="s">
        <v>3021</v>
      </c>
      <c r="B39" s="13">
        <v>1511</v>
      </c>
      <c r="C39" s="14" t="str">
        <f>+VLOOKUP(B39,[1]LISTE!$A$1:$D$431,4,FALSE)</f>
        <v>SOYAH NEJIB</v>
      </c>
      <c r="D39" s="14" t="s">
        <v>3022</v>
      </c>
      <c r="E39" s="15">
        <v>45968</v>
      </c>
      <c r="F39" s="14" t="s">
        <v>20</v>
      </c>
      <c r="G39" s="16">
        <v>18.77</v>
      </c>
    </row>
    <row r="40" spans="1:7" x14ac:dyDescent="0.25">
      <c r="A40" s="13" t="s">
        <v>2962</v>
      </c>
      <c r="B40" s="13">
        <v>1535</v>
      </c>
      <c r="C40" s="14" t="str">
        <f>+VLOOKUP(B40,[1]LISTE!$A$1:$D$431,4,FALSE)</f>
        <v>ROUIS LOTFI</v>
      </c>
      <c r="D40" s="14" t="s">
        <v>22</v>
      </c>
      <c r="E40" s="15">
        <v>45976</v>
      </c>
      <c r="F40" s="14" t="s">
        <v>20</v>
      </c>
      <c r="G40" s="16">
        <v>45.78</v>
      </c>
    </row>
    <row r="41" spans="1:7" x14ac:dyDescent="0.25">
      <c r="A41" s="13" t="s">
        <v>2980</v>
      </c>
      <c r="B41" s="13">
        <v>1569</v>
      </c>
      <c r="C41" s="14" t="str">
        <f>+VLOOKUP(B41,[1]LISTE!$A$1:$D$431,4,FALSE)</f>
        <v>BETTAIEB MOULDI</v>
      </c>
      <c r="D41" s="14" t="s">
        <v>513</v>
      </c>
      <c r="E41" s="15">
        <v>45981</v>
      </c>
      <c r="F41" s="14" t="s">
        <v>23</v>
      </c>
      <c r="G41" s="16">
        <v>2</v>
      </c>
    </row>
    <row r="42" spans="1:7" x14ac:dyDescent="0.25">
      <c r="A42" s="13" t="s">
        <v>2980</v>
      </c>
      <c r="B42" s="13">
        <v>1569</v>
      </c>
      <c r="C42" s="14" t="str">
        <f>+VLOOKUP(B42,[1]LISTE!$A$1:$D$431,4,FALSE)</f>
        <v>BETTAIEB MOULDI</v>
      </c>
      <c r="D42" s="15" t="s">
        <v>513</v>
      </c>
      <c r="E42" s="15">
        <v>45981</v>
      </c>
      <c r="F42" s="14" t="s">
        <v>20</v>
      </c>
      <c r="G42" s="16">
        <v>21.05</v>
      </c>
    </row>
    <row r="43" spans="1:7" x14ac:dyDescent="0.25">
      <c r="A43" s="13" t="s">
        <v>3029</v>
      </c>
      <c r="B43" s="13">
        <v>1569</v>
      </c>
      <c r="C43" s="14" t="str">
        <f>+VLOOKUP(B43,[1]LISTE!$A$1:$D$431,4,FALSE)</f>
        <v>BETTAIEB MOULDI</v>
      </c>
      <c r="D43" s="14" t="s">
        <v>529</v>
      </c>
      <c r="E43" s="15">
        <v>45981</v>
      </c>
      <c r="F43" s="14" t="s">
        <v>23</v>
      </c>
      <c r="G43" s="16">
        <v>40</v>
      </c>
    </row>
    <row r="44" spans="1:7" x14ac:dyDescent="0.25">
      <c r="A44" s="13" t="s">
        <v>3029</v>
      </c>
      <c r="B44" s="13">
        <v>1569</v>
      </c>
      <c r="C44" s="14" t="str">
        <f>+VLOOKUP(B44,[1]LISTE!$A$1:$D$431,4,FALSE)</f>
        <v>BETTAIEB MOULDI</v>
      </c>
      <c r="D44" s="14" t="s">
        <v>529</v>
      </c>
      <c r="E44" s="15">
        <v>45981</v>
      </c>
      <c r="F44" s="14" t="s">
        <v>20</v>
      </c>
      <c r="G44" s="16">
        <v>80.748000000000005</v>
      </c>
    </row>
    <row r="45" spans="1:7" x14ac:dyDescent="0.25">
      <c r="A45" s="13" t="s">
        <v>2922</v>
      </c>
      <c r="B45" s="13">
        <v>1572</v>
      </c>
      <c r="C45" s="14" t="str">
        <f>+VLOOKUP(B45,[1]LISTE!$A$1:$D$431,4,FALSE)</f>
        <v>MIMOUNA MEHDI</v>
      </c>
      <c r="D45" s="15" t="s">
        <v>991</v>
      </c>
      <c r="E45" s="15">
        <v>45961</v>
      </c>
      <c r="F45" s="14" t="s">
        <v>23</v>
      </c>
      <c r="G45" s="16">
        <v>40</v>
      </c>
    </row>
    <row r="46" spans="1:7" x14ac:dyDescent="0.25">
      <c r="A46" s="13" t="s">
        <v>2922</v>
      </c>
      <c r="B46" s="13">
        <v>1572</v>
      </c>
      <c r="C46" s="14" t="str">
        <f>+VLOOKUP(B46,[1]LISTE!$A$1:$D$431,4,FALSE)</f>
        <v>MIMOUNA MEHDI</v>
      </c>
      <c r="D46" s="15" t="s">
        <v>991</v>
      </c>
      <c r="E46" s="15">
        <v>45961</v>
      </c>
      <c r="F46" s="14" t="s">
        <v>20</v>
      </c>
      <c r="G46" s="16">
        <v>12.675000000000001</v>
      </c>
    </row>
    <row r="47" spans="1:7" x14ac:dyDescent="0.25">
      <c r="A47" s="13" t="s">
        <v>2922</v>
      </c>
      <c r="B47" s="13">
        <v>1572</v>
      </c>
      <c r="C47" s="14" t="str">
        <f>+VLOOKUP(B47,[1]LISTE!$A$1:$D$431,4,FALSE)</f>
        <v>MIMOUNA MEHDI</v>
      </c>
      <c r="D47" s="14" t="s">
        <v>991</v>
      </c>
      <c r="E47" s="15">
        <v>45968</v>
      </c>
      <c r="F47" s="14" t="s">
        <v>24</v>
      </c>
      <c r="G47" s="16">
        <v>180</v>
      </c>
    </row>
    <row r="48" spans="1:7" x14ac:dyDescent="0.25">
      <c r="A48" s="13" t="s">
        <v>2998</v>
      </c>
      <c r="B48" s="13">
        <v>1573</v>
      </c>
      <c r="C48" s="14" t="str">
        <f>+VLOOKUP(B48,[1]LISTE!$A$1:$D$431,4,FALSE)</f>
        <v>SALLAH IMED</v>
      </c>
      <c r="D48" s="15" t="s">
        <v>2232</v>
      </c>
      <c r="E48" s="15">
        <v>45957</v>
      </c>
      <c r="F48" s="14" t="s">
        <v>19</v>
      </c>
      <c r="G48" s="16">
        <v>90</v>
      </c>
    </row>
    <row r="49" spans="1:7" x14ac:dyDescent="0.25">
      <c r="A49" s="13" t="s">
        <v>3028</v>
      </c>
      <c r="B49" s="13">
        <v>1575</v>
      </c>
      <c r="C49" s="14" t="str">
        <f>+VLOOKUP(B49,[1]LISTE!$A$1:$D$431,4,FALSE)</f>
        <v>BEN ABDELJELIL ZOUHAIER</v>
      </c>
      <c r="D49" s="15" t="s">
        <v>475</v>
      </c>
      <c r="E49" s="15">
        <v>45982</v>
      </c>
      <c r="F49" s="14" t="s">
        <v>18</v>
      </c>
      <c r="G49" s="16">
        <v>70</v>
      </c>
    </row>
    <row r="50" spans="1:7" x14ac:dyDescent="0.25">
      <c r="A50" s="13" t="s">
        <v>3028</v>
      </c>
      <c r="B50" s="13">
        <v>1575</v>
      </c>
      <c r="C50" s="14" t="str">
        <f>+VLOOKUP(B50,[1]LISTE!$A$1:$D$431,4,FALSE)</f>
        <v>BEN ABDELJELIL ZOUHAIER</v>
      </c>
      <c r="D50" s="14" t="s">
        <v>475</v>
      </c>
      <c r="E50" s="15">
        <v>45985</v>
      </c>
      <c r="F50" s="14" t="s">
        <v>69</v>
      </c>
      <c r="G50" s="16">
        <v>490</v>
      </c>
    </row>
    <row r="51" spans="1:7" x14ac:dyDescent="0.25">
      <c r="A51" s="13" t="s">
        <v>2956</v>
      </c>
      <c r="B51" s="13">
        <v>1597</v>
      </c>
      <c r="C51" s="14" t="str">
        <f>+VLOOKUP(B51,[1]LISTE!$A$1:$D$431,4,FALSE)</f>
        <v>AMARA KARIM</v>
      </c>
      <c r="D51" s="14" t="s">
        <v>371</v>
      </c>
      <c r="E51" s="15">
        <v>45967</v>
      </c>
      <c r="F51" s="14" t="s">
        <v>18</v>
      </c>
      <c r="G51" s="16">
        <v>70</v>
      </c>
    </row>
    <row r="52" spans="1:7" x14ac:dyDescent="0.25">
      <c r="A52" s="13" t="s">
        <v>2956</v>
      </c>
      <c r="B52" s="13">
        <v>1597</v>
      </c>
      <c r="C52" s="14" t="str">
        <f>+VLOOKUP(B52,[1]LISTE!$A$1:$D$431,4,FALSE)</f>
        <v>AMARA KARIM</v>
      </c>
      <c r="D52" s="14" t="s">
        <v>371</v>
      </c>
      <c r="E52" s="15">
        <v>45967</v>
      </c>
      <c r="F52" s="14" t="s">
        <v>20</v>
      </c>
      <c r="G52" s="16">
        <v>20.100999999999999</v>
      </c>
    </row>
    <row r="53" spans="1:7" x14ac:dyDescent="0.25">
      <c r="A53" s="13" t="s">
        <v>2957</v>
      </c>
      <c r="B53" s="13">
        <v>1597</v>
      </c>
      <c r="C53" s="14" t="str">
        <f>+VLOOKUP(B53,[1]LISTE!$A$1:$D$431,4,FALSE)</f>
        <v>AMARA KARIM</v>
      </c>
      <c r="D53" s="15" t="s">
        <v>182</v>
      </c>
      <c r="E53" s="15">
        <v>45969</v>
      </c>
      <c r="F53" s="14" t="s">
        <v>18</v>
      </c>
      <c r="G53" s="16">
        <v>70</v>
      </c>
    </row>
    <row r="54" spans="1:7" x14ac:dyDescent="0.25">
      <c r="A54" s="13" t="s">
        <v>2957</v>
      </c>
      <c r="B54" s="13">
        <v>1597</v>
      </c>
      <c r="C54" s="14" t="str">
        <f>+VLOOKUP(B54,[1]LISTE!$A$1:$D$431,4,FALSE)</f>
        <v>AMARA KARIM</v>
      </c>
      <c r="D54" s="14" t="s">
        <v>182</v>
      </c>
      <c r="E54" s="15">
        <v>45969</v>
      </c>
      <c r="F54" s="14" t="s">
        <v>363</v>
      </c>
      <c r="G54" s="16">
        <v>230</v>
      </c>
    </row>
    <row r="55" spans="1:7" x14ac:dyDescent="0.25">
      <c r="A55" s="13" t="s">
        <v>2957</v>
      </c>
      <c r="B55" s="13">
        <v>1597</v>
      </c>
      <c r="C55" s="14" t="str">
        <f>+VLOOKUP(B55,[1]LISTE!$A$1:$D$431,4,FALSE)</f>
        <v>AMARA KARIM</v>
      </c>
      <c r="D55" s="14" t="s">
        <v>182</v>
      </c>
      <c r="E55" s="15">
        <v>45969</v>
      </c>
      <c r="F55" s="14" t="s">
        <v>20</v>
      </c>
      <c r="G55" s="16">
        <v>54.13</v>
      </c>
    </row>
    <row r="56" spans="1:7" x14ac:dyDescent="0.25">
      <c r="A56" s="13" t="s">
        <v>2982</v>
      </c>
      <c r="B56" s="13">
        <v>1597</v>
      </c>
      <c r="C56" s="14" t="str">
        <f>+VLOOKUP(B56,[1]LISTE!$A$1:$D$431,4,FALSE)</f>
        <v>AMARA KARIM</v>
      </c>
      <c r="D56" s="15" t="s">
        <v>371</v>
      </c>
      <c r="E56" s="15">
        <v>45981</v>
      </c>
      <c r="F56" s="14" t="s">
        <v>23</v>
      </c>
      <c r="G56" s="16">
        <v>45</v>
      </c>
    </row>
    <row r="57" spans="1:7" x14ac:dyDescent="0.25">
      <c r="A57" s="13" t="s">
        <v>2982</v>
      </c>
      <c r="B57" s="13">
        <v>1597</v>
      </c>
      <c r="C57" s="14" t="str">
        <f>+VLOOKUP(B57,[1]LISTE!$A$1:$D$431,4,FALSE)</f>
        <v>AMARA KARIM</v>
      </c>
      <c r="D57" s="14" t="s">
        <v>371</v>
      </c>
      <c r="E57" s="15">
        <v>45981</v>
      </c>
      <c r="F57" s="14" t="s">
        <v>20</v>
      </c>
      <c r="G57" s="16">
        <v>59.277000000000001</v>
      </c>
    </row>
    <row r="58" spans="1:7" x14ac:dyDescent="0.25">
      <c r="A58" s="13" t="s">
        <v>2916</v>
      </c>
      <c r="B58" s="13">
        <v>1667</v>
      </c>
      <c r="C58" s="14" t="str">
        <f>+VLOOKUP(B58,[1]LISTE!$A$1:$D$431,4,FALSE)</f>
        <v>MRIZEK TAOUFIK</v>
      </c>
      <c r="D58" s="15" t="s">
        <v>214</v>
      </c>
      <c r="E58" s="15">
        <v>45974</v>
      </c>
      <c r="F58" s="14" t="s">
        <v>24</v>
      </c>
      <c r="G58" s="16">
        <v>60</v>
      </c>
    </row>
    <row r="59" spans="1:7" x14ac:dyDescent="0.25">
      <c r="A59" s="13" t="s">
        <v>2984</v>
      </c>
      <c r="B59" s="13">
        <v>1671</v>
      </c>
      <c r="C59" s="14" t="str">
        <f>+VLOOKUP(B59,[1]LISTE!$A$1:$D$431,4,FALSE)</f>
        <v>EL BACH ADEL</v>
      </c>
      <c r="D59" s="14" t="s">
        <v>687</v>
      </c>
      <c r="E59" s="15">
        <v>45966</v>
      </c>
      <c r="F59" s="14" t="s">
        <v>23</v>
      </c>
      <c r="G59" s="16">
        <v>40</v>
      </c>
    </row>
    <row r="60" spans="1:7" x14ac:dyDescent="0.25">
      <c r="A60" s="13" t="s">
        <v>2984</v>
      </c>
      <c r="B60" s="13">
        <v>1671</v>
      </c>
      <c r="C60" s="14" t="str">
        <f>+VLOOKUP(B60,[1]LISTE!$A$1:$D$431,4,FALSE)</f>
        <v>EL BACH ADEL</v>
      </c>
      <c r="D60" s="15" t="s">
        <v>687</v>
      </c>
      <c r="E60" s="15">
        <v>45966</v>
      </c>
      <c r="F60" s="14" t="s">
        <v>20</v>
      </c>
      <c r="G60" s="16">
        <v>73.748999999999995</v>
      </c>
    </row>
    <row r="61" spans="1:7" x14ac:dyDescent="0.25">
      <c r="A61" s="13" t="s">
        <v>2985</v>
      </c>
      <c r="B61" s="13">
        <v>1671</v>
      </c>
      <c r="C61" s="14" t="str">
        <f>+VLOOKUP(B61,[1]LISTE!$A$1:$D$431,4,FALSE)</f>
        <v>EL BACH ADEL</v>
      </c>
      <c r="D61" s="15" t="s">
        <v>22</v>
      </c>
      <c r="E61" s="15">
        <v>45964</v>
      </c>
      <c r="F61" s="14" t="s">
        <v>23</v>
      </c>
      <c r="G61" s="16">
        <v>40</v>
      </c>
    </row>
    <row r="62" spans="1:7" x14ac:dyDescent="0.25">
      <c r="A62" s="13" t="s">
        <v>2985</v>
      </c>
      <c r="B62" s="13">
        <v>1671</v>
      </c>
      <c r="C62" s="14" t="str">
        <f>+VLOOKUP(B62,[1]LISTE!$A$1:$D$431,4,FALSE)</f>
        <v>EL BACH ADEL</v>
      </c>
      <c r="D62" s="14" t="s">
        <v>22</v>
      </c>
      <c r="E62" s="15">
        <v>45964</v>
      </c>
      <c r="F62" s="14" t="s">
        <v>20</v>
      </c>
      <c r="G62" s="16">
        <v>88.927000000000007</v>
      </c>
    </row>
    <row r="63" spans="1:7" x14ac:dyDescent="0.25">
      <c r="A63" s="13" t="s">
        <v>2966</v>
      </c>
      <c r="B63" s="13">
        <v>1685</v>
      </c>
      <c r="C63" s="14" t="str">
        <f>+VLOOKUP(B63,[1]LISTE!$A$1:$D$431,4,FALSE)</f>
        <v>MAHJOUB MOHAMED KARIM</v>
      </c>
      <c r="D63" s="14" t="s">
        <v>576</v>
      </c>
      <c r="E63" s="15">
        <v>45975</v>
      </c>
      <c r="F63" s="14" t="s">
        <v>24</v>
      </c>
      <c r="G63" s="16">
        <v>1050</v>
      </c>
    </row>
    <row r="64" spans="1:7" x14ac:dyDescent="0.25">
      <c r="A64" s="13" t="s">
        <v>3000</v>
      </c>
      <c r="B64" s="13">
        <v>1689</v>
      </c>
      <c r="C64" s="14" t="str">
        <f>+VLOOKUP(B64,[1]LISTE!$A$1:$D$431,4,FALSE)</f>
        <v>GRAA SKANDER</v>
      </c>
      <c r="D64" s="14" t="s">
        <v>622</v>
      </c>
      <c r="E64" s="15">
        <v>45986</v>
      </c>
      <c r="F64" s="14" t="s">
        <v>23</v>
      </c>
      <c r="G64" s="16">
        <v>50</v>
      </c>
    </row>
    <row r="65" spans="1:7" x14ac:dyDescent="0.25">
      <c r="A65" s="13" t="s">
        <v>3000</v>
      </c>
      <c r="B65" s="13">
        <v>1689</v>
      </c>
      <c r="C65" s="14" t="str">
        <f>+VLOOKUP(B65,[1]LISTE!$A$1:$D$431,4,FALSE)</f>
        <v>GRAA SKANDER</v>
      </c>
      <c r="D65" s="14" t="s">
        <v>622</v>
      </c>
      <c r="E65" s="15">
        <v>45986</v>
      </c>
      <c r="F65" s="14" t="s">
        <v>20</v>
      </c>
      <c r="G65" s="16">
        <v>18.574999999999999</v>
      </c>
    </row>
    <row r="66" spans="1:7" x14ac:dyDescent="0.25">
      <c r="A66" s="13" t="s">
        <v>3001</v>
      </c>
      <c r="B66" s="13">
        <v>1689</v>
      </c>
      <c r="C66" s="14" t="str">
        <f>+VLOOKUP(B66,[1]LISTE!$A$1:$D$431,4,FALSE)</f>
        <v>GRAA SKANDER</v>
      </c>
      <c r="D66" s="14" t="s">
        <v>805</v>
      </c>
      <c r="E66" s="15">
        <v>45986</v>
      </c>
      <c r="F66" s="14" t="s">
        <v>23</v>
      </c>
      <c r="G66" s="16">
        <v>50</v>
      </c>
    </row>
    <row r="67" spans="1:7" x14ac:dyDescent="0.25">
      <c r="A67" s="13" t="s">
        <v>3001</v>
      </c>
      <c r="B67" s="13">
        <v>1689</v>
      </c>
      <c r="C67" s="14" t="str">
        <f>+VLOOKUP(B67,[1]LISTE!$A$1:$D$431,4,FALSE)</f>
        <v>GRAA SKANDER</v>
      </c>
      <c r="D67" s="15" t="s">
        <v>805</v>
      </c>
      <c r="E67" s="15">
        <v>45986</v>
      </c>
      <c r="F67" s="14" t="s">
        <v>20</v>
      </c>
      <c r="G67" s="16">
        <v>44.447000000000003</v>
      </c>
    </row>
    <row r="68" spans="1:7" x14ac:dyDescent="0.25">
      <c r="A68" s="13" t="s">
        <v>3017</v>
      </c>
      <c r="B68" s="13">
        <v>1689</v>
      </c>
      <c r="C68" s="14" t="str">
        <f>+VLOOKUP(B68,[1]LISTE!$A$1:$D$431,4,FALSE)</f>
        <v>GRAA SKANDER</v>
      </c>
      <c r="D68" s="14" t="s">
        <v>805</v>
      </c>
      <c r="E68" s="15">
        <v>45971</v>
      </c>
      <c r="F68" s="14" t="s">
        <v>23</v>
      </c>
      <c r="G68" s="16">
        <v>40</v>
      </c>
    </row>
    <row r="69" spans="1:7" x14ac:dyDescent="0.25">
      <c r="A69" s="13" t="s">
        <v>3017</v>
      </c>
      <c r="B69" s="13">
        <v>1689</v>
      </c>
      <c r="C69" s="14" t="str">
        <f>+VLOOKUP(B69,[1]LISTE!$A$1:$D$431,4,FALSE)</f>
        <v>GRAA SKANDER</v>
      </c>
      <c r="D69" s="14" t="s">
        <v>805</v>
      </c>
      <c r="E69" s="15">
        <v>45971</v>
      </c>
      <c r="F69" s="14" t="s">
        <v>20</v>
      </c>
      <c r="G69" s="16">
        <v>22.72</v>
      </c>
    </row>
    <row r="70" spans="1:7" x14ac:dyDescent="0.25">
      <c r="A70" s="13" t="s">
        <v>3018</v>
      </c>
      <c r="B70" s="13">
        <v>1689</v>
      </c>
      <c r="C70" s="14" t="str">
        <f>+VLOOKUP(B70,[1]LISTE!$A$1:$D$431,4,FALSE)</f>
        <v>GRAA SKANDER</v>
      </c>
      <c r="D70" s="14" t="s">
        <v>475</v>
      </c>
      <c r="E70" s="15">
        <v>45971</v>
      </c>
      <c r="F70" s="14" t="s">
        <v>23</v>
      </c>
      <c r="G70" s="16">
        <v>40</v>
      </c>
    </row>
    <row r="71" spans="1:7" x14ac:dyDescent="0.25">
      <c r="A71" s="13" t="s">
        <v>3018</v>
      </c>
      <c r="B71" s="13">
        <v>1689</v>
      </c>
      <c r="C71" s="14" t="str">
        <f>+VLOOKUP(B71,[1]LISTE!$A$1:$D$431,4,FALSE)</f>
        <v>GRAA SKANDER</v>
      </c>
      <c r="D71" s="14" t="s">
        <v>475</v>
      </c>
      <c r="E71" s="15">
        <v>45971</v>
      </c>
      <c r="F71" s="14" t="s">
        <v>20</v>
      </c>
      <c r="G71" s="16">
        <v>37.664999999999999</v>
      </c>
    </row>
    <row r="72" spans="1:7" x14ac:dyDescent="0.25">
      <c r="A72" s="13" t="s">
        <v>2948</v>
      </c>
      <c r="B72" s="13">
        <v>1701</v>
      </c>
      <c r="C72" s="14" t="str">
        <f>+VLOOKUP(B72,[1]LISTE!$A$1:$D$431,4,FALSE)</f>
        <v>SASSI KARIM</v>
      </c>
      <c r="D72" s="14" t="s">
        <v>2030</v>
      </c>
      <c r="E72" s="15">
        <v>45974</v>
      </c>
      <c r="F72" s="14" t="s">
        <v>18</v>
      </c>
      <c r="G72" s="16">
        <v>70</v>
      </c>
    </row>
    <row r="73" spans="1:7" x14ac:dyDescent="0.25">
      <c r="A73" s="13" t="s">
        <v>2948</v>
      </c>
      <c r="B73" s="13">
        <v>1701</v>
      </c>
      <c r="C73" s="14" t="str">
        <f>+VLOOKUP(B73,[1]LISTE!$A$1:$D$431,4,FALSE)</f>
        <v>SASSI KARIM</v>
      </c>
      <c r="D73" s="14" t="s">
        <v>2030</v>
      </c>
      <c r="E73" s="15">
        <v>45974</v>
      </c>
      <c r="F73" s="14" t="s">
        <v>20</v>
      </c>
      <c r="G73" s="16">
        <v>24.72</v>
      </c>
    </row>
    <row r="74" spans="1:7" x14ac:dyDescent="0.25">
      <c r="A74" s="13" t="s">
        <v>2948</v>
      </c>
      <c r="B74" s="13">
        <v>1701</v>
      </c>
      <c r="C74" s="14" t="str">
        <f>+VLOOKUP(B74,[1]LISTE!$A$1:$D$431,4,FALSE)</f>
        <v>SASSI KARIM</v>
      </c>
      <c r="D74" s="14" t="s">
        <v>2030</v>
      </c>
      <c r="E74" s="15">
        <v>45974</v>
      </c>
      <c r="F74" s="14" t="s">
        <v>21</v>
      </c>
      <c r="G74" s="16">
        <v>70</v>
      </c>
    </row>
    <row r="75" spans="1:7" x14ac:dyDescent="0.25">
      <c r="A75" s="13" t="s">
        <v>2953</v>
      </c>
      <c r="B75" s="13">
        <v>1714</v>
      </c>
      <c r="C75" s="14" t="str">
        <f>+VLOOKUP(B75,[1]LISTE!$A$1:$D$431,4,FALSE)</f>
        <v>MATHLOUTHI MONDHER</v>
      </c>
      <c r="D75" s="14" t="s">
        <v>22</v>
      </c>
      <c r="E75" s="15">
        <v>45978</v>
      </c>
      <c r="F75" s="14" t="s">
        <v>23</v>
      </c>
      <c r="G75" s="16">
        <v>45</v>
      </c>
    </row>
    <row r="76" spans="1:7" x14ac:dyDescent="0.25">
      <c r="A76" s="13" t="s">
        <v>2953</v>
      </c>
      <c r="B76" s="13">
        <v>1714</v>
      </c>
      <c r="C76" s="14" t="str">
        <f>+VLOOKUP(B76,[1]LISTE!$A$1:$D$431,4,FALSE)</f>
        <v>MATHLOUTHI MONDHER</v>
      </c>
      <c r="D76" s="14" t="s">
        <v>22</v>
      </c>
      <c r="E76" s="15">
        <v>45978</v>
      </c>
      <c r="F76" s="14" t="s">
        <v>20</v>
      </c>
      <c r="G76" s="16">
        <v>68.028999999999996</v>
      </c>
    </row>
    <row r="77" spans="1:7" x14ac:dyDescent="0.25">
      <c r="A77" s="13" t="s">
        <v>2953</v>
      </c>
      <c r="B77" s="13">
        <v>1714</v>
      </c>
      <c r="C77" s="14" t="str">
        <f>+VLOOKUP(B77,[1]LISTE!$A$1:$D$431,4,FALSE)</f>
        <v>MATHLOUTHI MONDHER</v>
      </c>
      <c r="D77" s="15" t="s">
        <v>22</v>
      </c>
      <c r="E77" s="15">
        <v>45978</v>
      </c>
      <c r="F77" s="14" t="s">
        <v>65</v>
      </c>
      <c r="G77" s="16">
        <v>2</v>
      </c>
    </row>
    <row r="78" spans="1:7" x14ac:dyDescent="0.25">
      <c r="A78" s="13" t="s">
        <v>3008</v>
      </c>
      <c r="B78" s="13">
        <v>1728</v>
      </c>
      <c r="C78" s="14" t="str">
        <f>+VLOOKUP(B78,[1]LISTE!$A$1:$D$431,4,FALSE)</f>
        <v>SLAMA DHAFER</v>
      </c>
      <c r="D78" s="15" t="s">
        <v>1994</v>
      </c>
      <c r="E78" s="15">
        <v>45984</v>
      </c>
      <c r="F78" s="14" t="s">
        <v>23</v>
      </c>
      <c r="G78" s="16">
        <v>40</v>
      </c>
    </row>
    <row r="79" spans="1:7" x14ac:dyDescent="0.25">
      <c r="A79" s="13" t="s">
        <v>3008</v>
      </c>
      <c r="B79" s="13">
        <v>1728</v>
      </c>
      <c r="C79" s="14" t="str">
        <f>+VLOOKUP(B79,[1]LISTE!$A$1:$D$431,4,FALSE)</f>
        <v>SLAMA DHAFER</v>
      </c>
      <c r="D79" s="15" t="s">
        <v>1994</v>
      </c>
      <c r="E79" s="15">
        <v>45984</v>
      </c>
      <c r="F79" s="14" t="s">
        <v>20</v>
      </c>
      <c r="G79" s="16">
        <v>66.292000000000002</v>
      </c>
    </row>
    <row r="80" spans="1:7" x14ac:dyDescent="0.25">
      <c r="A80" s="13" t="s">
        <v>3009</v>
      </c>
      <c r="B80" s="13">
        <v>1728</v>
      </c>
      <c r="C80" s="14" t="str">
        <f>+VLOOKUP(B80,[1]LISTE!$A$1:$D$431,4,FALSE)</f>
        <v>SLAMA DHAFER</v>
      </c>
      <c r="D80" s="14" t="s">
        <v>3010</v>
      </c>
      <c r="E80" s="15">
        <v>45985</v>
      </c>
      <c r="F80" s="14" t="s">
        <v>23</v>
      </c>
      <c r="G80" s="16">
        <v>40</v>
      </c>
    </row>
    <row r="81" spans="1:7" x14ac:dyDescent="0.25">
      <c r="A81" s="13" t="s">
        <v>3009</v>
      </c>
      <c r="B81" s="13">
        <v>1728</v>
      </c>
      <c r="C81" s="14" t="str">
        <f>+VLOOKUP(B81,[1]LISTE!$A$1:$D$431,4,FALSE)</f>
        <v>SLAMA DHAFER</v>
      </c>
      <c r="D81" s="14" t="s">
        <v>3010</v>
      </c>
      <c r="E81" s="15">
        <v>45985</v>
      </c>
      <c r="F81" s="14" t="s">
        <v>20</v>
      </c>
      <c r="G81" s="16">
        <v>41.914999999999999</v>
      </c>
    </row>
    <row r="82" spans="1:7" x14ac:dyDescent="0.25">
      <c r="A82" s="13" t="s">
        <v>2955</v>
      </c>
      <c r="B82" s="13">
        <v>1746</v>
      </c>
      <c r="C82" s="14" t="str">
        <f>+VLOOKUP(B82,[1]LISTE!$A$1:$D$431,4,FALSE)</f>
        <v>BEL ARBIA KAMEL</v>
      </c>
      <c r="D82" s="14" t="s">
        <v>22</v>
      </c>
      <c r="E82" s="15">
        <v>45973</v>
      </c>
      <c r="F82" s="14" t="s">
        <v>18</v>
      </c>
      <c r="G82" s="16">
        <v>70</v>
      </c>
    </row>
    <row r="83" spans="1:7" x14ac:dyDescent="0.25">
      <c r="A83" s="13" t="s">
        <v>2955</v>
      </c>
      <c r="B83" s="13">
        <v>1746</v>
      </c>
      <c r="C83" s="14" t="str">
        <f>+VLOOKUP(B83,[1]LISTE!$A$1:$D$431,4,FALSE)</f>
        <v>BEL ARBIA KAMEL</v>
      </c>
      <c r="D83" s="14" t="s">
        <v>22</v>
      </c>
      <c r="E83" s="15">
        <v>45973</v>
      </c>
      <c r="F83" s="14" t="s">
        <v>20</v>
      </c>
      <c r="G83" s="16">
        <v>20.103999999999999</v>
      </c>
    </row>
    <row r="84" spans="1:7" x14ac:dyDescent="0.25">
      <c r="A84" s="13" t="s">
        <v>2991</v>
      </c>
      <c r="B84" s="13">
        <v>1760</v>
      </c>
      <c r="C84" s="14" t="str">
        <f>+VLOOKUP(B84,[1]LISTE!$A$1:$D$431,4,FALSE)</f>
        <v>SASSI SAMIR</v>
      </c>
      <c r="D84" s="14" t="s">
        <v>2737</v>
      </c>
      <c r="E84" s="15">
        <v>45974</v>
      </c>
      <c r="F84" s="14" t="s">
        <v>23</v>
      </c>
      <c r="G84" s="16">
        <v>10</v>
      </c>
    </row>
    <row r="85" spans="1:7" x14ac:dyDescent="0.25">
      <c r="A85" s="13" t="s">
        <v>2991</v>
      </c>
      <c r="B85" s="13">
        <v>1760</v>
      </c>
      <c r="C85" s="14" t="str">
        <f>+VLOOKUP(B85,[1]LISTE!$A$1:$D$431,4,FALSE)</f>
        <v>SASSI SAMIR</v>
      </c>
      <c r="D85" s="14" t="s">
        <v>2737</v>
      </c>
      <c r="E85" s="15">
        <v>45974</v>
      </c>
      <c r="F85" s="14" t="s">
        <v>20</v>
      </c>
      <c r="G85" s="16">
        <v>22.5</v>
      </c>
    </row>
    <row r="86" spans="1:7" x14ac:dyDescent="0.25">
      <c r="A86" s="13" t="s">
        <v>3011</v>
      </c>
      <c r="B86" s="13">
        <v>1767</v>
      </c>
      <c r="C86" s="14" t="str">
        <f>+VLOOKUP(B86,[1]LISTE!$A$1:$D$431,4,FALSE)</f>
        <v>B.H.SGHAIER NAOUFEL</v>
      </c>
      <c r="D86" s="14" t="s">
        <v>2232</v>
      </c>
      <c r="E86" s="15">
        <v>45978</v>
      </c>
      <c r="F86" s="14" t="s">
        <v>18</v>
      </c>
      <c r="G86" s="16">
        <v>70</v>
      </c>
    </row>
    <row r="87" spans="1:7" x14ac:dyDescent="0.25">
      <c r="A87" s="13" t="s">
        <v>3011</v>
      </c>
      <c r="B87" s="13">
        <v>1767</v>
      </c>
      <c r="C87" s="14" t="str">
        <f>+VLOOKUP(B87,[1]LISTE!$A$1:$D$431,4,FALSE)</f>
        <v>B.H.SGHAIER NAOUFEL</v>
      </c>
      <c r="D87" s="14" t="s">
        <v>2232</v>
      </c>
      <c r="E87" s="15">
        <v>45978</v>
      </c>
      <c r="F87" s="14" t="s">
        <v>20</v>
      </c>
      <c r="G87" s="16">
        <v>5.085</v>
      </c>
    </row>
    <row r="88" spans="1:7" x14ac:dyDescent="0.25">
      <c r="A88" s="13" t="s">
        <v>3013</v>
      </c>
      <c r="B88" s="13">
        <v>1767</v>
      </c>
      <c r="C88" s="14" t="str">
        <f>+VLOOKUP(B88,[1]LISTE!$A$1:$D$431,4,FALSE)</f>
        <v>B.H.SGHAIER NAOUFEL</v>
      </c>
      <c r="D88" s="14" t="s">
        <v>3014</v>
      </c>
      <c r="E88" s="15">
        <v>45981</v>
      </c>
      <c r="F88" s="14" t="s">
        <v>312</v>
      </c>
      <c r="G88" s="16">
        <v>250</v>
      </c>
    </row>
    <row r="89" spans="1:7" x14ac:dyDescent="0.25">
      <c r="A89" s="13" t="s">
        <v>2923</v>
      </c>
      <c r="B89" s="13">
        <v>1784</v>
      </c>
      <c r="C89" s="14" t="str">
        <f>+VLOOKUP(B89,[1]LISTE!$A$1:$D$431,4,FALSE)</f>
        <v>LAYOUNI KHALED</v>
      </c>
      <c r="D89" s="14" t="s">
        <v>907</v>
      </c>
      <c r="E89" s="15">
        <v>45961</v>
      </c>
      <c r="F89" s="14" t="s">
        <v>18</v>
      </c>
      <c r="G89" s="16">
        <v>70</v>
      </c>
    </row>
    <row r="90" spans="1:7" x14ac:dyDescent="0.25">
      <c r="A90" s="13" t="s">
        <v>2923</v>
      </c>
      <c r="B90" s="13">
        <v>1784</v>
      </c>
      <c r="C90" s="14" t="str">
        <f>+VLOOKUP(B90,[1]LISTE!$A$1:$D$431,4,FALSE)</f>
        <v>LAYOUNI KHALED</v>
      </c>
      <c r="D90" s="14" t="s">
        <v>907</v>
      </c>
      <c r="E90" s="15">
        <v>45965</v>
      </c>
      <c r="F90" s="14" t="s">
        <v>20</v>
      </c>
      <c r="G90" s="16">
        <v>17.989999999999998</v>
      </c>
    </row>
    <row r="91" spans="1:7" x14ac:dyDescent="0.25">
      <c r="A91" s="13" t="s">
        <v>2923</v>
      </c>
      <c r="B91" s="13">
        <v>1784</v>
      </c>
      <c r="C91" s="14" t="str">
        <f>+VLOOKUP(B91,[1]LISTE!$A$1:$D$431,4,FALSE)</f>
        <v>LAYOUNI KHALED</v>
      </c>
      <c r="D91" s="15" t="s">
        <v>907</v>
      </c>
      <c r="E91" s="15">
        <v>45965</v>
      </c>
      <c r="F91" s="14" t="s">
        <v>21</v>
      </c>
      <c r="G91" s="16">
        <v>110</v>
      </c>
    </row>
    <row r="92" spans="1:7" x14ac:dyDescent="0.25">
      <c r="A92" s="13" t="s">
        <v>2958</v>
      </c>
      <c r="B92" s="13">
        <v>1797</v>
      </c>
      <c r="C92" s="14" t="str">
        <f>+VLOOKUP(B92,[1]LISTE!$A$1:$D$431,4,FALSE)</f>
        <v>ABBADI MOHAMED</v>
      </c>
      <c r="D92" s="14" t="s">
        <v>22</v>
      </c>
      <c r="E92" s="15">
        <v>45976</v>
      </c>
      <c r="F92" s="14" t="s">
        <v>18</v>
      </c>
      <c r="G92" s="16">
        <v>70</v>
      </c>
    </row>
    <row r="93" spans="1:7" x14ac:dyDescent="0.25">
      <c r="A93" s="13" t="s">
        <v>2958</v>
      </c>
      <c r="B93" s="13">
        <v>1797</v>
      </c>
      <c r="C93" s="14" t="str">
        <f>+VLOOKUP(B93,[1]LISTE!$A$1:$D$431,4,FALSE)</f>
        <v>ABBADI MOHAMED</v>
      </c>
      <c r="D93" s="14" t="s">
        <v>22</v>
      </c>
      <c r="E93" s="15">
        <v>45976</v>
      </c>
      <c r="F93" s="14" t="s">
        <v>20</v>
      </c>
      <c r="G93" s="16">
        <v>84.856999999999999</v>
      </c>
    </row>
    <row r="94" spans="1:7" x14ac:dyDescent="0.25">
      <c r="A94" s="13" t="s">
        <v>2958</v>
      </c>
      <c r="B94" s="13">
        <v>1797</v>
      </c>
      <c r="C94" s="14" t="str">
        <f>+VLOOKUP(B94,[1]LISTE!$A$1:$D$431,4,FALSE)</f>
        <v>ABBADI MOHAMED</v>
      </c>
      <c r="D94" s="15" t="s">
        <v>22</v>
      </c>
      <c r="E94" s="15">
        <v>45976</v>
      </c>
      <c r="F94" s="14" t="s">
        <v>21</v>
      </c>
      <c r="G94" s="16">
        <v>160</v>
      </c>
    </row>
    <row r="95" spans="1:7" x14ac:dyDescent="0.25">
      <c r="A95" s="13" t="s">
        <v>2965</v>
      </c>
      <c r="B95" s="13">
        <v>1800</v>
      </c>
      <c r="C95" s="14" t="str">
        <f>+VLOOKUP(B95,[1]LISTE!$A$1:$D$431,4,FALSE)</f>
        <v>BEN CHAOUACHA WAHIB</v>
      </c>
      <c r="D95" s="14" t="s">
        <v>221</v>
      </c>
      <c r="E95" s="15">
        <v>45969</v>
      </c>
      <c r="F95" s="14" t="s">
        <v>18</v>
      </c>
      <c r="G95" s="16">
        <v>70</v>
      </c>
    </row>
    <row r="96" spans="1:7" x14ac:dyDescent="0.25">
      <c r="A96" s="13" t="s">
        <v>2965</v>
      </c>
      <c r="B96" s="13">
        <v>1800</v>
      </c>
      <c r="C96" s="14" t="str">
        <f>+VLOOKUP(B96,[1]LISTE!$A$1:$D$431,4,FALSE)</f>
        <v>BEN CHAOUACHA WAHIB</v>
      </c>
      <c r="D96" s="14" t="s">
        <v>221</v>
      </c>
      <c r="E96" s="15">
        <v>45969</v>
      </c>
      <c r="F96" s="14" t="s">
        <v>20</v>
      </c>
      <c r="G96" s="16">
        <v>82.36</v>
      </c>
    </row>
    <row r="97" spans="1:7" x14ac:dyDescent="0.25">
      <c r="A97" s="13" t="s">
        <v>2927</v>
      </c>
      <c r="B97" s="13">
        <v>1803</v>
      </c>
      <c r="C97" s="14" t="str">
        <f>+VLOOKUP(B97,[1]LISTE!$A$1:$D$431,4,FALSE)</f>
        <v>GAM HAMDI</v>
      </c>
      <c r="D97" s="15" t="s">
        <v>184</v>
      </c>
      <c r="E97" s="15">
        <v>45967</v>
      </c>
      <c r="F97" s="14" t="s">
        <v>23</v>
      </c>
      <c r="G97" s="16">
        <v>10</v>
      </c>
    </row>
    <row r="98" spans="1:7" x14ac:dyDescent="0.25">
      <c r="A98" s="13" t="s">
        <v>2927</v>
      </c>
      <c r="B98" s="13">
        <v>1803</v>
      </c>
      <c r="C98" s="14" t="str">
        <f>+VLOOKUP(B98,[1]LISTE!$A$1:$D$431,4,FALSE)</f>
        <v>GAM HAMDI</v>
      </c>
      <c r="D98" s="14" t="s">
        <v>184</v>
      </c>
      <c r="E98" s="15">
        <v>45971</v>
      </c>
      <c r="F98" s="14" t="s">
        <v>20</v>
      </c>
      <c r="G98" s="16">
        <v>37.152000000000001</v>
      </c>
    </row>
    <row r="99" spans="1:7" x14ac:dyDescent="0.25">
      <c r="A99" s="13" t="s">
        <v>2934</v>
      </c>
      <c r="B99" s="13">
        <v>1819</v>
      </c>
      <c r="C99" s="14" t="str">
        <f>+VLOOKUP(B99,[1]LISTE!$A$1:$D$431,4,FALSE)</f>
        <v>SASSI MOHAMED WALID</v>
      </c>
      <c r="D99" s="14" t="s">
        <v>322</v>
      </c>
      <c r="E99" s="15">
        <v>45969</v>
      </c>
      <c r="F99" s="14" t="s">
        <v>23</v>
      </c>
      <c r="G99" s="16">
        <v>50</v>
      </c>
    </row>
    <row r="100" spans="1:7" x14ac:dyDescent="0.25">
      <c r="A100" s="13" t="s">
        <v>2934</v>
      </c>
      <c r="B100" s="13">
        <v>1819</v>
      </c>
      <c r="C100" s="14" t="str">
        <f>+VLOOKUP(B100,[1]LISTE!$A$1:$D$431,4,FALSE)</f>
        <v>SASSI MOHAMED WALID</v>
      </c>
      <c r="D100" s="14" t="s">
        <v>322</v>
      </c>
      <c r="E100" s="15">
        <v>45969</v>
      </c>
      <c r="F100" s="14" t="s">
        <v>20</v>
      </c>
      <c r="G100" s="16">
        <v>37.07</v>
      </c>
    </row>
    <row r="101" spans="1:7" x14ac:dyDescent="0.25">
      <c r="A101" s="13" t="s">
        <v>2935</v>
      </c>
      <c r="B101" s="13">
        <v>1819</v>
      </c>
      <c r="C101" s="14" t="str">
        <f>+VLOOKUP(B101,[1]LISTE!$A$1:$D$431,4,FALSE)</f>
        <v>SASSI MOHAMED WALID</v>
      </c>
      <c r="D101" s="14" t="s">
        <v>371</v>
      </c>
      <c r="E101" s="15">
        <v>45960</v>
      </c>
      <c r="F101" s="14" t="s">
        <v>23</v>
      </c>
      <c r="G101" s="16">
        <v>50</v>
      </c>
    </row>
    <row r="102" spans="1:7" x14ac:dyDescent="0.25">
      <c r="A102" s="13" t="s">
        <v>2935</v>
      </c>
      <c r="B102" s="13">
        <v>1819</v>
      </c>
      <c r="C102" s="14" t="str">
        <f>+VLOOKUP(B102,[1]LISTE!$A$1:$D$431,4,FALSE)</f>
        <v>SASSI MOHAMED WALID</v>
      </c>
      <c r="D102" s="14" t="s">
        <v>371</v>
      </c>
      <c r="E102" s="15">
        <v>45960</v>
      </c>
      <c r="F102" s="14" t="s">
        <v>20</v>
      </c>
      <c r="G102" s="16">
        <v>41.637999999999998</v>
      </c>
    </row>
    <row r="103" spans="1:7" x14ac:dyDescent="0.25">
      <c r="A103" s="13" t="s">
        <v>2975</v>
      </c>
      <c r="B103" s="13">
        <v>1819</v>
      </c>
      <c r="C103" s="14" t="str">
        <f>+VLOOKUP(B103,[1]LISTE!$A$1:$D$431,4,FALSE)</f>
        <v>SASSI MOHAMED WALID</v>
      </c>
      <c r="D103" s="14" t="s">
        <v>22</v>
      </c>
      <c r="E103" s="15">
        <v>45971</v>
      </c>
      <c r="F103" s="14" t="s">
        <v>23</v>
      </c>
      <c r="G103" s="16">
        <v>50</v>
      </c>
    </row>
    <row r="104" spans="1:7" x14ac:dyDescent="0.25">
      <c r="A104" s="13" t="s">
        <v>2975</v>
      </c>
      <c r="B104" s="13">
        <v>1819</v>
      </c>
      <c r="C104" s="14" t="str">
        <f>+VLOOKUP(B104,[1]LISTE!$A$1:$D$431,4,FALSE)</f>
        <v>SASSI MOHAMED WALID</v>
      </c>
      <c r="D104" s="14" t="s">
        <v>22</v>
      </c>
      <c r="E104" s="15">
        <v>45972</v>
      </c>
      <c r="F104" s="14" t="s">
        <v>20</v>
      </c>
      <c r="G104" s="16">
        <v>60</v>
      </c>
    </row>
    <row r="105" spans="1:7" x14ac:dyDescent="0.25">
      <c r="A105" s="13" t="s">
        <v>2976</v>
      </c>
      <c r="B105" s="13">
        <v>1819</v>
      </c>
      <c r="C105" s="14" t="str">
        <f>+VLOOKUP(B105,[1]LISTE!$A$1:$D$431,4,FALSE)</f>
        <v>SASSI MOHAMED WALID</v>
      </c>
      <c r="D105" s="14" t="s">
        <v>22</v>
      </c>
      <c r="E105" s="15">
        <v>45972</v>
      </c>
      <c r="F105" s="14" t="s">
        <v>23</v>
      </c>
      <c r="G105" s="16">
        <v>10</v>
      </c>
    </row>
    <row r="106" spans="1:7" x14ac:dyDescent="0.25">
      <c r="A106" s="13" t="s">
        <v>2931</v>
      </c>
      <c r="B106" s="13">
        <v>1829</v>
      </c>
      <c r="C106" s="14" t="str">
        <f>+VLOOKUP(B106,[1]LISTE!$A$1:$D$431,4,FALSE)</f>
        <v>ATROUS ANIS</v>
      </c>
      <c r="D106" s="14" t="s">
        <v>923</v>
      </c>
      <c r="E106" s="15">
        <v>45972</v>
      </c>
      <c r="F106" s="14" t="s">
        <v>18</v>
      </c>
      <c r="G106" s="16">
        <v>70</v>
      </c>
    </row>
    <row r="107" spans="1:7" x14ac:dyDescent="0.25">
      <c r="A107" s="13" t="s">
        <v>2931</v>
      </c>
      <c r="B107" s="13">
        <v>1829</v>
      </c>
      <c r="C107" s="14" t="str">
        <f>+VLOOKUP(B107,[1]LISTE!$A$1:$D$431,4,FALSE)</f>
        <v>ATROUS ANIS</v>
      </c>
      <c r="D107" s="14" t="s">
        <v>923</v>
      </c>
      <c r="E107" s="15">
        <v>45972</v>
      </c>
      <c r="F107" s="14" t="s">
        <v>20</v>
      </c>
      <c r="G107" s="16">
        <v>332.96199999999999</v>
      </c>
    </row>
    <row r="108" spans="1:7" x14ac:dyDescent="0.25">
      <c r="A108" s="13" t="s">
        <v>2932</v>
      </c>
      <c r="B108" s="13">
        <v>1829</v>
      </c>
      <c r="C108" s="14" t="str">
        <f>+VLOOKUP(B108,[1]LISTE!$A$1:$D$431,4,FALSE)</f>
        <v>ATROUS ANIS</v>
      </c>
      <c r="D108" s="14" t="s">
        <v>22</v>
      </c>
      <c r="E108" s="15">
        <v>45971</v>
      </c>
      <c r="F108" s="14" t="s">
        <v>18</v>
      </c>
      <c r="G108" s="16">
        <v>70</v>
      </c>
    </row>
    <row r="109" spans="1:7" x14ac:dyDescent="0.25">
      <c r="A109" s="13" t="s">
        <v>2932</v>
      </c>
      <c r="B109" s="13">
        <v>1829</v>
      </c>
      <c r="C109" s="14" t="str">
        <f>+VLOOKUP(B109,[1]LISTE!$A$1:$D$431,4,FALSE)</f>
        <v>ATROUS ANIS</v>
      </c>
      <c r="D109" s="14" t="s">
        <v>22</v>
      </c>
      <c r="E109" s="15">
        <v>45971</v>
      </c>
      <c r="F109" s="14" t="s">
        <v>20</v>
      </c>
      <c r="G109" s="16">
        <v>332.94900000000001</v>
      </c>
    </row>
    <row r="110" spans="1:7" x14ac:dyDescent="0.25">
      <c r="A110" s="13" t="s">
        <v>3006</v>
      </c>
      <c r="B110" s="13">
        <v>1831</v>
      </c>
      <c r="C110" s="14" t="str">
        <f>+VLOOKUP(B110,[1]LISTE!$A$1:$D$431,4,FALSE)</f>
        <v>KEMIMECH MOHAMED BEN MOHAMED</v>
      </c>
      <c r="D110" s="14" t="s">
        <v>125</v>
      </c>
      <c r="E110" s="15">
        <v>45958</v>
      </c>
      <c r="F110" s="14" t="s">
        <v>18</v>
      </c>
      <c r="G110" s="16">
        <v>70</v>
      </c>
    </row>
    <row r="111" spans="1:7" x14ac:dyDescent="0.25">
      <c r="A111" s="13" t="s">
        <v>3006</v>
      </c>
      <c r="B111" s="13">
        <v>1831</v>
      </c>
      <c r="C111" s="14" t="str">
        <f>+VLOOKUP(B111,[1]LISTE!$A$1:$D$431,4,FALSE)</f>
        <v>KEMIMECH MOHAMED BEN MOHAMED</v>
      </c>
      <c r="D111" s="14" t="s">
        <v>125</v>
      </c>
      <c r="E111" s="15">
        <v>45983</v>
      </c>
      <c r="F111" s="14" t="s">
        <v>69</v>
      </c>
      <c r="G111" s="16">
        <v>390</v>
      </c>
    </row>
    <row r="112" spans="1:7" x14ac:dyDescent="0.25">
      <c r="A112" s="13" t="s">
        <v>3030</v>
      </c>
      <c r="B112" s="13">
        <v>1833</v>
      </c>
      <c r="C112" s="14" t="str">
        <f>+VLOOKUP(B112,[1]LISTE!$A$1:$D$431,4,FALSE)</f>
        <v>BOUZAABIA MOHAMED</v>
      </c>
      <c r="D112" s="14" t="s">
        <v>79</v>
      </c>
      <c r="E112" s="15">
        <v>45982</v>
      </c>
      <c r="F112" s="14" t="s">
        <v>18</v>
      </c>
      <c r="G112" s="16">
        <v>70</v>
      </c>
    </row>
    <row r="113" spans="1:7" x14ac:dyDescent="0.25">
      <c r="A113" s="13" t="s">
        <v>3030</v>
      </c>
      <c r="B113" s="13">
        <v>1833</v>
      </c>
      <c r="C113" s="14" t="str">
        <f>+VLOOKUP(B113,[1]LISTE!$A$1:$D$431,4,FALSE)</f>
        <v>BOUZAABIA MOHAMED</v>
      </c>
      <c r="D113" s="14" t="s">
        <v>79</v>
      </c>
      <c r="E113" s="15">
        <v>45982</v>
      </c>
      <c r="F113" s="14" t="s">
        <v>19</v>
      </c>
      <c r="G113" s="16">
        <v>25</v>
      </c>
    </row>
    <row r="114" spans="1:7" x14ac:dyDescent="0.25">
      <c r="A114" s="13" t="s">
        <v>3030</v>
      </c>
      <c r="B114" s="13">
        <v>1833</v>
      </c>
      <c r="C114" s="14" t="str">
        <f>+VLOOKUP(B114,[1]LISTE!$A$1:$D$431,4,FALSE)</f>
        <v>BOUZAABIA MOHAMED</v>
      </c>
      <c r="D114" s="14" t="s">
        <v>79</v>
      </c>
      <c r="E114" s="15">
        <v>45982</v>
      </c>
      <c r="F114" s="14" t="s">
        <v>20</v>
      </c>
      <c r="G114" s="16">
        <v>70.028999999999996</v>
      </c>
    </row>
    <row r="115" spans="1:7" x14ac:dyDescent="0.25">
      <c r="A115" s="13" t="s">
        <v>2967</v>
      </c>
      <c r="B115" s="13">
        <v>1849</v>
      </c>
      <c r="C115" s="14" t="str">
        <f>+VLOOKUP(B115,[1]LISTE!$A$1:$D$431,4,FALSE)</f>
        <v>GANHOUBA MEHDI</v>
      </c>
      <c r="D115" s="14" t="s">
        <v>1994</v>
      </c>
      <c r="E115" s="15">
        <v>45973</v>
      </c>
      <c r="F115" s="14" t="s">
        <v>20</v>
      </c>
      <c r="G115" s="16">
        <v>2.2149999999999999</v>
      </c>
    </row>
    <row r="116" spans="1:7" x14ac:dyDescent="0.25">
      <c r="A116" s="13" t="s">
        <v>2967</v>
      </c>
      <c r="B116" s="13">
        <v>1849</v>
      </c>
      <c r="C116" s="14" t="str">
        <f>+VLOOKUP(B116,[1]LISTE!$A$1:$D$431,4,FALSE)</f>
        <v>GANHOUBA MEHDI</v>
      </c>
      <c r="D116" s="14" t="s">
        <v>1994</v>
      </c>
      <c r="E116" s="15">
        <v>45973</v>
      </c>
      <c r="F116" s="14" t="s">
        <v>24</v>
      </c>
      <c r="G116" s="16">
        <v>50</v>
      </c>
    </row>
    <row r="117" spans="1:7" x14ac:dyDescent="0.25">
      <c r="A117" s="13" t="s">
        <v>3007</v>
      </c>
      <c r="B117" s="13">
        <v>1861</v>
      </c>
      <c r="C117" s="14" t="str">
        <f>+VLOOKUP(B117,[1]LISTE!$A$1:$D$431,4,FALSE)</f>
        <v>BOUHLEL ANIS BEN MUSTAPHA</v>
      </c>
      <c r="D117" s="14" t="s">
        <v>22</v>
      </c>
      <c r="E117" s="15">
        <v>45982</v>
      </c>
      <c r="F117" s="14" t="s">
        <v>23</v>
      </c>
      <c r="G117" s="16">
        <v>40</v>
      </c>
    </row>
    <row r="118" spans="1:7" x14ac:dyDescent="0.25">
      <c r="A118" s="13" t="s">
        <v>3007</v>
      </c>
      <c r="B118" s="13">
        <v>1861</v>
      </c>
      <c r="C118" s="14" t="str">
        <f>+VLOOKUP(B118,[1]LISTE!$A$1:$D$431,4,FALSE)</f>
        <v>BOUHLEL ANIS BEN MUSTAPHA</v>
      </c>
      <c r="D118" s="14" t="s">
        <v>22</v>
      </c>
      <c r="E118" s="15">
        <v>45982</v>
      </c>
      <c r="F118" s="14" t="s">
        <v>20</v>
      </c>
      <c r="G118" s="16">
        <v>109.669</v>
      </c>
    </row>
    <row r="119" spans="1:7" x14ac:dyDescent="0.25">
      <c r="A119" s="13" t="s">
        <v>3015</v>
      </c>
      <c r="B119" s="13">
        <v>1876</v>
      </c>
      <c r="C119" s="14" t="str">
        <f>+VLOOKUP(B119,[1]LISTE!$A$1:$D$431,4,FALSE)</f>
        <v>LADHERI SAMI</v>
      </c>
      <c r="D119" s="15" t="s">
        <v>147</v>
      </c>
      <c r="E119" s="15">
        <v>45982</v>
      </c>
      <c r="F119" s="14" t="s">
        <v>18</v>
      </c>
      <c r="G119" s="16">
        <v>70</v>
      </c>
    </row>
    <row r="120" spans="1:7" x14ac:dyDescent="0.25">
      <c r="A120" s="13" t="s">
        <v>3015</v>
      </c>
      <c r="B120" s="13">
        <v>1876</v>
      </c>
      <c r="C120" s="14" t="str">
        <f>+VLOOKUP(B120,[1]LISTE!$A$1:$D$431,4,FALSE)</f>
        <v>LADHERI SAMI</v>
      </c>
      <c r="D120" s="15" t="s">
        <v>147</v>
      </c>
      <c r="E120" s="15">
        <v>45984</v>
      </c>
      <c r="F120" s="14" t="s">
        <v>69</v>
      </c>
      <c r="G120" s="16">
        <v>120</v>
      </c>
    </row>
    <row r="121" spans="1:7" x14ac:dyDescent="0.25">
      <c r="A121" s="13" t="s">
        <v>2973</v>
      </c>
      <c r="B121" s="13">
        <v>1877</v>
      </c>
      <c r="C121" s="14" t="str">
        <f>+VLOOKUP(B121,[1]LISTE!$A$1:$D$431,4,FALSE)</f>
        <v>SOUSSI MAHER</v>
      </c>
      <c r="D121" s="15" t="s">
        <v>125</v>
      </c>
      <c r="E121" s="15">
        <v>45973</v>
      </c>
      <c r="F121" s="14" t="s">
        <v>23</v>
      </c>
      <c r="G121" s="16">
        <v>45</v>
      </c>
    </row>
    <row r="122" spans="1:7" x14ac:dyDescent="0.25">
      <c r="A122" s="13" t="s">
        <v>2973</v>
      </c>
      <c r="B122" s="13">
        <v>1877</v>
      </c>
      <c r="C122" s="14" t="str">
        <f>+VLOOKUP(B122,[1]LISTE!$A$1:$D$431,4,FALSE)</f>
        <v>SOUSSI MAHER</v>
      </c>
      <c r="D122" s="14" t="s">
        <v>125</v>
      </c>
      <c r="E122" s="15">
        <v>45973</v>
      </c>
      <c r="F122" s="14" t="s">
        <v>20</v>
      </c>
      <c r="G122" s="16">
        <v>30.92</v>
      </c>
    </row>
    <row r="123" spans="1:7" x14ac:dyDescent="0.25">
      <c r="A123" s="13" t="s">
        <v>2924</v>
      </c>
      <c r="B123" s="13">
        <v>1882</v>
      </c>
      <c r="C123" s="14" t="str">
        <f>+VLOOKUP(B123,[1]LISTE!$A$1:$D$431,4,FALSE)</f>
        <v>AMARA SOFIANE</v>
      </c>
      <c r="D123" s="14" t="s">
        <v>22</v>
      </c>
      <c r="E123" s="15">
        <v>45972</v>
      </c>
      <c r="F123" s="14" t="s">
        <v>25</v>
      </c>
      <c r="G123" s="16">
        <v>200</v>
      </c>
    </row>
    <row r="124" spans="1:7" x14ac:dyDescent="0.25">
      <c r="A124" s="13" t="s">
        <v>2960</v>
      </c>
      <c r="B124" s="13">
        <v>1897</v>
      </c>
      <c r="C124" s="14" t="str">
        <f>+VLOOKUP(B124,[1]LISTE!$A$1:$D$431,4,FALSE)</f>
        <v>BOHLI AMOR</v>
      </c>
      <c r="D124" s="15" t="s">
        <v>1951</v>
      </c>
      <c r="E124" s="15">
        <v>45971</v>
      </c>
      <c r="F124" s="14" t="s">
        <v>23</v>
      </c>
      <c r="G124" s="16">
        <v>40</v>
      </c>
    </row>
    <row r="125" spans="1:7" x14ac:dyDescent="0.25">
      <c r="A125" s="13" t="s">
        <v>2960</v>
      </c>
      <c r="B125" s="13">
        <v>1897</v>
      </c>
      <c r="C125" s="14" t="str">
        <f>+VLOOKUP(B125,[1]LISTE!$A$1:$D$431,4,FALSE)</f>
        <v>BOHLI AMOR</v>
      </c>
      <c r="D125" s="14" t="s">
        <v>1951</v>
      </c>
      <c r="E125" s="15">
        <v>45971</v>
      </c>
      <c r="F125" s="14" t="s">
        <v>20</v>
      </c>
      <c r="G125" s="16">
        <v>82.307000000000002</v>
      </c>
    </row>
    <row r="126" spans="1:7" x14ac:dyDescent="0.25">
      <c r="A126" s="13" t="s">
        <v>2943</v>
      </c>
      <c r="B126" s="13">
        <v>1917</v>
      </c>
      <c r="C126" s="14" t="str">
        <f>+VLOOKUP(B126,[1]LISTE!$A$1:$D$431,4,FALSE)</f>
        <v>HAMILA JAMEL</v>
      </c>
      <c r="D126" s="15" t="s">
        <v>119</v>
      </c>
      <c r="E126" s="15">
        <v>45978</v>
      </c>
      <c r="F126" s="14" t="s">
        <v>23</v>
      </c>
      <c r="G126" s="16">
        <v>45</v>
      </c>
    </row>
    <row r="127" spans="1:7" x14ac:dyDescent="0.25">
      <c r="A127" s="13" t="s">
        <v>2943</v>
      </c>
      <c r="B127" s="13">
        <v>1917</v>
      </c>
      <c r="C127" s="14" t="str">
        <f>+VLOOKUP(B127,[1]LISTE!$A$1:$D$431,4,FALSE)</f>
        <v>HAMILA JAMEL</v>
      </c>
      <c r="D127" s="14" t="s">
        <v>119</v>
      </c>
      <c r="E127" s="15">
        <v>45978</v>
      </c>
      <c r="F127" s="14" t="s">
        <v>20</v>
      </c>
      <c r="G127" s="16">
        <v>160.102</v>
      </c>
    </row>
    <row r="128" spans="1:7" x14ac:dyDescent="0.25">
      <c r="A128" s="13" t="s">
        <v>2944</v>
      </c>
      <c r="B128" s="13">
        <v>1917</v>
      </c>
      <c r="C128" s="14" t="str">
        <f>+VLOOKUP(B128,[1]LISTE!$A$1:$D$431,4,FALSE)</f>
        <v>HAMILA JAMEL</v>
      </c>
      <c r="D128" s="15" t="s">
        <v>22</v>
      </c>
      <c r="E128" s="15">
        <v>45975</v>
      </c>
      <c r="F128" s="14" t="s">
        <v>23</v>
      </c>
      <c r="G128" s="16">
        <v>40</v>
      </c>
    </row>
    <row r="129" spans="1:7" x14ac:dyDescent="0.25">
      <c r="A129" s="13" t="s">
        <v>2944</v>
      </c>
      <c r="B129" s="13">
        <v>1917</v>
      </c>
      <c r="C129" s="14" t="str">
        <f>+VLOOKUP(B129,[1]LISTE!$A$1:$D$431,4,FALSE)</f>
        <v>HAMILA JAMEL</v>
      </c>
      <c r="D129" s="15" t="s">
        <v>22</v>
      </c>
      <c r="E129" s="15">
        <v>45975</v>
      </c>
      <c r="F129" s="14" t="s">
        <v>20</v>
      </c>
      <c r="G129" s="16">
        <v>105.27800000000001</v>
      </c>
    </row>
    <row r="130" spans="1:7" x14ac:dyDescent="0.25">
      <c r="A130" s="13" t="s">
        <v>2945</v>
      </c>
      <c r="B130" s="13">
        <v>1922</v>
      </c>
      <c r="C130" s="14" t="str">
        <f>+VLOOKUP(B130,[1]LISTE!$A$1:$D$431,4,FALSE)</f>
        <v>MAHJOUB FAKER</v>
      </c>
      <c r="D130" s="15" t="s">
        <v>371</v>
      </c>
      <c r="E130" s="15">
        <v>45961</v>
      </c>
      <c r="F130" s="14" t="s">
        <v>21</v>
      </c>
      <c r="G130" s="16">
        <v>12</v>
      </c>
    </row>
    <row r="131" spans="1:7" x14ac:dyDescent="0.25">
      <c r="A131" s="13" t="s">
        <v>2945</v>
      </c>
      <c r="B131" s="13">
        <v>1922</v>
      </c>
      <c r="C131" s="14" t="str">
        <f>+VLOOKUP(B131,[1]LISTE!$A$1:$D$431,4,FALSE)</f>
        <v>MAHJOUB FAKER</v>
      </c>
      <c r="D131" s="15" t="s">
        <v>371</v>
      </c>
      <c r="E131" s="15">
        <v>45965</v>
      </c>
      <c r="F131" s="14" t="s">
        <v>21</v>
      </c>
      <c r="G131" s="16">
        <v>12</v>
      </c>
    </row>
    <row r="132" spans="1:7" x14ac:dyDescent="0.25">
      <c r="A132" s="13" t="s">
        <v>2945</v>
      </c>
      <c r="B132" s="13">
        <v>1922</v>
      </c>
      <c r="C132" s="14" t="str">
        <f>+VLOOKUP(B132,[1]LISTE!$A$1:$D$431,4,FALSE)</f>
        <v>MAHJOUB FAKER</v>
      </c>
      <c r="D132" s="14" t="s">
        <v>371</v>
      </c>
      <c r="E132" s="15">
        <v>45969</v>
      </c>
      <c r="F132" s="14" t="s">
        <v>21</v>
      </c>
      <c r="G132" s="16">
        <v>12</v>
      </c>
    </row>
    <row r="133" spans="1:7" x14ac:dyDescent="0.25">
      <c r="A133" s="13" t="s">
        <v>2946</v>
      </c>
      <c r="B133" s="13">
        <v>1922</v>
      </c>
      <c r="C133" s="14" t="str">
        <f>+VLOOKUP(B133,[1]LISTE!$A$1:$D$431,4,FALSE)</f>
        <v>MAHJOUB FAKER</v>
      </c>
      <c r="D133" s="14" t="s">
        <v>991</v>
      </c>
      <c r="E133" s="15">
        <v>45970</v>
      </c>
      <c r="F133" s="14" t="s">
        <v>312</v>
      </c>
      <c r="G133" s="16">
        <v>250</v>
      </c>
    </row>
    <row r="134" spans="1:7" x14ac:dyDescent="0.25">
      <c r="A134" s="13" t="s">
        <v>2994</v>
      </c>
      <c r="B134" s="13">
        <v>1923</v>
      </c>
      <c r="C134" s="14" t="str">
        <f>+VLOOKUP(B134,[1]LISTE!$A$1:$D$431,4,FALSE)</f>
        <v>BOUAZZA WALID</v>
      </c>
      <c r="D134" s="14" t="s">
        <v>731</v>
      </c>
      <c r="E134" s="15">
        <v>45976</v>
      </c>
      <c r="F134" s="14" t="s">
        <v>18</v>
      </c>
      <c r="G134" s="16">
        <v>60</v>
      </c>
    </row>
    <row r="135" spans="1:7" x14ac:dyDescent="0.25">
      <c r="A135" s="13" t="s">
        <v>2994</v>
      </c>
      <c r="B135" s="13">
        <v>1923</v>
      </c>
      <c r="C135" s="14" t="str">
        <f>+VLOOKUP(B135,[1]LISTE!$A$1:$D$431,4,FALSE)</f>
        <v>BOUAZZA WALID</v>
      </c>
      <c r="D135" s="15" t="s">
        <v>731</v>
      </c>
      <c r="E135" s="15">
        <v>45978</v>
      </c>
      <c r="F135" s="14" t="s">
        <v>20</v>
      </c>
      <c r="G135" s="16">
        <v>56.875</v>
      </c>
    </row>
    <row r="136" spans="1:7" x14ac:dyDescent="0.25">
      <c r="A136" s="13" t="s">
        <v>2994</v>
      </c>
      <c r="B136" s="13">
        <v>1923</v>
      </c>
      <c r="C136" s="14" t="str">
        <f>+VLOOKUP(B136,[1]LISTE!$A$1:$D$431,4,FALSE)</f>
        <v>BOUAZZA WALID</v>
      </c>
      <c r="D136" s="15" t="s">
        <v>731</v>
      </c>
      <c r="E136" s="15">
        <v>45976</v>
      </c>
      <c r="F136" s="14" t="s">
        <v>20</v>
      </c>
      <c r="G136" s="16">
        <v>20.68</v>
      </c>
    </row>
    <row r="137" spans="1:7" x14ac:dyDescent="0.25">
      <c r="A137" s="13" t="s">
        <v>2970</v>
      </c>
      <c r="B137" s="13">
        <v>1924</v>
      </c>
      <c r="C137" s="14" t="str">
        <f>+VLOOKUP(B137,[1]LISTE!$A$1:$D$431,4,FALSE)</f>
        <v>BRAHIM Wahiba</v>
      </c>
      <c r="D137" s="14" t="s">
        <v>22</v>
      </c>
      <c r="E137" s="15">
        <v>45974</v>
      </c>
      <c r="F137" s="14" t="s">
        <v>23</v>
      </c>
      <c r="G137" s="16">
        <v>50</v>
      </c>
    </row>
    <row r="138" spans="1:7" x14ac:dyDescent="0.25">
      <c r="A138" s="13" t="s">
        <v>2970</v>
      </c>
      <c r="B138" s="13">
        <v>1924</v>
      </c>
      <c r="C138" s="14" t="str">
        <f>+VLOOKUP(B138,[1]LISTE!$A$1:$D$431,4,FALSE)</f>
        <v>BRAHIM Wahiba</v>
      </c>
      <c r="D138" s="14" t="s">
        <v>22</v>
      </c>
      <c r="E138" s="15">
        <v>45974</v>
      </c>
      <c r="F138" s="14" t="s">
        <v>20</v>
      </c>
      <c r="G138" s="16">
        <v>71.481999999999999</v>
      </c>
    </row>
    <row r="139" spans="1:7" x14ac:dyDescent="0.25">
      <c r="A139" s="13" t="s">
        <v>2920</v>
      </c>
      <c r="B139" s="13">
        <v>1962</v>
      </c>
      <c r="C139" s="14" t="str">
        <f>+VLOOKUP(B139,[1]LISTE!$A$1:$D$431,4,FALSE)</f>
        <v>HADDAJI ELYES</v>
      </c>
      <c r="D139" s="14" t="s">
        <v>2921</v>
      </c>
      <c r="E139" s="15">
        <v>45958</v>
      </c>
      <c r="F139" s="14" t="s">
        <v>23</v>
      </c>
      <c r="G139" s="16">
        <v>50</v>
      </c>
    </row>
    <row r="140" spans="1:7" x14ac:dyDescent="0.25">
      <c r="A140" s="13" t="s">
        <v>2920</v>
      </c>
      <c r="B140" s="13">
        <v>1962</v>
      </c>
      <c r="C140" s="14" t="str">
        <f>+VLOOKUP(B140,[1]LISTE!$A$1:$D$431,4,FALSE)</f>
        <v>HADDAJI ELYES</v>
      </c>
      <c r="D140" s="14" t="s">
        <v>2921</v>
      </c>
      <c r="E140" s="15">
        <v>45958</v>
      </c>
      <c r="F140" s="14" t="s">
        <v>20</v>
      </c>
      <c r="G140" s="16">
        <v>37.667999999999999</v>
      </c>
    </row>
    <row r="141" spans="1:7" x14ac:dyDescent="0.25">
      <c r="A141" s="13" t="s">
        <v>2920</v>
      </c>
      <c r="B141" s="13">
        <v>1962</v>
      </c>
      <c r="C141" s="14" t="str">
        <f>+VLOOKUP(B141,[1]LISTE!$A$1:$D$431,4,FALSE)</f>
        <v>HADDAJI ELYES</v>
      </c>
      <c r="D141" s="14" t="s">
        <v>2921</v>
      </c>
      <c r="E141" s="15">
        <v>45960</v>
      </c>
      <c r="F141" s="14" t="s">
        <v>19</v>
      </c>
      <c r="G141" s="16">
        <v>192.279</v>
      </c>
    </row>
    <row r="142" spans="1:7" x14ac:dyDescent="0.25">
      <c r="A142" s="13" t="s">
        <v>2920</v>
      </c>
      <c r="B142" s="13">
        <v>1962</v>
      </c>
      <c r="C142" s="14" t="str">
        <f>+VLOOKUP(B142,[1]LISTE!$A$1:$D$431,4,FALSE)</f>
        <v>HADDAJI ELYES</v>
      </c>
      <c r="D142" s="14" t="s">
        <v>2921</v>
      </c>
      <c r="E142" s="15">
        <v>45960</v>
      </c>
      <c r="F142" s="14" t="s">
        <v>20</v>
      </c>
      <c r="G142" s="16">
        <v>35</v>
      </c>
    </row>
    <row r="143" spans="1:7" x14ac:dyDescent="0.25">
      <c r="A143" s="13" t="s">
        <v>2920</v>
      </c>
      <c r="B143" s="13">
        <v>1962</v>
      </c>
      <c r="C143" s="14" t="str">
        <f>+VLOOKUP(B143,[1]LISTE!$A$1:$D$431,4,FALSE)</f>
        <v>HADDAJI ELYES</v>
      </c>
      <c r="D143" s="14" t="s">
        <v>2921</v>
      </c>
      <c r="E143" s="15">
        <v>45958</v>
      </c>
      <c r="F143" s="14" t="s">
        <v>21</v>
      </c>
      <c r="G143" s="16">
        <v>20</v>
      </c>
    </row>
    <row r="144" spans="1:7" x14ac:dyDescent="0.25">
      <c r="A144" s="13" t="s">
        <v>2933</v>
      </c>
      <c r="B144" s="13">
        <v>1962</v>
      </c>
      <c r="C144" s="14" t="str">
        <f>+VLOOKUP(B144,[1]LISTE!$A$1:$D$431,4,FALSE)</f>
        <v>HADDAJI ELYES</v>
      </c>
      <c r="D144" s="14" t="s">
        <v>2921</v>
      </c>
      <c r="E144" s="15">
        <v>45944</v>
      </c>
      <c r="F144" s="14" t="s">
        <v>18</v>
      </c>
      <c r="G144" s="16">
        <v>70</v>
      </c>
    </row>
    <row r="145" spans="1:7" x14ac:dyDescent="0.25">
      <c r="A145" s="13" t="s">
        <v>2933</v>
      </c>
      <c r="B145" s="13">
        <v>1962</v>
      </c>
      <c r="C145" s="14" t="str">
        <f>+VLOOKUP(B145,[1]LISTE!$A$1:$D$431,4,FALSE)</f>
        <v>HADDAJI ELYES</v>
      </c>
      <c r="D145" s="14" t="s">
        <v>2921</v>
      </c>
      <c r="E145" s="15">
        <v>45944</v>
      </c>
      <c r="F145" s="14" t="s">
        <v>18</v>
      </c>
      <c r="G145" s="16">
        <v>70</v>
      </c>
    </row>
    <row r="146" spans="1:7" x14ac:dyDescent="0.25">
      <c r="A146" s="13" t="s">
        <v>2933</v>
      </c>
      <c r="B146" s="13">
        <v>1962</v>
      </c>
      <c r="C146" s="14" t="str">
        <f>+VLOOKUP(B146,[1]LISTE!$A$1:$D$431,4,FALSE)</f>
        <v>HADDAJI ELYES</v>
      </c>
      <c r="D146" s="14" t="s">
        <v>2921</v>
      </c>
      <c r="E146" s="15">
        <v>45944</v>
      </c>
      <c r="F146" s="14" t="s">
        <v>20</v>
      </c>
      <c r="G146" s="16">
        <v>47.174999999999997</v>
      </c>
    </row>
    <row r="147" spans="1:7" x14ac:dyDescent="0.25">
      <c r="A147" s="13" t="s">
        <v>2959</v>
      </c>
      <c r="B147" s="13">
        <v>1980</v>
      </c>
      <c r="C147" s="14" t="str">
        <f>+VLOOKUP(B147,[1]LISTE!$A$1:$D$431,4,FALSE)</f>
        <v>MLAYEH YOUSSEF</v>
      </c>
      <c r="D147" s="14" t="s">
        <v>2262</v>
      </c>
      <c r="E147" s="15">
        <v>45975</v>
      </c>
      <c r="F147" s="14" t="s">
        <v>20</v>
      </c>
      <c r="G147" s="16">
        <v>4.2450000000000001</v>
      </c>
    </row>
    <row r="148" spans="1:7" x14ac:dyDescent="0.25">
      <c r="A148" s="13" t="s">
        <v>2959</v>
      </c>
      <c r="B148" s="13">
        <v>1980</v>
      </c>
      <c r="C148" s="14" t="str">
        <f>+VLOOKUP(B148,[1]LISTE!$A$1:$D$431,4,FALSE)</f>
        <v>MLAYEH YOUSSEF</v>
      </c>
      <c r="D148" s="15" t="s">
        <v>2262</v>
      </c>
      <c r="E148" s="15">
        <v>45975</v>
      </c>
      <c r="F148" s="14" t="s">
        <v>24</v>
      </c>
      <c r="G148" s="16">
        <v>145</v>
      </c>
    </row>
    <row r="149" spans="1:7" x14ac:dyDescent="0.25">
      <c r="A149" s="13" t="s">
        <v>2992</v>
      </c>
      <c r="B149" s="13">
        <v>1990</v>
      </c>
      <c r="C149" s="14" t="s">
        <v>360</v>
      </c>
      <c r="D149" s="14" t="s">
        <v>22</v>
      </c>
      <c r="E149" s="15">
        <v>45964</v>
      </c>
      <c r="F149" s="14" t="s">
        <v>18</v>
      </c>
      <c r="G149" s="16">
        <v>80</v>
      </c>
    </row>
    <row r="150" spans="1:7" x14ac:dyDescent="0.25">
      <c r="A150" s="13" t="s">
        <v>2992</v>
      </c>
      <c r="B150" s="13">
        <v>1990</v>
      </c>
      <c r="C150" s="14" t="s">
        <v>360</v>
      </c>
      <c r="D150" s="14" t="s">
        <v>22</v>
      </c>
      <c r="E150" s="15">
        <v>45964</v>
      </c>
      <c r="F150" s="14" t="s">
        <v>20</v>
      </c>
      <c r="G150" s="16">
        <v>31.225000000000001</v>
      </c>
    </row>
    <row r="151" spans="1:7" x14ac:dyDescent="0.25">
      <c r="A151" s="13" t="s">
        <v>3024</v>
      </c>
      <c r="B151" s="13">
        <v>1990</v>
      </c>
      <c r="C151" s="14" t="s">
        <v>360</v>
      </c>
      <c r="D151" s="14" t="s">
        <v>186</v>
      </c>
      <c r="E151" s="15">
        <v>45982</v>
      </c>
      <c r="F151" s="14" t="s">
        <v>18</v>
      </c>
      <c r="G151" s="16">
        <v>60</v>
      </c>
    </row>
    <row r="152" spans="1:7" x14ac:dyDescent="0.25">
      <c r="A152" s="13" t="s">
        <v>3024</v>
      </c>
      <c r="B152" s="13">
        <v>1990</v>
      </c>
      <c r="C152" s="14" t="s">
        <v>360</v>
      </c>
      <c r="D152" s="14" t="s">
        <v>186</v>
      </c>
      <c r="E152" s="15">
        <v>45982</v>
      </c>
      <c r="F152" s="14" t="s">
        <v>20</v>
      </c>
      <c r="G152" s="16">
        <v>37.79</v>
      </c>
    </row>
    <row r="153" spans="1:7" x14ac:dyDescent="0.25">
      <c r="A153" s="13" t="s">
        <v>3025</v>
      </c>
      <c r="B153" s="13">
        <v>1990</v>
      </c>
      <c r="C153" s="14" t="s">
        <v>360</v>
      </c>
      <c r="D153" s="14" t="s">
        <v>22</v>
      </c>
      <c r="E153" s="15">
        <v>45934</v>
      </c>
      <c r="F153" s="14" t="s">
        <v>18</v>
      </c>
      <c r="G153" s="16">
        <v>80</v>
      </c>
    </row>
    <row r="154" spans="1:7" x14ac:dyDescent="0.25">
      <c r="A154" s="13" t="s">
        <v>3026</v>
      </c>
      <c r="B154" s="13">
        <v>1990</v>
      </c>
      <c r="C154" s="14" t="s">
        <v>360</v>
      </c>
      <c r="D154" s="14" t="s">
        <v>22</v>
      </c>
      <c r="E154" s="15">
        <v>45982</v>
      </c>
      <c r="F154" s="14" t="s">
        <v>18</v>
      </c>
      <c r="G154" s="16">
        <v>80</v>
      </c>
    </row>
    <row r="155" spans="1:7" x14ac:dyDescent="0.25">
      <c r="A155" s="13" t="s">
        <v>3012</v>
      </c>
      <c r="B155" s="13">
        <v>2100</v>
      </c>
      <c r="C155" s="14" t="str">
        <f>+VLOOKUP(B155,[1]LISTE!$A$1:$D$431,4,FALSE)</f>
        <v>MLAYEH NEZIHA</v>
      </c>
      <c r="D155" s="14" t="s">
        <v>284</v>
      </c>
      <c r="E155" s="15">
        <v>45979</v>
      </c>
      <c r="F155" s="14" t="s">
        <v>23</v>
      </c>
      <c r="G155" s="16">
        <v>3</v>
      </c>
    </row>
    <row r="156" spans="1:7" x14ac:dyDescent="0.25">
      <c r="A156" s="13" t="s">
        <v>3012</v>
      </c>
      <c r="B156" s="13">
        <v>2100</v>
      </c>
      <c r="C156" s="14" t="str">
        <f>+VLOOKUP(B156,[1]LISTE!$A$1:$D$431,4,FALSE)</f>
        <v>MLAYEH NEZIHA</v>
      </c>
      <c r="D156" s="14" t="s">
        <v>284</v>
      </c>
      <c r="E156" s="15">
        <v>45985</v>
      </c>
      <c r="F156" s="14" t="s">
        <v>69</v>
      </c>
      <c r="G156" s="16">
        <v>431</v>
      </c>
    </row>
    <row r="157" spans="1:7" x14ac:dyDescent="0.25">
      <c r="A157" s="13" t="s">
        <v>2989</v>
      </c>
      <c r="B157" s="13">
        <v>2125</v>
      </c>
      <c r="C157" s="14" t="str">
        <f>+VLOOKUP(B157,[1]LISTE!$A$1:$D$431,4,FALSE)</f>
        <v>ACHRAF HASSEN</v>
      </c>
      <c r="D157" s="14" t="s">
        <v>1485</v>
      </c>
      <c r="E157" s="15">
        <v>45980</v>
      </c>
      <c r="F157" s="14" t="s">
        <v>18</v>
      </c>
      <c r="G157" s="16">
        <v>70</v>
      </c>
    </row>
    <row r="158" spans="1:7" x14ac:dyDescent="0.25">
      <c r="A158" s="13" t="s">
        <v>2989</v>
      </c>
      <c r="B158" s="13">
        <v>2125</v>
      </c>
      <c r="C158" s="14" t="str">
        <f>+VLOOKUP(B158,[1]LISTE!$A$1:$D$431,4,FALSE)</f>
        <v>ACHRAF HASSEN</v>
      </c>
      <c r="D158" s="14" t="s">
        <v>1485</v>
      </c>
      <c r="E158" s="15">
        <v>45980</v>
      </c>
      <c r="F158" s="14" t="s">
        <v>20</v>
      </c>
      <c r="G158" s="16">
        <v>85.81</v>
      </c>
    </row>
    <row r="159" spans="1:7" x14ac:dyDescent="0.25">
      <c r="A159" s="13" t="s">
        <v>2990</v>
      </c>
      <c r="B159" s="13">
        <v>2125</v>
      </c>
      <c r="C159" s="14" t="str">
        <f>+VLOOKUP(B159,[1]LISTE!$A$1:$D$431,4,FALSE)</f>
        <v>ACHRAF HASSEN</v>
      </c>
      <c r="D159" s="14" t="s">
        <v>1369</v>
      </c>
      <c r="E159" s="15">
        <v>45959</v>
      </c>
      <c r="F159" s="14" t="s">
        <v>23</v>
      </c>
      <c r="G159" s="16">
        <v>40</v>
      </c>
    </row>
    <row r="160" spans="1:7" x14ac:dyDescent="0.25">
      <c r="A160" s="13" t="s">
        <v>2990</v>
      </c>
      <c r="B160" s="13">
        <v>2125</v>
      </c>
      <c r="C160" s="14" t="str">
        <f>+VLOOKUP(B160,[1]LISTE!$A$1:$D$431,4,FALSE)</f>
        <v>ACHRAF HASSEN</v>
      </c>
      <c r="D160" s="14" t="s">
        <v>1369</v>
      </c>
      <c r="E160" s="15">
        <v>45959</v>
      </c>
      <c r="F160" s="14" t="s">
        <v>20</v>
      </c>
      <c r="G160" s="16">
        <v>31.15</v>
      </c>
    </row>
    <row r="161" spans="1:7" x14ac:dyDescent="0.25">
      <c r="A161" s="13" t="s">
        <v>2990</v>
      </c>
      <c r="B161" s="13">
        <v>2125</v>
      </c>
      <c r="C161" s="14" t="str">
        <f>+VLOOKUP(B161,[1]LISTE!$A$1:$D$431,4,FALSE)</f>
        <v>ACHRAF HASSEN</v>
      </c>
      <c r="D161" s="14" t="s">
        <v>1369</v>
      </c>
      <c r="E161" s="15">
        <v>45969</v>
      </c>
      <c r="F161" s="14" t="s">
        <v>20</v>
      </c>
      <c r="G161" s="16">
        <v>36.825000000000003</v>
      </c>
    </row>
    <row r="162" spans="1:7" x14ac:dyDescent="0.25">
      <c r="A162" s="13" t="s">
        <v>2990</v>
      </c>
      <c r="B162" s="13">
        <v>2125</v>
      </c>
      <c r="C162" s="14" t="str">
        <f>+VLOOKUP(B162,[1]LISTE!$A$1:$D$431,4,FALSE)</f>
        <v>ACHRAF HASSEN</v>
      </c>
      <c r="D162" s="14" t="s">
        <v>1369</v>
      </c>
      <c r="E162" s="15">
        <v>45980</v>
      </c>
      <c r="F162" s="14" t="s">
        <v>24</v>
      </c>
      <c r="G162" s="16">
        <v>150</v>
      </c>
    </row>
    <row r="163" spans="1:7" x14ac:dyDescent="0.25">
      <c r="A163" s="13" t="s">
        <v>2981</v>
      </c>
      <c r="B163" s="13">
        <v>2128</v>
      </c>
      <c r="C163" s="14" t="str">
        <f>+VLOOKUP(B163,[1]LISTE!$A$1:$D$431,4,FALSE)</f>
        <v>ILYES DHIFALLAH</v>
      </c>
      <c r="D163" s="14" t="s">
        <v>744</v>
      </c>
      <c r="E163" s="15">
        <v>45968</v>
      </c>
      <c r="F163" s="14" t="s">
        <v>363</v>
      </c>
      <c r="G163" s="16">
        <v>800</v>
      </c>
    </row>
    <row r="164" spans="1:7" x14ac:dyDescent="0.25">
      <c r="A164" s="13" t="s">
        <v>2988</v>
      </c>
      <c r="B164" s="13">
        <v>2137</v>
      </c>
      <c r="C164" s="14" t="str">
        <f>+VLOOKUP(B164,[1]LISTE!$A$1:$D$431,4,FALSE)</f>
        <v>MOHAMED BOUZAMOUCHA</v>
      </c>
      <c r="D164" s="15" t="s">
        <v>22</v>
      </c>
      <c r="E164" s="15">
        <v>45978</v>
      </c>
      <c r="F164" s="14" t="s">
        <v>23</v>
      </c>
      <c r="G164" s="16">
        <v>50</v>
      </c>
    </row>
    <row r="165" spans="1:7" x14ac:dyDescent="0.25">
      <c r="A165" s="13" t="s">
        <v>2988</v>
      </c>
      <c r="B165" s="13">
        <v>2137</v>
      </c>
      <c r="C165" s="14" t="str">
        <f>+VLOOKUP(B165,[1]LISTE!$A$1:$D$431,4,FALSE)</f>
        <v>MOHAMED BOUZAMOUCHA</v>
      </c>
      <c r="D165" s="14" t="s">
        <v>22</v>
      </c>
      <c r="E165" s="15">
        <v>45978</v>
      </c>
      <c r="F165" s="14" t="s">
        <v>20</v>
      </c>
      <c r="G165" s="16">
        <v>31.625</v>
      </c>
    </row>
    <row r="166" spans="1:7" x14ac:dyDescent="0.25">
      <c r="A166" s="13" t="s">
        <v>2951</v>
      </c>
      <c r="B166" s="13">
        <v>2145</v>
      </c>
      <c r="C166" s="14" t="str">
        <f>+VLOOKUP(B166,[1]LISTE!$A$1:$D$431,4,FALSE)</f>
        <v>MRIBAH HAMZA</v>
      </c>
      <c r="D166" s="14" t="s">
        <v>44</v>
      </c>
      <c r="E166" s="15">
        <v>45968</v>
      </c>
      <c r="F166" s="14" t="s">
        <v>18</v>
      </c>
      <c r="G166" s="16">
        <v>70</v>
      </c>
    </row>
    <row r="167" spans="1:7" x14ac:dyDescent="0.25">
      <c r="A167" s="13" t="s">
        <v>2963</v>
      </c>
      <c r="B167" s="13">
        <v>2145</v>
      </c>
      <c r="C167" s="14" t="str">
        <f>+VLOOKUP(B167,[1]LISTE!$A$1:$D$431,4,FALSE)</f>
        <v>MRIBAH HAMZA</v>
      </c>
      <c r="D167" s="15" t="s">
        <v>2964</v>
      </c>
      <c r="E167" s="15">
        <v>45976</v>
      </c>
      <c r="F167" s="14" t="s">
        <v>312</v>
      </c>
      <c r="G167" s="16">
        <v>250</v>
      </c>
    </row>
    <row r="168" spans="1:7" x14ac:dyDescent="0.25">
      <c r="A168" s="13" t="s">
        <v>2939</v>
      </c>
      <c r="B168" s="13">
        <v>2149</v>
      </c>
      <c r="C168" s="14" t="str">
        <f>+VLOOKUP(B168,[1]LISTE!$A$1:$D$431,4,FALSE)</f>
        <v>BERRIRI HOUSSEM</v>
      </c>
      <c r="D168" s="15" t="s">
        <v>22</v>
      </c>
      <c r="E168" s="15">
        <v>45962</v>
      </c>
      <c r="F168" s="14" t="s">
        <v>23</v>
      </c>
      <c r="G168" s="16">
        <v>50</v>
      </c>
    </row>
    <row r="169" spans="1:7" x14ac:dyDescent="0.25">
      <c r="A169" s="13" t="s">
        <v>2939</v>
      </c>
      <c r="B169" s="13">
        <v>2149</v>
      </c>
      <c r="C169" s="14" t="str">
        <f>+VLOOKUP(B169,[1]LISTE!$A$1:$D$431,4,FALSE)</f>
        <v>BERRIRI HOUSSEM</v>
      </c>
      <c r="D169" s="14" t="s">
        <v>22</v>
      </c>
      <c r="E169" s="15">
        <v>45962</v>
      </c>
      <c r="F169" s="14" t="s">
        <v>20</v>
      </c>
      <c r="G169" s="16">
        <v>11.615</v>
      </c>
    </row>
    <row r="170" spans="1:7" x14ac:dyDescent="0.25">
      <c r="A170" s="13" t="s">
        <v>2939</v>
      </c>
      <c r="B170" s="13">
        <v>2149</v>
      </c>
      <c r="C170" s="14" t="str">
        <f>+VLOOKUP(B170,[1]LISTE!$A$1:$D$431,4,FALSE)</f>
        <v>BERRIRI HOUSSEM</v>
      </c>
      <c r="D170" s="14" t="s">
        <v>22</v>
      </c>
      <c r="E170" s="15">
        <v>45964</v>
      </c>
      <c r="F170" s="14" t="s">
        <v>24</v>
      </c>
      <c r="G170" s="16">
        <v>150</v>
      </c>
    </row>
    <row r="171" spans="1:7" x14ac:dyDescent="0.25">
      <c r="A171" s="13" t="s">
        <v>2939</v>
      </c>
      <c r="B171" s="13">
        <v>2149</v>
      </c>
      <c r="C171" s="14" t="str">
        <f>+VLOOKUP(B171,[1]LISTE!$A$1:$D$431,4,FALSE)</f>
        <v>BERRIRI HOUSSEM</v>
      </c>
      <c r="D171" s="14" t="s">
        <v>22</v>
      </c>
      <c r="E171" s="15">
        <v>45969</v>
      </c>
      <c r="F171" s="14" t="s">
        <v>25</v>
      </c>
      <c r="G171" s="16">
        <v>900</v>
      </c>
    </row>
    <row r="172" spans="1:7" x14ac:dyDescent="0.25">
      <c r="A172" s="13" t="s">
        <v>2936</v>
      </c>
      <c r="B172" s="13">
        <v>2151</v>
      </c>
      <c r="C172" s="14" t="str">
        <f>+VLOOKUP(B172,[1]LISTE!$A$1:$D$431,4,FALSE)</f>
        <v>JELLITI MOHAMED</v>
      </c>
      <c r="D172" s="14" t="s">
        <v>22</v>
      </c>
      <c r="E172" s="15">
        <v>45969</v>
      </c>
      <c r="F172" s="14" t="s">
        <v>18</v>
      </c>
      <c r="G172" s="16">
        <v>70</v>
      </c>
    </row>
    <row r="173" spans="1:7" x14ac:dyDescent="0.25">
      <c r="A173" s="13" t="s">
        <v>2936</v>
      </c>
      <c r="B173" s="13">
        <v>2151</v>
      </c>
      <c r="C173" s="14" t="str">
        <f>+VLOOKUP(B173,[1]LISTE!$A$1:$D$431,4,FALSE)</f>
        <v>JELLITI MOHAMED</v>
      </c>
      <c r="D173" s="14" t="s">
        <v>22</v>
      </c>
      <c r="E173" s="15">
        <v>45969</v>
      </c>
      <c r="F173" s="14" t="s">
        <v>20</v>
      </c>
      <c r="G173" s="16">
        <v>43.52</v>
      </c>
    </row>
    <row r="174" spans="1:7" x14ac:dyDescent="0.25">
      <c r="A174" s="13" t="s">
        <v>2936</v>
      </c>
      <c r="B174" s="13">
        <v>2151</v>
      </c>
      <c r="C174" s="14" t="str">
        <f>+VLOOKUP(B174,[1]LISTE!$A$1:$D$431,4,FALSE)</f>
        <v>JELLITI MOHAMED</v>
      </c>
      <c r="D174" s="14" t="s">
        <v>22</v>
      </c>
      <c r="E174" s="15">
        <v>45969</v>
      </c>
      <c r="F174" s="14" t="s">
        <v>21</v>
      </c>
      <c r="G174" s="16">
        <v>60</v>
      </c>
    </row>
    <row r="175" spans="1:7" x14ac:dyDescent="0.25">
      <c r="A175" s="13" t="s">
        <v>2978</v>
      </c>
      <c r="B175" s="13">
        <v>2170</v>
      </c>
      <c r="C175" s="14" t="str">
        <f>+VLOOKUP(B175,[1]LISTE!$A$1:$D$431,4,FALSE)</f>
        <v>BEN AHMED ANOUAR</v>
      </c>
      <c r="D175" s="15" t="s">
        <v>2979</v>
      </c>
      <c r="E175" s="15">
        <v>45980</v>
      </c>
      <c r="F175" s="14" t="s">
        <v>18</v>
      </c>
      <c r="G175" s="16">
        <v>60</v>
      </c>
    </row>
    <row r="176" spans="1:7" x14ac:dyDescent="0.25">
      <c r="A176" s="13" t="s">
        <v>2978</v>
      </c>
      <c r="B176" s="13">
        <v>2170</v>
      </c>
      <c r="C176" s="14" t="str">
        <f>+VLOOKUP(B176,[1]LISTE!$A$1:$D$431,4,FALSE)</f>
        <v>BEN AHMED ANOUAR</v>
      </c>
      <c r="D176" s="15" t="s">
        <v>2979</v>
      </c>
      <c r="E176" s="15">
        <v>45980</v>
      </c>
      <c r="F176" s="14" t="s">
        <v>20</v>
      </c>
      <c r="G176" s="16">
        <v>14.182</v>
      </c>
    </row>
    <row r="177" spans="1:7" x14ac:dyDescent="0.25">
      <c r="A177" s="13" t="s">
        <v>2986</v>
      </c>
      <c r="B177" s="13">
        <v>2200</v>
      </c>
      <c r="C177" s="14" t="s">
        <v>2987</v>
      </c>
      <c r="D177" s="15" t="s">
        <v>306</v>
      </c>
      <c r="E177" s="15">
        <v>45980</v>
      </c>
      <c r="F177" s="14" t="s">
        <v>23</v>
      </c>
      <c r="G177" s="16">
        <v>3</v>
      </c>
    </row>
    <row r="178" spans="1:7" x14ac:dyDescent="0.25">
      <c r="A178" s="13" t="s">
        <v>2986</v>
      </c>
      <c r="B178" s="13">
        <v>2200</v>
      </c>
      <c r="C178" s="14" t="s">
        <v>2987</v>
      </c>
      <c r="D178" s="15" t="s">
        <v>306</v>
      </c>
      <c r="E178" s="15">
        <v>45980</v>
      </c>
      <c r="F178" s="14" t="s">
        <v>20</v>
      </c>
      <c r="G178" s="16">
        <v>36.393000000000001</v>
      </c>
    </row>
    <row r="179" spans="1:7" x14ac:dyDescent="0.25">
      <c r="A179" s="13" t="s">
        <v>2917</v>
      </c>
      <c r="B179" s="13">
        <v>2212</v>
      </c>
      <c r="C179" s="14" t="s">
        <v>1208</v>
      </c>
      <c r="D179" s="15" t="s">
        <v>2918</v>
      </c>
      <c r="E179" s="15">
        <v>45972</v>
      </c>
      <c r="F179" s="14" t="s">
        <v>312</v>
      </c>
      <c r="G179" s="16">
        <v>250</v>
      </c>
    </row>
    <row r="180" spans="1:7" x14ac:dyDescent="0.25">
      <c r="A180" s="13" t="s">
        <v>2937</v>
      </c>
      <c r="B180" s="13">
        <v>2213</v>
      </c>
      <c r="C180" s="14" t="s">
        <v>1523</v>
      </c>
      <c r="D180" s="14" t="s">
        <v>22</v>
      </c>
      <c r="E180" s="15">
        <v>45972</v>
      </c>
      <c r="F180" s="14" t="s">
        <v>18</v>
      </c>
      <c r="G180" s="16">
        <v>70</v>
      </c>
    </row>
    <row r="181" spans="1:7" x14ac:dyDescent="0.25">
      <c r="A181" s="13" t="s">
        <v>2937</v>
      </c>
      <c r="B181" s="13">
        <v>2213</v>
      </c>
      <c r="C181" s="14" t="s">
        <v>1523</v>
      </c>
      <c r="D181" s="14" t="s">
        <v>22</v>
      </c>
      <c r="E181" s="15">
        <v>45972</v>
      </c>
      <c r="F181" s="14" t="s">
        <v>20</v>
      </c>
      <c r="G181" s="16">
        <v>30.98</v>
      </c>
    </row>
    <row r="182" spans="1:7" x14ac:dyDescent="0.25">
      <c r="A182" s="13" t="s">
        <v>2937</v>
      </c>
      <c r="B182" s="13">
        <v>2213</v>
      </c>
      <c r="C182" s="14" t="s">
        <v>1523</v>
      </c>
      <c r="D182" s="14" t="s">
        <v>22</v>
      </c>
      <c r="E182" s="15">
        <v>45972</v>
      </c>
      <c r="F182" s="14" t="s">
        <v>21</v>
      </c>
      <c r="G182" s="16">
        <v>80</v>
      </c>
    </row>
    <row r="183" spans="1:7" x14ac:dyDescent="0.25">
      <c r="A183" s="13" t="s">
        <v>2968</v>
      </c>
      <c r="B183" s="13">
        <v>2213</v>
      </c>
      <c r="C183" s="14" t="s">
        <v>1523</v>
      </c>
      <c r="D183" s="15" t="s">
        <v>22</v>
      </c>
      <c r="E183" s="15">
        <v>45968</v>
      </c>
      <c r="F183" s="14" t="s">
        <v>23</v>
      </c>
      <c r="G183" s="16">
        <v>25</v>
      </c>
    </row>
    <row r="184" spans="1:7" x14ac:dyDescent="0.25">
      <c r="A184" s="13" t="s">
        <v>2968</v>
      </c>
      <c r="B184" s="13">
        <v>2213</v>
      </c>
      <c r="C184" s="14" t="s">
        <v>1523</v>
      </c>
      <c r="D184" s="14" t="s">
        <v>22</v>
      </c>
      <c r="E184" s="15">
        <v>45968</v>
      </c>
      <c r="F184" s="14" t="s">
        <v>20</v>
      </c>
      <c r="G184" s="16">
        <v>46.45</v>
      </c>
    </row>
    <row r="185" spans="1:7" x14ac:dyDescent="0.25">
      <c r="A185" s="13" t="s">
        <v>3004</v>
      </c>
      <c r="B185" s="13">
        <v>2213</v>
      </c>
      <c r="C185" s="14" t="s">
        <v>1523</v>
      </c>
      <c r="D185" s="14" t="s">
        <v>428</v>
      </c>
      <c r="E185" s="15">
        <v>45983</v>
      </c>
      <c r="F185" s="14" t="s">
        <v>23</v>
      </c>
      <c r="G185" s="16">
        <v>45</v>
      </c>
    </row>
    <row r="186" spans="1:7" x14ac:dyDescent="0.25">
      <c r="A186" s="13" t="s">
        <v>3004</v>
      </c>
      <c r="B186" s="13">
        <v>2213</v>
      </c>
      <c r="C186" s="14" t="s">
        <v>1523</v>
      </c>
      <c r="D186" s="15" t="s">
        <v>428</v>
      </c>
      <c r="E186" s="15">
        <v>45983</v>
      </c>
      <c r="F186" s="14" t="s">
        <v>20</v>
      </c>
      <c r="G186" s="16">
        <v>52.796999999999997</v>
      </c>
    </row>
    <row r="187" spans="1:7" x14ac:dyDescent="0.25">
      <c r="A187" s="13" t="s">
        <v>2925</v>
      </c>
      <c r="B187" s="13">
        <v>2229</v>
      </c>
      <c r="C187" s="14" t="s">
        <v>720</v>
      </c>
      <c r="D187" s="14" t="s">
        <v>721</v>
      </c>
      <c r="E187" s="15">
        <v>45965</v>
      </c>
      <c r="F187" s="14" t="s">
        <v>18</v>
      </c>
      <c r="G187" s="16">
        <v>70</v>
      </c>
    </row>
    <row r="188" spans="1:7" x14ac:dyDescent="0.25">
      <c r="A188" s="13" t="s">
        <v>2925</v>
      </c>
      <c r="B188" s="13">
        <v>2229</v>
      </c>
      <c r="C188" s="14" t="s">
        <v>720</v>
      </c>
      <c r="D188" s="14" t="s">
        <v>721</v>
      </c>
      <c r="E188" s="15">
        <v>45965</v>
      </c>
      <c r="F188" s="14" t="s">
        <v>19</v>
      </c>
      <c r="G188" s="16">
        <v>192.39</v>
      </c>
    </row>
    <row r="189" spans="1:7" x14ac:dyDescent="0.25">
      <c r="A189" s="13" t="s">
        <v>2925</v>
      </c>
      <c r="B189" s="13">
        <v>2229</v>
      </c>
      <c r="C189" s="14" t="s">
        <v>720</v>
      </c>
      <c r="D189" s="14" t="s">
        <v>721</v>
      </c>
      <c r="E189" s="15">
        <v>45972</v>
      </c>
      <c r="F189" s="14" t="s">
        <v>21</v>
      </c>
      <c r="G189" s="16">
        <v>300</v>
      </c>
    </row>
    <row r="190" spans="1:7" x14ac:dyDescent="0.25">
      <c r="A190" s="13" t="s">
        <v>2961</v>
      </c>
      <c r="B190" s="13">
        <v>2246</v>
      </c>
      <c r="C190" s="14" t="s">
        <v>664</v>
      </c>
      <c r="D190" s="15" t="s">
        <v>665</v>
      </c>
      <c r="E190" s="15">
        <v>45959</v>
      </c>
      <c r="F190" s="14" t="s">
        <v>18</v>
      </c>
      <c r="G190" s="16">
        <v>70</v>
      </c>
    </row>
    <row r="191" spans="1:7" x14ac:dyDescent="0.25">
      <c r="A191" s="13" t="s">
        <v>2961</v>
      </c>
      <c r="B191" s="13">
        <v>2246</v>
      </c>
      <c r="C191" s="14" t="s">
        <v>664</v>
      </c>
      <c r="D191" s="14" t="s">
        <v>665</v>
      </c>
      <c r="E191" s="15">
        <v>45959</v>
      </c>
      <c r="F191" s="14" t="s">
        <v>20</v>
      </c>
      <c r="G191" s="16">
        <v>78.167000000000002</v>
      </c>
    </row>
    <row r="192" spans="1:7" x14ac:dyDescent="0.25">
      <c r="A192" s="13" t="s">
        <v>2961</v>
      </c>
      <c r="B192" s="13">
        <v>2246</v>
      </c>
      <c r="C192" s="14" t="s">
        <v>664</v>
      </c>
      <c r="D192" s="14" t="s">
        <v>665</v>
      </c>
      <c r="E192" s="15">
        <v>45964</v>
      </c>
      <c r="F192" s="14" t="s">
        <v>20</v>
      </c>
      <c r="G192" s="16">
        <v>48.426000000000002</v>
      </c>
    </row>
    <row r="193" spans="1:7" x14ac:dyDescent="0.25">
      <c r="A193" s="13" t="s">
        <v>2999</v>
      </c>
      <c r="B193" s="13">
        <v>2252</v>
      </c>
      <c r="C193" s="14" t="s">
        <v>1971</v>
      </c>
      <c r="D193" s="14" t="s">
        <v>1260</v>
      </c>
      <c r="E193" s="15">
        <v>45978</v>
      </c>
      <c r="F193" s="14" t="s">
        <v>23</v>
      </c>
      <c r="G193" s="16">
        <v>50</v>
      </c>
    </row>
    <row r="194" spans="1:7" x14ac:dyDescent="0.25">
      <c r="A194" s="13" t="s">
        <v>2999</v>
      </c>
      <c r="B194" s="13">
        <v>2252</v>
      </c>
      <c r="C194" s="14" t="s">
        <v>1971</v>
      </c>
      <c r="D194" s="14" t="s">
        <v>1260</v>
      </c>
      <c r="E194" s="15">
        <v>45978</v>
      </c>
      <c r="F194" s="14" t="s">
        <v>20</v>
      </c>
      <c r="G194" s="16">
        <v>43.38</v>
      </c>
    </row>
    <row r="195" spans="1:7" x14ac:dyDescent="0.25">
      <c r="A195" s="13" t="s">
        <v>2929</v>
      </c>
      <c r="B195" s="13">
        <v>2326</v>
      </c>
      <c r="C195" s="14" t="s">
        <v>28</v>
      </c>
      <c r="D195" s="14" t="s">
        <v>67</v>
      </c>
      <c r="E195" s="15">
        <v>45974</v>
      </c>
      <c r="F195" s="14" t="s">
        <v>18</v>
      </c>
      <c r="G195" s="16">
        <v>60</v>
      </c>
    </row>
    <row r="196" spans="1:7" x14ac:dyDescent="0.25">
      <c r="A196" s="13" t="s">
        <v>2929</v>
      </c>
      <c r="B196" s="13">
        <v>2326</v>
      </c>
      <c r="C196" s="14" t="s">
        <v>28</v>
      </c>
      <c r="D196" s="14" t="s">
        <v>67</v>
      </c>
      <c r="E196" s="15">
        <v>45974</v>
      </c>
      <c r="F196" s="14" t="s">
        <v>20</v>
      </c>
      <c r="G196" s="16">
        <v>37.15</v>
      </c>
    </row>
    <row r="197" spans="1:7" x14ac:dyDescent="0.25">
      <c r="A197" s="13" t="s">
        <v>2995</v>
      </c>
      <c r="B197" s="13">
        <v>2326</v>
      </c>
      <c r="C197" s="14" t="s">
        <v>28</v>
      </c>
      <c r="D197" s="15" t="s">
        <v>923</v>
      </c>
      <c r="E197" s="15">
        <v>45974</v>
      </c>
      <c r="F197" s="14" t="s">
        <v>18</v>
      </c>
      <c r="G197" s="16">
        <v>70</v>
      </c>
    </row>
    <row r="198" spans="1:7" x14ac:dyDescent="0.25">
      <c r="A198" s="13" t="s">
        <v>2995</v>
      </c>
      <c r="B198" s="13">
        <v>2326</v>
      </c>
      <c r="C198" s="14" t="s">
        <v>28</v>
      </c>
      <c r="D198" s="15" t="s">
        <v>923</v>
      </c>
      <c r="E198" s="15">
        <v>45974</v>
      </c>
      <c r="F198" s="14" t="s">
        <v>20</v>
      </c>
      <c r="G198" s="16">
        <v>61.173999999999999</v>
      </c>
    </row>
    <row r="199" spans="1:7" x14ac:dyDescent="0.25">
      <c r="A199" s="13" t="s">
        <v>2996</v>
      </c>
      <c r="B199" s="13">
        <v>2326</v>
      </c>
      <c r="C199" s="14" t="s">
        <v>28</v>
      </c>
      <c r="D199" s="14" t="s">
        <v>923</v>
      </c>
      <c r="E199" s="15">
        <v>45951</v>
      </c>
      <c r="F199" s="14" t="s">
        <v>18</v>
      </c>
      <c r="G199" s="16">
        <v>70</v>
      </c>
    </row>
    <row r="200" spans="1:7" x14ac:dyDescent="0.25">
      <c r="A200" s="13" t="s">
        <v>2996</v>
      </c>
      <c r="B200" s="13">
        <v>2326</v>
      </c>
      <c r="C200" s="14" t="s">
        <v>28</v>
      </c>
      <c r="D200" s="14" t="s">
        <v>923</v>
      </c>
      <c r="E200" s="15">
        <v>45951</v>
      </c>
      <c r="F200" s="14" t="s">
        <v>20</v>
      </c>
      <c r="G200" s="16">
        <v>39.804000000000002</v>
      </c>
    </row>
    <row r="201" spans="1:7" x14ac:dyDescent="0.25">
      <c r="A201" s="13" t="s">
        <v>2996</v>
      </c>
      <c r="B201" s="13">
        <v>2326</v>
      </c>
      <c r="C201" s="14" t="s">
        <v>28</v>
      </c>
      <c r="D201" s="14" t="s">
        <v>923</v>
      </c>
      <c r="E201" s="15">
        <v>45951</v>
      </c>
      <c r="F201" s="14" t="s">
        <v>19</v>
      </c>
      <c r="G201" s="16">
        <v>39.92</v>
      </c>
    </row>
    <row r="202" spans="1:7" x14ac:dyDescent="0.25">
      <c r="A202" s="13" t="s">
        <v>3016</v>
      </c>
      <c r="B202" s="13">
        <v>2337</v>
      </c>
      <c r="C202" s="14" t="s">
        <v>210</v>
      </c>
      <c r="D202" s="15" t="s">
        <v>353</v>
      </c>
      <c r="E202" s="15">
        <v>45966</v>
      </c>
      <c r="F202" s="14" t="s">
        <v>18</v>
      </c>
      <c r="G202" s="16">
        <v>70</v>
      </c>
    </row>
    <row r="203" spans="1:7" x14ac:dyDescent="0.25">
      <c r="A203" s="13" t="s">
        <v>3016</v>
      </c>
      <c r="B203" s="13">
        <v>2337</v>
      </c>
      <c r="C203" s="14" t="s">
        <v>210</v>
      </c>
      <c r="D203" s="15" t="s">
        <v>353</v>
      </c>
      <c r="E203" s="15">
        <v>45966</v>
      </c>
      <c r="F203" s="14" t="s">
        <v>20</v>
      </c>
      <c r="G203" s="16">
        <v>181.869</v>
      </c>
    </row>
    <row r="204" spans="1:7" x14ac:dyDescent="0.25">
      <c r="A204" s="13" t="s">
        <v>3016</v>
      </c>
      <c r="B204" s="13">
        <v>2337</v>
      </c>
      <c r="C204" s="14" t="s">
        <v>210</v>
      </c>
      <c r="D204" s="14" t="s">
        <v>353</v>
      </c>
      <c r="E204" s="15">
        <v>45967</v>
      </c>
      <c r="F204" s="14" t="s">
        <v>19</v>
      </c>
      <c r="G204" s="16">
        <v>91.96</v>
      </c>
    </row>
    <row r="205" spans="1:7" x14ac:dyDescent="0.25">
      <c r="A205" s="13" t="s">
        <v>2969</v>
      </c>
      <c r="B205" s="13">
        <v>2363</v>
      </c>
      <c r="C205" s="14" t="s">
        <v>1599</v>
      </c>
      <c r="D205" s="14" t="s">
        <v>353</v>
      </c>
      <c r="E205" s="15">
        <v>45976</v>
      </c>
      <c r="F205" s="14" t="s">
        <v>18</v>
      </c>
      <c r="G205" s="16">
        <v>70</v>
      </c>
    </row>
    <row r="206" spans="1:7" x14ac:dyDescent="0.25">
      <c r="A206" s="13" t="s">
        <v>2969</v>
      </c>
      <c r="B206" s="13">
        <v>2363</v>
      </c>
      <c r="C206" s="14" t="s">
        <v>1599</v>
      </c>
      <c r="D206" s="15" t="s">
        <v>353</v>
      </c>
      <c r="E206" s="15">
        <v>45976</v>
      </c>
      <c r="F206" s="14" t="s">
        <v>20</v>
      </c>
      <c r="G206" s="16">
        <v>111.34</v>
      </c>
    </row>
    <row r="207" spans="1:7" x14ac:dyDescent="0.25">
      <c r="A207" s="13" t="s">
        <v>2993</v>
      </c>
      <c r="B207" s="13">
        <v>2366</v>
      </c>
      <c r="C207" s="14" t="s">
        <v>2363</v>
      </c>
      <c r="D207" s="14" t="s">
        <v>22</v>
      </c>
      <c r="E207" s="15">
        <v>45969</v>
      </c>
      <c r="F207" s="14" t="s">
        <v>23</v>
      </c>
      <c r="G207" s="16">
        <v>40</v>
      </c>
    </row>
    <row r="208" spans="1:7" x14ac:dyDescent="0.25">
      <c r="A208" s="13" t="s">
        <v>2993</v>
      </c>
      <c r="B208" s="13">
        <v>2366</v>
      </c>
      <c r="C208" s="14" t="s">
        <v>2363</v>
      </c>
      <c r="D208" s="14" t="s">
        <v>22</v>
      </c>
      <c r="E208" s="15">
        <v>45974</v>
      </c>
      <c r="F208" s="14" t="s">
        <v>20</v>
      </c>
      <c r="G208" s="16">
        <v>73.311999999999998</v>
      </c>
    </row>
    <row r="209" spans="1:7" x14ac:dyDescent="0.25">
      <c r="A209" s="13" t="s">
        <v>2993</v>
      </c>
      <c r="B209" s="13">
        <v>2366</v>
      </c>
      <c r="C209" s="14" t="s">
        <v>2363</v>
      </c>
      <c r="D209" s="14" t="s">
        <v>22</v>
      </c>
      <c r="E209" s="15">
        <v>45976</v>
      </c>
      <c r="F209" s="14" t="s">
        <v>19</v>
      </c>
      <c r="G209" s="16">
        <v>212.35499999999999</v>
      </c>
    </row>
    <row r="210" spans="1:7" x14ac:dyDescent="0.25">
      <c r="A210" s="13" t="s">
        <v>2954</v>
      </c>
      <c r="B210" s="13">
        <v>2448</v>
      </c>
      <c r="C210" s="14" t="s">
        <v>2119</v>
      </c>
      <c r="D210" s="14" t="s">
        <v>1534</v>
      </c>
      <c r="E210" s="15">
        <v>45972</v>
      </c>
      <c r="F210" s="14" t="s">
        <v>21</v>
      </c>
      <c r="G210" s="16">
        <v>160</v>
      </c>
    </row>
    <row r="211" spans="1:7" x14ac:dyDescent="0.25">
      <c r="A211" s="13" t="s">
        <v>3002</v>
      </c>
      <c r="B211" s="13">
        <v>2479</v>
      </c>
      <c r="C211" s="14" t="s">
        <v>1712</v>
      </c>
      <c r="D211" s="15" t="s">
        <v>3003</v>
      </c>
      <c r="E211" s="15">
        <v>45986</v>
      </c>
      <c r="F211" s="14" t="s">
        <v>23</v>
      </c>
      <c r="G211" s="16">
        <v>60</v>
      </c>
    </row>
    <row r="212" spans="1:7" x14ac:dyDescent="0.25">
      <c r="A212" s="13" t="s">
        <v>3002</v>
      </c>
      <c r="B212" s="13">
        <v>2479</v>
      </c>
      <c r="C212" s="14" t="s">
        <v>1712</v>
      </c>
      <c r="D212" s="15" t="s">
        <v>3003</v>
      </c>
      <c r="E212" s="15">
        <v>45986</v>
      </c>
      <c r="F212" s="14" t="s">
        <v>20</v>
      </c>
      <c r="G212" s="16">
        <v>4.8</v>
      </c>
    </row>
    <row r="213" spans="1:7" x14ac:dyDescent="0.25">
      <c r="A213" s="13" t="s">
        <v>2926</v>
      </c>
      <c r="B213" s="13">
        <v>2486</v>
      </c>
      <c r="C213" s="14" t="s">
        <v>2771</v>
      </c>
      <c r="D213" s="14" t="s">
        <v>22</v>
      </c>
      <c r="E213" s="15">
        <v>45972</v>
      </c>
      <c r="F213" s="14" t="s">
        <v>23</v>
      </c>
      <c r="G213" s="16">
        <v>3</v>
      </c>
    </row>
    <row r="214" spans="1:7" x14ac:dyDescent="0.25">
      <c r="A214" s="13" t="s">
        <v>2926</v>
      </c>
      <c r="B214" s="13">
        <v>2486</v>
      </c>
      <c r="C214" s="14" t="s">
        <v>2771</v>
      </c>
      <c r="D214" s="14" t="s">
        <v>22</v>
      </c>
      <c r="E214" s="15">
        <v>45972</v>
      </c>
      <c r="F214" s="14" t="s">
        <v>20</v>
      </c>
      <c r="G214" s="16">
        <v>34.96</v>
      </c>
    </row>
    <row r="215" spans="1:7" x14ac:dyDescent="0.25">
      <c r="A215" s="13" t="s">
        <v>2977</v>
      </c>
      <c r="B215" s="13">
        <v>2509</v>
      </c>
      <c r="C215" s="14" t="s">
        <v>1963</v>
      </c>
      <c r="D215" s="14" t="s">
        <v>22</v>
      </c>
      <c r="E215" s="15">
        <v>45974</v>
      </c>
      <c r="F215" s="14" t="s">
        <v>23</v>
      </c>
      <c r="G215" s="16">
        <v>50</v>
      </c>
    </row>
    <row r="216" spans="1:7" x14ac:dyDescent="0.25">
      <c r="A216" s="13" t="s">
        <v>2977</v>
      </c>
      <c r="B216" s="13">
        <v>2509</v>
      </c>
      <c r="C216" s="14" t="s">
        <v>1963</v>
      </c>
      <c r="D216" s="14" t="s">
        <v>22</v>
      </c>
      <c r="E216" s="15">
        <v>45974</v>
      </c>
      <c r="F216" s="14" t="s">
        <v>20</v>
      </c>
      <c r="G216" s="16">
        <v>22.824999999999999</v>
      </c>
    </row>
    <row r="217" spans="1:7" x14ac:dyDescent="0.25">
      <c r="A217" s="13" t="s">
        <v>2977</v>
      </c>
      <c r="B217" s="13">
        <v>2509</v>
      </c>
      <c r="C217" s="14" t="s">
        <v>1963</v>
      </c>
      <c r="D217" s="15" t="s">
        <v>22</v>
      </c>
      <c r="E217" s="15">
        <v>45980</v>
      </c>
      <c r="F217" s="14" t="s">
        <v>20</v>
      </c>
      <c r="G217" s="16">
        <v>16.966999999999999</v>
      </c>
    </row>
    <row r="218" spans="1:7" x14ac:dyDescent="0.25">
      <c r="A218" s="13" t="s">
        <v>2977</v>
      </c>
      <c r="B218" s="13">
        <v>2509</v>
      </c>
      <c r="C218" s="14" t="s">
        <v>1963</v>
      </c>
      <c r="D218" s="15" t="s">
        <v>22</v>
      </c>
      <c r="E218" s="15">
        <v>45980</v>
      </c>
      <c r="F218" s="14" t="s">
        <v>24</v>
      </c>
      <c r="G218" s="16">
        <v>140</v>
      </c>
    </row>
    <row r="219" spans="1:7" x14ac:dyDescent="0.25">
      <c r="A219" s="13" t="s">
        <v>2930</v>
      </c>
      <c r="B219" s="13">
        <v>2519</v>
      </c>
      <c r="C219" s="14" t="s">
        <v>1069</v>
      </c>
      <c r="D219" s="15" t="s">
        <v>1788</v>
      </c>
      <c r="E219" s="15">
        <v>45945</v>
      </c>
      <c r="F219" s="14" t="s">
        <v>21</v>
      </c>
      <c r="G219" s="16">
        <v>91</v>
      </c>
    </row>
    <row r="220" spans="1:7" x14ac:dyDescent="0.25">
      <c r="A220" s="13" t="s">
        <v>3027</v>
      </c>
      <c r="B220" s="13">
        <v>2521</v>
      </c>
      <c r="C220" s="14" t="s">
        <v>2616</v>
      </c>
      <c r="D220" s="14" t="s">
        <v>95</v>
      </c>
      <c r="E220" s="15">
        <v>45981</v>
      </c>
      <c r="F220" s="14" t="s">
        <v>363</v>
      </c>
      <c r="G220" s="16">
        <v>300</v>
      </c>
    </row>
    <row r="221" spans="1:7" x14ac:dyDescent="0.25">
      <c r="A221" s="13" t="s">
        <v>3027</v>
      </c>
      <c r="B221" s="13">
        <v>2521</v>
      </c>
      <c r="C221" s="14" t="s">
        <v>2616</v>
      </c>
      <c r="D221" s="15" t="s">
        <v>95</v>
      </c>
      <c r="E221" s="15">
        <v>45981</v>
      </c>
      <c r="F221" s="14" t="s">
        <v>20</v>
      </c>
      <c r="G221" s="16">
        <v>15.525</v>
      </c>
    </row>
    <row r="222" spans="1:7" x14ac:dyDescent="0.25">
      <c r="A222" s="13" t="s">
        <v>3027</v>
      </c>
      <c r="B222" s="13">
        <v>2521</v>
      </c>
      <c r="C222" s="14" t="s">
        <v>2616</v>
      </c>
      <c r="D222" s="14" t="s">
        <v>95</v>
      </c>
      <c r="E222" s="15">
        <v>45981</v>
      </c>
      <c r="F222" s="14" t="s">
        <v>364</v>
      </c>
      <c r="G222" s="16">
        <v>913.16399999999999</v>
      </c>
    </row>
    <row r="223" spans="1:7" x14ac:dyDescent="0.25">
      <c r="A223" s="13" t="s">
        <v>2971</v>
      </c>
      <c r="B223" s="13">
        <v>2535</v>
      </c>
      <c r="C223" s="14" t="s">
        <v>30</v>
      </c>
      <c r="D223" s="14" t="s">
        <v>31</v>
      </c>
      <c r="E223" s="15">
        <v>45978</v>
      </c>
      <c r="F223" s="14" t="s">
        <v>18</v>
      </c>
      <c r="G223" s="16">
        <v>60</v>
      </c>
    </row>
    <row r="224" spans="1:7" x14ac:dyDescent="0.25">
      <c r="A224" s="13" t="s">
        <v>2971</v>
      </c>
      <c r="B224" s="13">
        <v>2535</v>
      </c>
      <c r="C224" s="14" t="s">
        <v>30</v>
      </c>
      <c r="D224" s="14" t="s">
        <v>31</v>
      </c>
      <c r="E224" s="15">
        <v>45978</v>
      </c>
      <c r="F224" s="14" t="s">
        <v>20</v>
      </c>
      <c r="G224" s="16">
        <v>19.338000000000001</v>
      </c>
    </row>
    <row r="225" spans="1:7" x14ac:dyDescent="0.25">
      <c r="A225" s="13" t="s">
        <v>2997</v>
      </c>
      <c r="B225" s="13">
        <v>2569</v>
      </c>
      <c r="C225" s="14" t="s">
        <v>101</v>
      </c>
      <c r="D225" s="14" t="s">
        <v>22</v>
      </c>
      <c r="E225" s="15">
        <v>45978</v>
      </c>
      <c r="F225" s="14" t="s">
        <v>18</v>
      </c>
      <c r="G225" s="16">
        <v>70</v>
      </c>
    </row>
    <row r="226" spans="1:7" x14ac:dyDescent="0.25">
      <c r="A226" s="13" t="s">
        <v>2997</v>
      </c>
      <c r="B226" s="13">
        <v>2569</v>
      </c>
      <c r="C226" s="14" t="s">
        <v>101</v>
      </c>
      <c r="D226" s="14" t="s">
        <v>22</v>
      </c>
      <c r="E226" s="15">
        <v>45978</v>
      </c>
      <c r="F226" s="14" t="s">
        <v>20</v>
      </c>
      <c r="G226" s="16">
        <v>156.41</v>
      </c>
    </row>
    <row r="227" spans="1:7" x14ac:dyDescent="0.25">
      <c r="A227" s="13" t="s">
        <v>2938</v>
      </c>
      <c r="B227" s="13">
        <v>2572</v>
      </c>
      <c r="C227" s="14" t="s">
        <v>462</v>
      </c>
      <c r="D227" s="14" t="s">
        <v>1978</v>
      </c>
      <c r="E227" s="15">
        <v>45973</v>
      </c>
      <c r="F227" s="14" t="s">
        <v>20</v>
      </c>
      <c r="G227" s="16">
        <v>29.69</v>
      </c>
    </row>
    <row r="228" spans="1:7" x14ac:dyDescent="0.25">
      <c r="A228" s="13" t="s">
        <v>2938</v>
      </c>
      <c r="B228" s="13">
        <v>2572</v>
      </c>
      <c r="C228" s="14" t="s">
        <v>462</v>
      </c>
      <c r="D228" s="15" t="s">
        <v>1978</v>
      </c>
      <c r="E228" s="15">
        <v>45973</v>
      </c>
      <c r="F228" s="14" t="s">
        <v>21</v>
      </c>
      <c r="G228" s="16">
        <v>70</v>
      </c>
    </row>
    <row r="229" spans="1:7" x14ac:dyDescent="0.25">
      <c r="A229" s="13" t="s">
        <v>2941</v>
      </c>
      <c r="B229" s="13">
        <v>2572</v>
      </c>
      <c r="C229" s="14" t="s">
        <v>462</v>
      </c>
      <c r="D229" s="15" t="s">
        <v>22</v>
      </c>
      <c r="E229" s="15">
        <v>45978</v>
      </c>
      <c r="F229" s="14" t="s">
        <v>18</v>
      </c>
      <c r="G229" s="16">
        <v>70</v>
      </c>
    </row>
    <row r="230" spans="1:7" x14ac:dyDescent="0.25">
      <c r="A230" s="13" t="s">
        <v>2941</v>
      </c>
      <c r="B230" s="13">
        <v>2572</v>
      </c>
      <c r="C230" s="14" t="s">
        <v>462</v>
      </c>
      <c r="D230" s="14" t="s">
        <v>22</v>
      </c>
      <c r="E230" s="15">
        <v>45978</v>
      </c>
      <c r="F230" s="14" t="s">
        <v>363</v>
      </c>
      <c r="G230" s="16">
        <v>150</v>
      </c>
    </row>
    <row r="231" spans="1:7" x14ac:dyDescent="0.25">
      <c r="A231" s="13" t="s">
        <v>2941</v>
      </c>
      <c r="B231" s="13">
        <v>2572</v>
      </c>
      <c r="C231" s="14" t="s">
        <v>462</v>
      </c>
      <c r="D231" s="15" t="s">
        <v>22</v>
      </c>
      <c r="E231" s="15">
        <v>45978</v>
      </c>
      <c r="F231" s="14" t="s">
        <v>20</v>
      </c>
      <c r="G231" s="16">
        <v>76.674999999999997</v>
      </c>
    </row>
    <row r="232" spans="1:7" x14ac:dyDescent="0.25">
      <c r="A232" s="13" t="s">
        <v>2942</v>
      </c>
      <c r="B232" s="13">
        <v>2572</v>
      </c>
      <c r="C232" s="14" t="s">
        <v>462</v>
      </c>
      <c r="D232" s="15" t="s">
        <v>22</v>
      </c>
      <c r="E232" s="15">
        <v>45977</v>
      </c>
      <c r="F232" s="14" t="s">
        <v>23</v>
      </c>
      <c r="G232" s="16">
        <v>3</v>
      </c>
    </row>
    <row r="233" spans="1:7" x14ac:dyDescent="0.25">
      <c r="A233" s="13" t="s">
        <v>2942</v>
      </c>
      <c r="B233" s="13">
        <v>2572</v>
      </c>
      <c r="C233" s="14" t="s">
        <v>462</v>
      </c>
      <c r="D233" s="15" t="s">
        <v>22</v>
      </c>
      <c r="E233" s="15">
        <v>45977</v>
      </c>
      <c r="F233" s="14" t="s">
        <v>21</v>
      </c>
      <c r="G233" s="16">
        <v>4.5</v>
      </c>
    </row>
    <row r="234" spans="1:7" x14ac:dyDescent="0.25">
      <c r="A234" s="13" t="s">
        <v>2983</v>
      </c>
      <c r="B234" s="13">
        <v>2592</v>
      </c>
      <c r="C234" s="14" t="s">
        <v>317</v>
      </c>
      <c r="D234" s="14" t="s">
        <v>200</v>
      </c>
      <c r="E234" s="15">
        <v>45981</v>
      </c>
      <c r="F234" s="14" t="s">
        <v>18</v>
      </c>
      <c r="G234" s="16">
        <v>70</v>
      </c>
    </row>
    <row r="235" spans="1:7" x14ac:dyDescent="0.25">
      <c r="A235" s="13" t="s">
        <v>2983</v>
      </c>
      <c r="B235" s="13">
        <v>2592</v>
      </c>
      <c r="C235" s="14" t="s">
        <v>317</v>
      </c>
      <c r="D235" s="15" t="s">
        <v>200</v>
      </c>
      <c r="E235" s="15">
        <v>45981</v>
      </c>
      <c r="F235" s="14" t="s">
        <v>20</v>
      </c>
      <c r="G235" s="16">
        <v>127.739</v>
      </c>
    </row>
    <row r="236" spans="1:7" x14ac:dyDescent="0.25">
      <c r="A236" s="13" t="s">
        <v>2949</v>
      </c>
      <c r="B236" s="13">
        <v>2621</v>
      </c>
      <c r="C236" s="14" t="s">
        <v>2950</v>
      </c>
      <c r="D236" s="15" t="s">
        <v>22</v>
      </c>
      <c r="E236" s="15">
        <v>45979</v>
      </c>
      <c r="F236" s="14" t="s">
        <v>23</v>
      </c>
      <c r="G236" s="16">
        <v>60</v>
      </c>
    </row>
    <row r="237" spans="1:7" x14ac:dyDescent="0.25">
      <c r="A237" s="13" t="s">
        <v>2949</v>
      </c>
      <c r="B237" s="13">
        <v>2621</v>
      </c>
      <c r="C237" s="14" t="s">
        <v>2950</v>
      </c>
      <c r="D237" s="14" t="s">
        <v>22</v>
      </c>
      <c r="E237" s="15">
        <v>45979</v>
      </c>
      <c r="F237" s="14" t="s">
        <v>20</v>
      </c>
      <c r="G237" s="16">
        <v>5.69</v>
      </c>
    </row>
    <row r="238" spans="1:7" x14ac:dyDescent="0.25">
      <c r="A238" s="13" t="s">
        <v>2949</v>
      </c>
      <c r="B238" s="13">
        <v>2621</v>
      </c>
      <c r="C238" s="14" t="s">
        <v>2950</v>
      </c>
      <c r="D238" s="14" t="s">
        <v>22</v>
      </c>
      <c r="E238" s="15">
        <v>45979</v>
      </c>
      <c r="F238" s="14" t="s">
        <v>24</v>
      </c>
      <c r="G238" s="16">
        <v>180</v>
      </c>
    </row>
    <row r="239" spans="1:7" ht="18.75" x14ac:dyDescent="0.3">
      <c r="A239" s="14"/>
      <c r="B239" s="28"/>
      <c r="C239" s="29"/>
      <c r="D239" s="14"/>
      <c r="E239" s="28"/>
      <c r="F239" s="17" t="s">
        <v>11</v>
      </c>
      <c r="G239" s="17">
        <f>SUM(G10:G238)</f>
        <v>20323.912999999997</v>
      </c>
    </row>
    <row r="240" spans="1:7" ht="18.75" x14ac:dyDescent="0.3">
      <c r="A240" s="38"/>
      <c r="B240" s="39"/>
      <c r="C240" s="40"/>
      <c r="D240" s="41"/>
      <c r="E240" s="19"/>
      <c r="F240" s="18"/>
      <c r="G240" s="34"/>
    </row>
    <row r="241" spans="1:7" ht="18.75" x14ac:dyDescent="0.3">
      <c r="A241" s="35"/>
      <c r="B241" s="36"/>
      <c r="C241" s="37"/>
      <c r="D241" s="42"/>
      <c r="E241" s="43"/>
      <c r="F241" s="44"/>
      <c r="G241" s="44"/>
    </row>
    <row r="242" spans="1:7" ht="15.75" x14ac:dyDescent="0.25">
      <c r="A242" s="35"/>
      <c r="B242" s="36" t="s">
        <v>12</v>
      </c>
      <c r="C242" s="37"/>
      <c r="E242" s="36" t="s">
        <v>13</v>
      </c>
      <c r="F242" s="18"/>
      <c r="G242" s="18"/>
    </row>
    <row r="243" spans="1:7" ht="15.75" x14ac:dyDescent="0.25">
      <c r="A243" s="45"/>
      <c r="B243" s="46" t="s">
        <v>14</v>
      </c>
      <c r="C243" s="47"/>
      <c r="E243" s="36" t="s">
        <v>15</v>
      </c>
      <c r="F243" s="18"/>
      <c r="G243" s="18"/>
    </row>
    <row r="244" spans="1:7" ht="15.75" x14ac:dyDescent="0.25">
      <c r="A244" s="23"/>
      <c r="B244" s="24"/>
      <c r="C244" s="25"/>
      <c r="E244" s="27"/>
      <c r="F244" s="18"/>
      <c r="G244" s="18"/>
    </row>
    <row r="245" spans="1:7" ht="18.75" x14ac:dyDescent="0.3">
      <c r="B245" s="19"/>
      <c r="C245" s="20"/>
      <c r="D245" s="21"/>
      <c r="E245" s="22"/>
      <c r="F245" s="19"/>
      <c r="G245" s="22"/>
    </row>
    <row r="246" spans="1:7" ht="15.75" x14ac:dyDescent="0.25">
      <c r="A246" s="23"/>
      <c r="B246" s="24"/>
      <c r="C246" s="25"/>
      <c r="D246" s="26"/>
      <c r="E246" s="22"/>
      <c r="F246" s="27"/>
      <c r="G246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Page &amp;P de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9"/>
  <sheetViews>
    <sheetView workbookViewId="0">
      <pane ySplit="9" topLeftCell="A10" activePane="bottomLeft" state="frozen"/>
      <selection pane="bottomLeft" activeCell="B243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3033</v>
      </c>
      <c r="C5" s="7"/>
      <c r="D5" s="4"/>
    </row>
    <row r="6" spans="1:7" ht="22.5" customHeight="1" x14ac:dyDescent="0.25">
      <c r="A6" s="6"/>
      <c r="B6" s="8" t="s">
        <v>3169</v>
      </c>
      <c r="C6" s="9"/>
      <c r="D6" s="4"/>
    </row>
    <row r="7" spans="1:7" ht="22.5" customHeight="1" x14ac:dyDescent="0.35">
      <c r="A7" s="4"/>
      <c r="B7" s="10"/>
      <c r="C7" s="11" t="s">
        <v>3167</v>
      </c>
      <c r="D7" s="4"/>
    </row>
    <row r="8" spans="1:7" ht="22.5" customHeight="1" x14ac:dyDescent="0.25">
      <c r="A8" s="12"/>
      <c r="B8" s="12"/>
    </row>
    <row r="9" spans="1:7" x14ac:dyDescent="0.25">
      <c r="A9" s="13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3152</v>
      </c>
      <c r="B10" s="13">
        <v>700</v>
      </c>
      <c r="C10" s="14" t="str">
        <f>+VLOOKUP(B10,[1]LISTE!$A$1:$D$431,4,FALSE)</f>
        <v>ZORGATI ABDELFATTEH</v>
      </c>
      <c r="D10" s="15" t="s">
        <v>22</v>
      </c>
      <c r="E10" s="15">
        <v>45987</v>
      </c>
      <c r="F10" s="14" t="s">
        <v>23</v>
      </c>
      <c r="G10" s="16">
        <v>25</v>
      </c>
    </row>
    <row r="11" spans="1:7" x14ac:dyDescent="0.25">
      <c r="A11" s="13" t="s">
        <v>3152</v>
      </c>
      <c r="B11" s="13">
        <v>700</v>
      </c>
      <c r="C11" s="14" t="str">
        <f>+VLOOKUP(B11,[1]LISTE!$A$1:$D$431,4,FALSE)</f>
        <v>ZORGATI ABDELFATTEH</v>
      </c>
      <c r="D11" s="15" t="s">
        <v>22</v>
      </c>
      <c r="E11" s="15">
        <v>45987</v>
      </c>
      <c r="F11" s="14" t="s">
        <v>20</v>
      </c>
      <c r="G11" s="16">
        <v>47.540999999999997</v>
      </c>
    </row>
    <row r="12" spans="1:7" x14ac:dyDescent="0.25">
      <c r="A12" s="13" t="s">
        <v>3152</v>
      </c>
      <c r="B12" s="13">
        <v>700</v>
      </c>
      <c r="C12" s="14" t="str">
        <f>+VLOOKUP(B12,[1]LISTE!$A$1:$D$431,4,FALSE)</f>
        <v>ZORGATI ABDELFATTEH</v>
      </c>
      <c r="D12" s="15" t="s">
        <v>22</v>
      </c>
      <c r="E12" s="15">
        <v>45988</v>
      </c>
      <c r="F12" s="14" t="s">
        <v>21</v>
      </c>
      <c r="G12" s="16">
        <v>35</v>
      </c>
    </row>
    <row r="13" spans="1:7" x14ac:dyDescent="0.25">
      <c r="A13" s="13" t="s">
        <v>3150</v>
      </c>
      <c r="B13" s="13">
        <v>721</v>
      </c>
      <c r="C13" s="14" t="str">
        <f>+VLOOKUP(B13,[1]LISTE!$A$1:$D$431,4,FALSE)</f>
        <v>BEN ABDELJELIL WAHID</v>
      </c>
      <c r="D13" s="15" t="s">
        <v>935</v>
      </c>
      <c r="E13" s="15">
        <v>45993</v>
      </c>
      <c r="F13" s="14" t="s">
        <v>20</v>
      </c>
      <c r="G13" s="16">
        <v>4.2450000000000001</v>
      </c>
    </row>
    <row r="14" spans="1:7" x14ac:dyDescent="0.25">
      <c r="A14" s="13" t="s">
        <v>3150</v>
      </c>
      <c r="B14" s="13">
        <v>721</v>
      </c>
      <c r="C14" s="14" t="str">
        <f>+VLOOKUP(B14,[1]LISTE!$A$1:$D$431,4,FALSE)</f>
        <v>BEN ABDELJELIL WAHID</v>
      </c>
      <c r="D14" s="15" t="s">
        <v>935</v>
      </c>
      <c r="E14" s="15">
        <v>45993</v>
      </c>
      <c r="F14" s="14" t="s">
        <v>24</v>
      </c>
      <c r="G14" s="16">
        <v>120</v>
      </c>
    </row>
    <row r="15" spans="1:7" x14ac:dyDescent="0.25">
      <c r="A15" s="13" t="s">
        <v>3107</v>
      </c>
      <c r="B15" s="13">
        <v>775</v>
      </c>
      <c r="C15" s="14" t="str">
        <f>+VLOOKUP(B15,[1]LISTE!$A$1:$D$431,4,FALSE)</f>
        <v>ZORGATI MONDHER</v>
      </c>
      <c r="D15" s="14" t="s">
        <v>22</v>
      </c>
      <c r="E15" s="15">
        <v>45988</v>
      </c>
      <c r="F15" s="14" t="s">
        <v>23</v>
      </c>
      <c r="G15" s="16">
        <v>45</v>
      </c>
    </row>
    <row r="16" spans="1:7" x14ac:dyDescent="0.25">
      <c r="A16" s="13" t="s">
        <v>3107</v>
      </c>
      <c r="B16" s="13">
        <v>775</v>
      </c>
      <c r="C16" s="14" t="str">
        <f>+VLOOKUP(B16,[1]LISTE!$A$1:$D$431,4,FALSE)</f>
        <v>ZORGATI MONDHER</v>
      </c>
      <c r="D16" s="14" t="s">
        <v>22</v>
      </c>
      <c r="E16" s="15">
        <v>45988</v>
      </c>
      <c r="F16" s="14" t="s">
        <v>20</v>
      </c>
      <c r="G16" s="16">
        <v>58.03</v>
      </c>
    </row>
    <row r="17" spans="1:7" x14ac:dyDescent="0.25">
      <c r="A17" s="13" t="s">
        <v>3107</v>
      </c>
      <c r="B17" s="13">
        <v>775</v>
      </c>
      <c r="C17" s="14" t="str">
        <f>+VLOOKUP(B17,[1]LISTE!$A$1:$D$431,4,FALSE)</f>
        <v>ZORGATI MONDHER</v>
      </c>
      <c r="D17" s="14" t="s">
        <v>22</v>
      </c>
      <c r="E17" s="15">
        <v>45988</v>
      </c>
      <c r="F17" s="14" t="s">
        <v>20</v>
      </c>
      <c r="G17" s="16">
        <v>38.69</v>
      </c>
    </row>
    <row r="18" spans="1:7" x14ac:dyDescent="0.25">
      <c r="A18" s="13" t="s">
        <v>3107</v>
      </c>
      <c r="B18" s="13">
        <v>775</v>
      </c>
      <c r="C18" s="14" t="str">
        <f>+VLOOKUP(B18,[1]LISTE!$A$1:$D$431,4,FALSE)</f>
        <v>ZORGATI MONDHER</v>
      </c>
      <c r="D18" s="14" t="s">
        <v>22</v>
      </c>
      <c r="E18" s="15">
        <v>45994</v>
      </c>
      <c r="F18" s="14" t="s">
        <v>19</v>
      </c>
      <c r="G18" s="16">
        <v>77.790000000000006</v>
      </c>
    </row>
    <row r="19" spans="1:7" x14ac:dyDescent="0.25">
      <c r="A19" s="13" t="s">
        <v>3108</v>
      </c>
      <c r="B19" s="13">
        <v>775</v>
      </c>
      <c r="C19" s="14" t="str">
        <f>+VLOOKUP(B19,[1]LISTE!$A$1:$D$431,4,FALSE)</f>
        <v>ZORGATI MONDHER</v>
      </c>
      <c r="D19" s="14" t="s">
        <v>236</v>
      </c>
      <c r="E19" s="15">
        <v>45990</v>
      </c>
      <c r="F19" s="14" t="s">
        <v>23</v>
      </c>
      <c r="G19" s="16">
        <v>60</v>
      </c>
    </row>
    <row r="20" spans="1:7" x14ac:dyDescent="0.25">
      <c r="A20" s="13" t="s">
        <v>3108</v>
      </c>
      <c r="B20" s="13">
        <v>775</v>
      </c>
      <c r="C20" s="14" t="str">
        <f>+VLOOKUP(B20,[1]LISTE!$A$1:$D$431,4,FALSE)</f>
        <v>ZORGATI MONDHER</v>
      </c>
      <c r="D20" s="14" t="s">
        <v>236</v>
      </c>
      <c r="E20" s="15">
        <v>45990</v>
      </c>
      <c r="F20" s="14" t="s">
        <v>20</v>
      </c>
      <c r="G20" s="16">
        <v>114.07599999999999</v>
      </c>
    </row>
    <row r="21" spans="1:7" x14ac:dyDescent="0.25">
      <c r="A21" s="13" t="s">
        <v>3070</v>
      </c>
      <c r="B21" s="13">
        <v>832</v>
      </c>
      <c r="C21" s="14" t="str">
        <f>+VLOOKUP(B21,[1]LISTE!$A$1:$D$431,4,FALSE)</f>
        <v>ABBASSI LOTFI</v>
      </c>
      <c r="D21" s="14" t="s">
        <v>22</v>
      </c>
      <c r="E21" s="15">
        <v>45990</v>
      </c>
      <c r="F21" s="14" t="s">
        <v>23</v>
      </c>
      <c r="G21" s="16">
        <v>50</v>
      </c>
    </row>
    <row r="22" spans="1:7" x14ac:dyDescent="0.25">
      <c r="A22" s="13" t="s">
        <v>3070</v>
      </c>
      <c r="B22" s="13">
        <v>832</v>
      </c>
      <c r="C22" s="14" t="str">
        <f>+VLOOKUP(B22,[1]LISTE!$A$1:$D$431,4,FALSE)</f>
        <v>ABBASSI LOTFI</v>
      </c>
      <c r="D22" s="14" t="s">
        <v>22</v>
      </c>
      <c r="E22" s="15">
        <v>45990</v>
      </c>
      <c r="F22" s="14" t="s">
        <v>20</v>
      </c>
      <c r="G22" s="16">
        <v>47.39</v>
      </c>
    </row>
    <row r="23" spans="1:7" x14ac:dyDescent="0.25">
      <c r="A23" s="13" t="s">
        <v>3050</v>
      </c>
      <c r="B23" s="13">
        <v>908</v>
      </c>
      <c r="C23" s="14" t="str">
        <f>+VLOOKUP(B23,[1]LISTE!$A$1:$D$431,4,FALSE)</f>
        <v>YOUSSEF HEDI</v>
      </c>
      <c r="D23" s="15" t="s">
        <v>641</v>
      </c>
      <c r="E23" s="15">
        <v>45978</v>
      </c>
      <c r="F23" s="14" t="s">
        <v>23</v>
      </c>
      <c r="G23" s="16">
        <v>50</v>
      </c>
    </row>
    <row r="24" spans="1:7" x14ac:dyDescent="0.25">
      <c r="A24" s="13" t="s">
        <v>3050</v>
      </c>
      <c r="B24" s="13">
        <v>908</v>
      </c>
      <c r="C24" s="14" t="str">
        <f>+VLOOKUP(B24,[1]LISTE!$A$1:$D$431,4,FALSE)</f>
        <v>YOUSSEF HEDI</v>
      </c>
      <c r="D24" s="15" t="s">
        <v>641</v>
      </c>
      <c r="E24" s="15">
        <v>45978</v>
      </c>
      <c r="F24" s="14" t="s">
        <v>20</v>
      </c>
      <c r="G24" s="16">
        <v>33.621000000000002</v>
      </c>
    </row>
    <row r="25" spans="1:7" x14ac:dyDescent="0.25">
      <c r="A25" s="13" t="s">
        <v>3109</v>
      </c>
      <c r="B25" s="13">
        <v>908</v>
      </c>
      <c r="C25" s="14" t="str">
        <f>+VLOOKUP(B25,[1]LISTE!$A$1:$D$431,4,FALSE)</f>
        <v>YOUSSEF HEDI</v>
      </c>
      <c r="D25" s="14" t="s">
        <v>641</v>
      </c>
      <c r="E25" s="15">
        <v>45987</v>
      </c>
      <c r="F25" s="14" t="s">
        <v>18</v>
      </c>
      <c r="G25" s="16">
        <v>70</v>
      </c>
    </row>
    <row r="26" spans="1:7" x14ac:dyDescent="0.25">
      <c r="A26" s="13" t="s">
        <v>3109</v>
      </c>
      <c r="B26" s="13">
        <v>908</v>
      </c>
      <c r="C26" s="14" t="str">
        <f>+VLOOKUP(B26,[1]LISTE!$A$1:$D$431,4,FALSE)</f>
        <v>YOUSSEF HEDI</v>
      </c>
      <c r="D26" s="14" t="s">
        <v>641</v>
      </c>
      <c r="E26" s="15">
        <v>45988</v>
      </c>
      <c r="F26" s="14" t="s">
        <v>19</v>
      </c>
      <c r="G26" s="16">
        <v>140</v>
      </c>
    </row>
    <row r="27" spans="1:7" x14ac:dyDescent="0.25">
      <c r="A27" s="13" t="s">
        <v>3109</v>
      </c>
      <c r="B27" s="13">
        <v>908</v>
      </c>
      <c r="C27" s="14" t="str">
        <f>+VLOOKUP(B27,[1]LISTE!$A$1:$D$431,4,FALSE)</f>
        <v>YOUSSEF HEDI</v>
      </c>
      <c r="D27" s="14" t="s">
        <v>641</v>
      </c>
      <c r="E27" s="15">
        <v>45988</v>
      </c>
      <c r="F27" s="14" t="s">
        <v>20</v>
      </c>
      <c r="G27" s="16">
        <v>66.956000000000003</v>
      </c>
    </row>
    <row r="28" spans="1:7" x14ac:dyDescent="0.25">
      <c r="A28" s="13" t="s">
        <v>3109</v>
      </c>
      <c r="B28" s="13">
        <v>908</v>
      </c>
      <c r="C28" s="14" t="str">
        <f>+VLOOKUP(B28,[1]LISTE!$A$1:$D$431,4,FALSE)</f>
        <v>YOUSSEF HEDI</v>
      </c>
      <c r="D28" s="14" t="s">
        <v>641</v>
      </c>
      <c r="E28" s="15">
        <v>45988</v>
      </c>
      <c r="F28" s="14" t="s">
        <v>363</v>
      </c>
      <c r="G28" s="16">
        <v>30</v>
      </c>
    </row>
    <row r="29" spans="1:7" x14ac:dyDescent="0.25">
      <c r="A29" s="13" t="s">
        <v>3109</v>
      </c>
      <c r="B29" s="13">
        <v>908</v>
      </c>
      <c r="C29" s="14" t="str">
        <f>+VLOOKUP(B29,[1]LISTE!$A$1:$D$431,4,FALSE)</f>
        <v>YOUSSEF HEDI</v>
      </c>
      <c r="D29" s="14" t="s">
        <v>641</v>
      </c>
      <c r="E29" s="15">
        <v>45988</v>
      </c>
      <c r="F29" s="14" t="s">
        <v>363</v>
      </c>
      <c r="G29" s="16">
        <v>200</v>
      </c>
    </row>
    <row r="30" spans="1:7" x14ac:dyDescent="0.25">
      <c r="A30" s="13" t="s">
        <v>3109</v>
      </c>
      <c r="B30" s="13">
        <v>908</v>
      </c>
      <c r="C30" s="14" t="str">
        <f>+VLOOKUP(B30,[1]LISTE!$A$1:$D$431,4,FALSE)</f>
        <v>YOUSSEF HEDI</v>
      </c>
      <c r="D30" s="14" t="s">
        <v>641</v>
      </c>
      <c r="E30" s="15">
        <v>45988</v>
      </c>
      <c r="F30" s="14" t="s">
        <v>364</v>
      </c>
      <c r="G30" s="16">
        <v>140</v>
      </c>
    </row>
    <row r="31" spans="1:7" x14ac:dyDescent="0.25">
      <c r="A31" s="13" t="s">
        <v>3130</v>
      </c>
      <c r="B31" s="13">
        <v>923</v>
      </c>
      <c r="C31" s="14" t="str">
        <f>+VLOOKUP(B31,[1]LISTE!$A$1:$D$431,4,FALSE)</f>
        <v>BEN AZIZA SLAH</v>
      </c>
      <c r="D31" s="14" t="s">
        <v>1201</v>
      </c>
      <c r="E31" s="15">
        <v>45998</v>
      </c>
      <c r="F31" s="14" t="s">
        <v>23</v>
      </c>
      <c r="G31" s="16">
        <v>3</v>
      </c>
    </row>
    <row r="32" spans="1:7" x14ac:dyDescent="0.25">
      <c r="A32" s="13" t="s">
        <v>3130</v>
      </c>
      <c r="B32" s="13">
        <v>923</v>
      </c>
      <c r="C32" s="14" t="str">
        <f>+VLOOKUP(B32,[1]LISTE!$A$1:$D$431,4,FALSE)</f>
        <v>BEN AZIZA SLAH</v>
      </c>
      <c r="D32" s="14" t="s">
        <v>1201</v>
      </c>
      <c r="E32" s="15">
        <v>45998</v>
      </c>
      <c r="F32" s="14" t="s">
        <v>20</v>
      </c>
      <c r="G32" s="16">
        <v>48.847999999999999</v>
      </c>
    </row>
    <row r="33" spans="1:7" x14ac:dyDescent="0.25">
      <c r="A33" s="13" t="s">
        <v>3158</v>
      </c>
      <c r="B33" s="13">
        <v>1504</v>
      </c>
      <c r="C33" s="14" t="str">
        <f>+VLOOKUP(B33,[1]LISTE!$A$1:$D$431,4,FALSE)</f>
        <v>ABBADI HABIB</v>
      </c>
      <c r="D33" s="15" t="s">
        <v>22</v>
      </c>
      <c r="E33" s="15">
        <v>45994</v>
      </c>
      <c r="F33" s="14" t="s">
        <v>18</v>
      </c>
      <c r="G33" s="16">
        <v>70</v>
      </c>
    </row>
    <row r="34" spans="1:7" x14ac:dyDescent="0.25">
      <c r="A34" s="13" t="s">
        <v>3158</v>
      </c>
      <c r="B34" s="13">
        <v>1504</v>
      </c>
      <c r="C34" s="14" t="str">
        <f>+VLOOKUP(B34,[1]LISTE!$A$1:$D$431,4,FALSE)</f>
        <v>ABBADI HABIB</v>
      </c>
      <c r="D34" s="15" t="s">
        <v>22</v>
      </c>
      <c r="E34" s="15">
        <v>45994</v>
      </c>
      <c r="F34" s="14" t="s">
        <v>20</v>
      </c>
      <c r="G34" s="16">
        <v>18.594999999999999</v>
      </c>
    </row>
    <row r="35" spans="1:7" x14ac:dyDescent="0.25">
      <c r="A35" s="13" t="s">
        <v>3122</v>
      </c>
      <c r="B35" s="13">
        <v>1541</v>
      </c>
      <c r="C35" s="14" t="str">
        <f>+VLOOKUP(B35,[1]LISTE!$A$1:$D$431,4,FALSE)</f>
        <v>MAHJOUB MOUNIR</v>
      </c>
      <c r="D35" s="14" t="s">
        <v>2821</v>
      </c>
      <c r="E35" s="15">
        <v>45996</v>
      </c>
      <c r="F35" s="14" t="s">
        <v>23</v>
      </c>
      <c r="G35" s="16">
        <v>20</v>
      </c>
    </row>
    <row r="36" spans="1:7" x14ac:dyDescent="0.25">
      <c r="A36" s="13" t="s">
        <v>3122</v>
      </c>
      <c r="B36" s="13">
        <v>1541</v>
      </c>
      <c r="C36" s="14" t="str">
        <f>+VLOOKUP(B36,[1]LISTE!$A$1:$D$431,4,FALSE)</f>
        <v>MAHJOUB MOUNIR</v>
      </c>
      <c r="D36" s="15" t="s">
        <v>2821</v>
      </c>
      <c r="E36" s="15">
        <v>45996</v>
      </c>
      <c r="F36" s="14" t="s">
        <v>20</v>
      </c>
      <c r="G36" s="16">
        <v>29.45</v>
      </c>
    </row>
    <row r="37" spans="1:7" x14ac:dyDescent="0.25">
      <c r="A37" s="13" t="s">
        <v>3051</v>
      </c>
      <c r="B37" s="13">
        <v>1548</v>
      </c>
      <c r="C37" s="14" t="str">
        <f>+VLOOKUP(B37,[1]LISTE!$A$1:$D$431,4,FALSE)</f>
        <v>YOUSSEF WAHID</v>
      </c>
      <c r="D37" s="14" t="s">
        <v>212</v>
      </c>
      <c r="E37" s="15">
        <v>45986</v>
      </c>
      <c r="F37" s="14" t="s">
        <v>21</v>
      </c>
      <c r="G37" s="16">
        <v>60</v>
      </c>
    </row>
    <row r="38" spans="1:7" x14ac:dyDescent="0.25">
      <c r="A38" s="13" t="s">
        <v>3051</v>
      </c>
      <c r="B38" s="13">
        <v>1548</v>
      </c>
      <c r="C38" s="14" t="str">
        <f>+VLOOKUP(B38,[1]LISTE!$A$1:$D$431,4,FALSE)</f>
        <v>YOUSSEF WAHID</v>
      </c>
      <c r="D38" s="15" t="s">
        <v>212</v>
      </c>
      <c r="E38" s="15">
        <v>45987</v>
      </c>
      <c r="F38" s="14" t="s">
        <v>24</v>
      </c>
      <c r="G38" s="16">
        <v>230</v>
      </c>
    </row>
    <row r="39" spans="1:7" x14ac:dyDescent="0.25">
      <c r="A39" s="13" t="s">
        <v>3040</v>
      </c>
      <c r="B39" s="13">
        <v>1555</v>
      </c>
      <c r="C39" s="14" t="str">
        <f>+VLOOKUP(B39,[1]LISTE!$A$1:$D$431,4,FALSE)</f>
        <v>FHIMA HAMDI</v>
      </c>
      <c r="D39" s="15" t="s">
        <v>506</v>
      </c>
      <c r="E39" s="15">
        <v>45973</v>
      </c>
      <c r="F39" s="14" t="s">
        <v>19</v>
      </c>
      <c r="G39" s="16">
        <v>54.142000000000003</v>
      </c>
    </row>
    <row r="40" spans="1:7" x14ac:dyDescent="0.25">
      <c r="A40" s="13" t="s">
        <v>3040</v>
      </c>
      <c r="B40" s="13">
        <v>1555</v>
      </c>
      <c r="C40" s="14" t="str">
        <f>+VLOOKUP(B40,[1]LISTE!$A$1:$D$431,4,FALSE)</f>
        <v>FHIMA HAMDI</v>
      </c>
      <c r="D40" s="14" t="s">
        <v>506</v>
      </c>
      <c r="E40" s="15">
        <v>45979</v>
      </c>
      <c r="F40" s="14" t="s">
        <v>20</v>
      </c>
      <c r="G40" s="16">
        <v>117.45399999999999</v>
      </c>
    </row>
    <row r="41" spans="1:7" x14ac:dyDescent="0.25">
      <c r="A41" s="13" t="s">
        <v>3139</v>
      </c>
      <c r="B41" s="13">
        <v>1556</v>
      </c>
      <c r="C41" s="14" t="str">
        <f>+VLOOKUP(B41,[1]LISTE!$A$1:$D$431,4,FALSE)</f>
        <v>LOGHMARI KHELIL</v>
      </c>
      <c r="D41" s="14" t="s">
        <v>22</v>
      </c>
      <c r="E41" s="15">
        <v>45997</v>
      </c>
      <c r="F41" s="14" t="s">
        <v>23</v>
      </c>
      <c r="G41" s="16">
        <v>40</v>
      </c>
    </row>
    <row r="42" spans="1:7" x14ac:dyDescent="0.25">
      <c r="A42" s="13" t="s">
        <v>3139</v>
      </c>
      <c r="B42" s="13">
        <v>1556</v>
      </c>
      <c r="C42" s="14" t="str">
        <f>+VLOOKUP(B42,[1]LISTE!$A$1:$D$431,4,FALSE)</f>
        <v>LOGHMARI KHELIL</v>
      </c>
      <c r="D42" s="14" t="s">
        <v>22</v>
      </c>
      <c r="E42" s="15">
        <v>45997</v>
      </c>
      <c r="F42" s="14" t="s">
        <v>20</v>
      </c>
      <c r="G42" s="16">
        <v>43.884999999999998</v>
      </c>
    </row>
    <row r="43" spans="1:7" x14ac:dyDescent="0.25">
      <c r="A43" s="13" t="s">
        <v>3038</v>
      </c>
      <c r="B43" s="13">
        <v>1569</v>
      </c>
      <c r="C43" s="14" t="str">
        <f>+VLOOKUP(B43,[1]LISTE!$A$1:$D$431,4,FALSE)</f>
        <v>BETTAIEB MOULDI</v>
      </c>
      <c r="D43" s="14" t="s">
        <v>529</v>
      </c>
      <c r="E43" s="15">
        <v>45988</v>
      </c>
      <c r="F43" s="14" t="s">
        <v>23</v>
      </c>
      <c r="G43" s="16">
        <v>40</v>
      </c>
    </row>
    <row r="44" spans="1:7" x14ac:dyDescent="0.25">
      <c r="A44" s="13" t="s">
        <v>3038</v>
      </c>
      <c r="B44" s="13">
        <v>1569</v>
      </c>
      <c r="C44" s="14" t="str">
        <f>+VLOOKUP(B44,[1]LISTE!$A$1:$D$431,4,FALSE)</f>
        <v>BETTAIEB MOULDI</v>
      </c>
      <c r="D44" s="14" t="s">
        <v>529</v>
      </c>
      <c r="E44" s="15">
        <v>45988</v>
      </c>
      <c r="F44" s="14" t="s">
        <v>20</v>
      </c>
      <c r="G44" s="16">
        <v>37.159999999999997</v>
      </c>
    </row>
    <row r="45" spans="1:7" x14ac:dyDescent="0.25">
      <c r="A45" s="13" t="s">
        <v>3144</v>
      </c>
      <c r="B45" s="13">
        <v>1575</v>
      </c>
      <c r="C45" s="14" t="str">
        <f>+VLOOKUP(B45,[1]LISTE!$A$1:$D$431,4,FALSE)</f>
        <v>BEN ABDELJELIL ZOUHAIER</v>
      </c>
      <c r="D45" s="15" t="s">
        <v>595</v>
      </c>
      <c r="E45" s="15">
        <v>45996</v>
      </c>
      <c r="F45" s="14" t="s">
        <v>23</v>
      </c>
      <c r="G45" s="16">
        <v>20</v>
      </c>
    </row>
    <row r="46" spans="1:7" x14ac:dyDescent="0.25">
      <c r="A46" s="13" t="s">
        <v>3144</v>
      </c>
      <c r="B46" s="13">
        <v>1575</v>
      </c>
      <c r="C46" s="14" t="str">
        <f>+VLOOKUP(B46,[1]LISTE!$A$1:$D$431,4,FALSE)</f>
        <v>BEN ABDELJELIL ZOUHAIER</v>
      </c>
      <c r="D46" s="14" t="s">
        <v>595</v>
      </c>
      <c r="E46" s="15">
        <v>45996</v>
      </c>
      <c r="F46" s="14" t="s">
        <v>20</v>
      </c>
      <c r="G46" s="16">
        <v>69.034999999999997</v>
      </c>
    </row>
    <row r="47" spans="1:7" x14ac:dyDescent="0.25">
      <c r="A47" s="13" t="s">
        <v>3082</v>
      </c>
      <c r="B47" s="13">
        <v>1590</v>
      </c>
      <c r="C47" s="14" t="str">
        <f>+VLOOKUP(B47,[1]LISTE!$A$1:$D$431,4,FALSE)</f>
        <v>ABDELLAH HASSINE</v>
      </c>
      <c r="D47" s="14" t="s">
        <v>650</v>
      </c>
      <c r="E47" s="15">
        <v>45991</v>
      </c>
      <c r="F47" s="14" t="s">
        <v>23</v>
      </c>
      <c r="G47" s="16">
        <v>3</v>
      </c>
    </row>
    <row r="48" spans="1:7" x14ac:dyDescent="0.25">
      <c r="A48" s="13" t="s">
        <v>3082</v>
      </c>
      <c r="B48" s="13">
        <v>1590</v>
      </c>
      <c r="C48" s="14" t="str">
        <f>+VLOOKUP(B48,[1]LISTE!$A$1:$D$431,4,FALSE)</f>
        <v>ABDELLAH HASSINE</v>
      </c>
      <c r="D48" s="14" t="s">
        <v>650</v>
      </c>
      <c r="E48" s="15">
        <v>45991</v>
      </c>
      <c r="F48" s="14" t="s">
        <v>23</v>
      </c>
      <c r="G48" s="16">
        <v>4.5</v>
      </c>
    </row>
    <row r="49" spans="1:7" x14ac:dyDescent="0.25">
      <c r="A49" s="13" t="s">
        <v>3082</v>
      </c>
      <c r="B49" s="13">
        <v>1590</v>
      </c>
      <c r="C49" s="14" t="str">
        <f>+VLOOKUP(B49,[1]LISTE!$A$1:$D$431,4,FALSE)</f>
        <v>ABDELLAH HASSINE</v>
      </c>
      <c r="D49" s="14" t="s">
        <v>650</v>
      </c>
      <c r="E49" s="15">
        <v>45991</v>
      </c>
      <c r="F49" s="14" t="s">
        <v>20</v>
      </c>
      <c r="G49" s="16">
        <v>41.34</v>
      </c>
    </row>
    <row r="50" spans="1:7" x14ac:dyDescent="0.25">
      <c r="A50" s="13" t="s">
        <v>3157</v>
      </c>
      <c r="B50" s="13">
        <v>1591</v>
      </c>
      <c r="C50" s="14" t="str">
        <f>+VLOOKUP(B50,[1]LISTE!$A$1:$D$431,4,FALSE)</f>
        <v>BDAY KARIM</v>
      </c>
      <c r="D50" s="15" t="s">
        <v>368</v>
      </c>
      <c r="E50" s="15">
        <v>45962</v>
      </c>
      <c r="F50" s="14" t="s">
        <v>23</v>
      </c>
      <c r="G50" s="16">
        <v>45</v>
      </c>
    </row>
    <row r="51" spans="1:7" x14ac:dyDescent="0.25">
      <c r="A51" s="13" t="s">
        <v>3157</v>
      </c>
      <c r="B51" s="13">
        <v>1591</v>
      </c>
      <c r="C51" s="14" t="str">
        <f>+VLOOKUP(B51,[1]LISTE!$A$1:$D$431,4,FALSE)</f>
        <v>BDAY KARIM</v>
      </c>
      <c r="D51" s="14" t="s">
        <v>368</v>
      </c>
      <c r="E51" s="15">
        <v>45969</v>
      </c>
      <c r="F51" s="14" t="s">
        <v>19</v>
      </c>
      <c r="G51" s="16">
        <v>79.61</v>
      </c>
    </row>
    <row r="52" spans="1:7" x14ac:dyDescent="0.25">
      <c r="A52" s="13" t="s">
        <v>3157</v>
      </c>
      <c r="B52" s="13">
        <v>1591</v>
      </c>
      <c r="C52" s="14" t="str">
        <f>+VLOOKUP(B52,[1]LISTE!$A$1:$D$431,4,FALSE)</f>
        <v>BDAY KARIM</v>
      </c>
      <c r="D52" s="15" t="s">
        <v>368</v>
      </c>
      <c r="E52" s="15">
        <v>45995</v>
      </c>
      <c r="F52" s="14" t="s">
        <v>20</v>
      </c>
      <c r="G52" s="16">
        <v>23.751999999999999</v>
      </c>
    </row>
    <row r="53" spans="1:7" x14ac:dyDescent="0.25">
      <c r="A53" s="13" t="s">
        <v>3045</v>
      </c>
      <c r="B53" s="13">
        <v>1594</v>
      </c>
      <c r="C53" s="14" t="str">
        <f>+VLOOKUP(B53,[1]LISTE!$A$1:$D$431,4,FALSE)</f>
        <v>MKHININI HABIB</v>
      </c>
      <c r="D53" s="14" t="s">
        <v>368</v>
      </c>
      <c r="E53" s="15">
        <v>45988</v>
      </c>
      <c r="F53" s="14" t="s">
        <v>23</v>
      </c>
      <c r="G53" s="16">
        <v>20</v>
      </c>
    </row>
    <row r="54" spans="1:7" x14ac:dyDescent="0.25">
      <c r="A54" s="13" t="s">
        <v>3045</v>
      </c>
      <c r="B54" s="13">
        <v>1594</v>
      </c>
      <c r="C54" s="14" t="str">
        <f>+VLOOKUP(B54,[1]LISTE!$A$1:$D$431,4,FALSE)</f>
        <v>MKHININI HABIB</v>
      </c>
      <c r="D54" s="14" t="s">
        <v>368</v>
      </c>
      <c r="E54" s="15">
        <v>45988</v>
      </c>
      <c r="F54" s="14" t="s">
        <v>20</v>
      </c>
      <c r="G54" s="16">
        <v>20.562999999999999</v>
      </c>
    </row>
    <row r="55" spans="1:7" x14ac:dyDescent="0.25">
      <c r="A55" s="13" t="s">
        <v>3111</v>
      </c>
      <c r="B55" s="13">
        <v>1595</v>
      </c>
      <c r="C55" s="14" t="str">
        <f>+VLOOKUP(B55,[1]LISTE!$A$1:$D$431,4,FALSE)</f>
        <v>BEN SALEM FETHI</v>
      </c>
      <c r="D55" s="14" t="s">
        <v>192</v>
      </c>
      <c r="E55" s="15">
        <v>45995</v>
      </c>
      <c r="F55" s="14" t="s">
        <v>23</v>
      </c>
      <c r="G55" s="16">
        <v>20</v>
      </c>
    </row>
    <row r="56" spans="1:7" x14ac:dyDescent="0.25">
      <c r="A56" s="13" t="s">
        <v>3111</v>
      </c>
      <c r="B56" s="13">
        <v>1595</v>
      </c>
      <c r="C56" s="14" t="str">
        <f>+VLOOKUP(B56,[1]LISTE!$A$1:$D$431,4,FALSE)</f>
        <v>BEN SALEM FETHI</v>
      </c>
      <c r="D56" s="14" t="s">
        <v>192</v>
      </c>
      <c r="E56" s="15">
        <v>45995</v>
      </c>
      <c r="F56" s="14" t="s">
        <v>20</v>
      </c>
      <c r="G56" s="16">
        <v>54.42</v>
      </c>
    </row>
    <row r="57" spans="1:7" x14ac:dyDescent="0.25">
      <c r="A57" s="13" t="s">
        <v>3129</v>
      </c>
      <c r="B57" s="13">
        <v>1596</v>
      </c>
      <c r="C57" s="14" t="str">
        <f>+VLOOKUP(B57,[1]LISTE!$A$1:$D$431,4,FALSE)</f>
        <v>GORCHENE NOUREDDINE</v>
      </c>
      <c r="D57" s="14" t="s">
        <v>322</v>
      </c>
      <c r="E57" s="15">
        <v>45993</v>
      </c>
      <c r="F57" s="14" t="s">
        <v>23</v>
      </c>
      <c r="G57" s="16">
        <v>45</v>
      </c>
    </row>
    <row r="58" spans="1:7" x14ac:dyDescent="0.25">
      <c r="A58" s="13" t="s">
        <v>3129</v>
      </c>
      <c r="B58" s="13">
        <v>1596</v>
      </c>
      <c r="C58" s="14" t="str">
        <f>+VLOOKUP(B58,[1]LISTE!$A$1:$D$431,4,FALSE)</f>
        <v>GORCHENE NOUREDDINE</v>
      </c>
      <c r="D58" s="14" t="s">
        <v>322</v>
      </c>
      <c r="E58" s="15">
        <v>45993</v>
      </c>
      <c r="F58" s="14" t="s">
        <v>20</v>
      </c>
      <c r="G58" s="16">
        <v>27.024999999999999</v>
      </c>
    </row>
    <row r="59" spans="1:7" x14ac:dyDescent="0.25">
      <c r="A59" s="13" t="s">
        <v>3125</v>
      </c>
      <c r="B59" s="13">
        <v>1597</v>
      </c>
      <c r="C59" s="14" t="str">
        <f>+VLOOKUP(B59,[1]LISTE!$A$1:$D$431,4,FALSE)</f>
        <v>AMARA KARIM</v>
      </c>
      <c r="D59" s="15" t="s">
        <v>153</v>
      </c>
      <c r="E59" s="15">
        <v>45992</v>
      </c>
      <c r="F59" s="14" t="s">
        <v>23</v>
      </c>
      <c r="G59" s="16">
        <v>20</v>
      </c>
    </row>
    <row r="60" spans="1:7" x14ac:dyDescent="0.25">
      <c r="A60" s="13" t="s">
        <v>3125</v>
      </c>
      <c r="B60" s="13">
        <v>1597</v>
      </c>
      <c r="C60" s="14" t="str">
        <f>+VLOOKUP(B60,[1]LISTE!$A$1:$D$431,4,FALSE)</f>
        <v>AMARA KARIM</v>
      </c>
      <c r="D60" s="14" t="s">
        <v>153</v>
      </c>
      <c r="E60" s="15">
        <v>45992</v>
      </c>
      <c r="F60" s="14" t="s">
        <v>20</v>
      </c>
      <c r="G60" s="16">
        <v>41.77</v>
      </c>
    </row>
    <row r="61" spans="1:7" x14ac:dyDescent="0.25">
      <c r="A61" s="13" t="s">
        <v>3126</v>
      </c>
      <c r="B61" s="13">
        <v>1597</v>
      </c>
      <c r="C61" s="14" t="str">
        <f>+VLOOKUP(B61,[1]LISTE!$A$1:$D$431,4,FALSE)</f>
        <v>AMARA KARIM</v>
      </c>
      <c r="D61" s="14" t="s">
        <v>153</v>
      </c>
      <c r="E61" s="15">
        <v>45946</v>
      </c>
      <c r="F61" s="14" t="s">
        <v>18</v>
      </c>
      <c r="G61" s="16">
        <v>70</v>
      </c>
    </row>
    <row r="62" spans="1:7" x14ac:dyDescent="0.25">
      <c r="A62" s="13" t="s">
        <v>3126</v>
      </c>
      <c r="B62" s="13">
        <v>1597</v>
      </c>
      <c r="C62" s="14" t="str">
        <f>+VLOOKUP(B62,[1]LISTE!$A$1:$D$431,4,FALSE)</f>
        <v>AMARA KARIM</v>
      </c>
      <c r="D62" s="14" t="s">
        <v>153</v>
      </c>
      <c r="E62" s="15">
        <v>45991</v>
      </c>
      <c r="F62" s="14" t="s">
        <v>20</v>
      </c>
      <c r="G62" s="16">
        <v>108.759</v>
      </c>
    </row>
    <row r="63" spans="1:7" x14ac:dyDescent="0.25">
      <c r="A63" s="13" t="s">
        <v>3127</v>
      </c>
      <c r="B63" s="13">
        <v>1597</v>
      </c>
      <c r="C63" s="14" t="str">
        <f>+VLOOKUP(B63,[1]LISTE!$A$1:$D$431,4,FALSE)</f>
        <v>AMARA KARIM</v>
      </c>
      <c r="D63" s="15" t="s">
        <v>3128</v>
      </c>
      <c r="E63" s="15">
        <v>45992</v>
      </c>
      <c r="F63" s="14" t="s">
        <v>23</v>
      </c>
      <c r="G63" s="16">
        <v>20</v>
      </c>
    </row>
    <row r="64" spans="1:7" x14ac:dyDescent="0.25">
      <c r="A64" s="13" t="s">
        <v>3127</v>
      </c>
      <c r="B64" s="13">
        <v>1597</v>
      </c>
      <c r="C64" s="14" t="str">
        <f>+VLOOKUP(B64,[1]LISTE!$A$1:$D$431,4,FALSE)</f>
        <v>AMARA KARIM</v>
      </c>
      <c r="D64" s="14" t="s">
        <v>3128</v>
      </c>
      <c r="E64" s="15">
        <v>45992</v>
      </c>
      <c r="F64" s="14" t="s">
        <v>20</v>
      </c>
      <c r="G64" s="16">
        <v>26.265000000000001</v>
      </c>
    </row>
    <row r="65" spans="1:7" x14ac:dyDescent="0.25">
      <c r="A65" s="13" t="s">
        <v>3149</v>
      </c>
      <c r="B65" s="13">
        <v>1603</v>
      </c>
      <c r="C65" s="14" t="str">
        <f>+VLOOKUP(B65,[1]LISTE!$A$1:$D$431,4,FALSE)</f>
        <v>MANSOUR SALHA</v>
      </c>
      <c r="D65" s="15" t="s">
        <v>22</v>
      </c>
      <c r="E65" s="15">
        <v>45993</v>
      </c>
      <c r="F65" s="14" t="s">
        <v>20</v>
      </c>
      <c r="G65" s="16">
        <v>68.52</v>
      </c>
    </row>
    <row r="66" spans="1:7" x14ac:dyDescent="0.25">
      <c r="A66" s="13" t="s">
        <v>3037</v>
      </c>
      <c r="B66" s="13">
        <v>1612</v>
      </c>
      <c r="C66" s="14" t="str">
        <f>+VLOOKUP(B66,[1]LISTE!$A$1:$D$431,4,FALSE)</f>
        <v>LADHERI NAJEH</v>
      </c>
      <c r="D66" s="14" t="s">
        <v>22</v>
      </c>
      <c r="E66" s="15">
        <v>45987</v>
      </c>
      <c r="F66" s="14" t="s">
        <v>23</v>
      </c>
      <c r="G66" s="16">
        <v>50</v>
      </c>
    </row>
    <row r="67" spans="1:7" x14ac:dyDescent="0.25">
      <c r="A67" s="13" t="s">
        <v>3037</v>
      </c>
      <c r="B67" s="13">
        <v>1612</v>
      </c>
      <c r="C67" s="14" t="str">
        <f>+VLOOKUP(B67,[1]LISTE!$A$1:$D$431,4,FALSE)</f>
        <v>LADHERI NAJEH</v>
      </c>
      <c r="D67" s="14" t="s">
        <v>22</v>
      </c>
      <c r="E67" s="15">
        <v>45987</v>
      </c>
      <c r="F67" s="14" t="s">
        <v>20</v>
      </c>
      <c r="G67" s="16">
        <v>26.125</v>
      </c>
    </row>
    <row r="68" spans="1:7" x14ac:dyDescent="0.25">
      <c r="A68" s="13" t="s">
        <v>3071</v>
      </c>
      <c r="B68" s="13">
        <v>1612</v>
      </c>
      <c r="C68" s="14" t="str">
        <f>+VLOOKUP(B68,[1]LISTE!$A$1:$D$431,4,FALSE)</f>
        <v>LADHERI NAJEH</v>
      </c>
      <c r="D68" s="14" t="s">
        <v>200</v>
      </c>
      <c r="E68" s="15">
        <v>45990</v>
      </c>
      <c r="F68" s="14" t="s">
        <v>23</v>
      </c>
      <c r="G68" s="16">
        <v>50</v>
      </c>
    </row>
    <row r="69" spans="1:7" x14ac:dyDescent="0.25">
      <c r="A69" s="13" t="s">
        <v>3071</v>
      </c>
      <c r="B69" s="13">
        <v>1612</v>
      </c>
      <c r="C69" s="14" t="str">
        <f>+VLOOKUP(B69,[1]LISTE!$A$1:$D$431,4,FALSE)</f>
        <v>LADHERI NAJEH</v>
      </c>
      <c r="D69" s="14" t="s">
        <v>200</v>
      </c>
      <c r="E69" s="15">
        <v>45990</v>
      </c>
      <c r="F69" s="14" t="s">
        <v>20</v>
      </c>
      <c r="G69" s="16">
        <v>14.645</v>
      </c>
    </row>
    <row r="70" spans="1:7" x14ac:dyDescent="0.25">
      <c r="A70" s="13" t="s">
        <v>3044</v>
      </c>
      <c r="B70" s="13">
        <v>1616</v>
      </c>
      <c r="C70" s="14" t="str">
        <f>+VLOOKUP(B70,[1]LISTE!$A$1:$D$431,4,FALSE)</f>
        <v>MOUSSA FETHI</v>
      </c>
      <c r="D70" s="14" t="s">
        <v>2232</v>
      </c>
      <c r="E70" s="15">
        <v>45979</v>
      </c>
      <c r="F70" s="14" t="s">
        <v>18</v>
      </c>
      <c r="G70" s="16">
        <v>80</v>
      </c>
    </row>
    <row r="71" spans="1:7" x14ac:dyDescent="0.25">
      <c r="A71" s="13" t="s">
        <v>3044</v>
      </c>
      <c r="B71" s="13">
        <v>1616</v>
      </c>
      <c r="C71" s="14" t="str">
        <f>+VLOOKUP(B71,[1]LISTE!$A$1:$D$431,4,FALSE)</f>
        <v>MOUSSA FETHI</v>
      </c>
      <c r="D71" s="14" t="s">
        <v>2232</v>
      </c>
      <c r="E71" s="15">
        <v>45979</v>
      </c>
      <c r="F71" s="14" t="s">
        <v>20</v>
      </c>
      <c r="G71" s="16">
        <v>124.32</v>
      </c>
    </row>
    <row r="72" spans="1:7" x14ac:dyDescent="0.25">
      <c r="A72" s="13" t="s">
        <v>3047</v>
      </c>
      <c r="B72" s="13">
        <v>1643</v>
      </c>
      <c r="C72" s="14" t="str">
        <f>+VLOOKUP(B72,[1]LISTE!$A$1:$D$431,4,FALSE)</f>
        <v>HALLEB SALAH</v>
      </c>
      <c r="D72" s="14" t="s">
        <v>1369</v>
      </c>
      <c r="E72" s="15">
        <v>45980</v>
      </c>
      <c r="F72" s="14" t="s">
        <v>23</v>
      </c>
      <c r="G72" s="16">
        <v>40</v>
      </c>
    </row>
    <row r="73" spans="1:7" x14ac:dyDescent="0.25">
      <c r="A73" s="13" t="s">
        <v>3047</v>
      </c>
      <c r="B73" s="13">
        <v>1643</v>
      </c>
      <c r="C73" s="14" t="str">
        <f>+VLOOKUP(B73,[1]LISTE!$A$1:$D$431,4,FALSE)</f>
        <v>HALLEB SALAH</v>
      </c>
      <c r="D73" s="14" t="s">
        <v>1369</v>
      </c>
      <c r="E73" s="15">
        <v>45980</v>
      </c>
      <c r="F73" s="14" t="s">
        <v>20</v>
      </c>
      <c r="G73" s="16">
        <v>39.280999999999999</v>
      </c>
    </row>
    <row r="74" spans="1:7" x14ac:dyDescent="0.25">
      <c r="A74" s="13" t="s">
        <v>3091</v>
      </c>
      <c r="B74" s="13">
        <v>1664</v>
      </c>
      <c r="C74" s="14" t="str">
        <f>+VLOOKUP(B74,[1]LISTE!$A$1:$D$431,4,FALSE)</f>
        <v>BEN SAOUD SOFIANE</v>
      </c>
      <c r="D74" s="15" t="s">
        <v>22</v>
      </c>
      <c r="E74" s="15">
        <v>45992</v>
      </c>
      <c r="F74" s="14" t="s">
        <v>18</v>
      </c>
      <c r="G74" s="16">
        <v>70</v>
      </c>
    </row>
    <row r="75" spans="1:7" x14ac:dyDescent="0.25">
      <c r="A75" s="13" t="s">
        <v>3091</v>
      </c>
      <c r="B75" s="13">
        <v>1664</v>
      </c>
      <c r="C75" s="14" t="str">
        <f>+VLOOKUP(B75,[1]LISTE!$A$1:$D$431,4,FALSE)</f>
        <v>BEN SAOUD SOFIANE</v>
      </c>
      <c r="D75" s="15" t="s">
        <v>22</v>
      </c>
      <c r="E75" s="15">
        <v>45978</v>
      </c>
      <c r="F75" s="14" t="s">
        <v>20</v>
      </c>
      <c r="G75" s="16">
        <v>9.68</v>
      </c>
    </row>
    <row r="76" spans="1:7" x14ac:dyDescent="0.25">
      <c r="A76" s="13" t="s">
        <v>3091</v>
      </c>
      <c r="B76" s="13">
        <v>1664</v>
      </c>
      <c r="C76" s="14" t="str">
        <f>+VLOOKUP(B76,[1]LISTE!$A$1:$D$431,4,FALSE)</f>
        <v>BEN SAOUD SOFIANE</v>
      </c>
      <c r="D76" s="15" t="s">
        <v>22</v>
      </c>
      <c r="E76" s="15">
        <v>45992</v>
      </c>
      <c r="F76" s="14" t="s">
        <v>20</v>
      </c>
      <c r="G76" s="16">
        <v>2.7749999999999999</v>
      </c>
    </row>
    <row r="77" spans="1:7" x14ac:dyDescent="0.25">
      <c r="A77" s="13" t="s">
        <v>3091</v>
      </c>
      <c r="B77" s="13">
        <v>1664</v>
      </c>
      <c r="C77" s="14" t="str">
        <f>+VLOOKUP(B77,[1]LISTE!$A$1:$D$431,4,FALSE)</f>
        <v>BEN SAOUD SOFIANE</v>
      </c>
      <c r="D77" s="14" t="s">
        <v>22</v>
      </c>
      <c r="E77" s="15">
        <v>45990</v>
      </c>
      <c r="F77" s="14" t="s">
        <v>21</v>
      </c>
      <c r="G77" s="16">
        <v>160</v>
      </c>
    </row>
    <row r="78" spans="1:7" x14ac:dyDescent="0.25">
      <c r="A78" s="13" t="s">
        <v>3096</v>
      </c>
      <c r="B78" s="13">
        <v>1664</v>
      </c>
      <c r="C78" s="14" t="str">
        <f>+VLOOKUP(B78,[1]LISTE!$A$1:$D$431,4,FALSE)</f>
        <v>BEN SAOUD SOFIANE</v>
      </c>
      <c r="D78" s="15" t="s">
        <v>412</v>
      </c>
      <c r="E78" s="15">
        <v>45984</v>
      </c>
      <c r="F78" s="14" t="s">
        <v>23</v>
      </c>
      <c r="G78" s="16">
        <v>35</v>
      </c>
    </row>
    <row r="79" spans="1:7" x14ac:dyDescent="0.25">
      <c r="A79" s="13" t="s">
        <v>3096</v>
      </c>
      <c r="B79" s="13">
        <v>1664</v>
      </c>
      <c r="C79" s="14" t="str">
        <f>+VLOOKUP(B79,[1]LISTE!$A$1:$D$431,4,FALSE)</f>
        <v>BEN SAOUD SOFIANE</v>
      </c>
      <c r="D79" s="14" t="s">
        <v>412</v>
      </c>
      <c r="E79" s="15">
        <v>45988</v>
      </c>
      <c r="F79" s="14" t="s">
        <v>20</v>
      </c>
      <c r="G79" s="16">
        <v>39.732999999999997</v>
      </c>
    </row>
    <row r="80" spans="1:7" x14ac:dyDescent="0.25">
      <c r="A80" s="13" t="s">
        <v>3097</v>
      </c>
      <c r="B80" s="13">
        <v>1664</v>
      </c>
      <c r="C80" s="14" t="str">
        <f>+VLOOKUP(B80,[1]LISTE!$A$1:$D$431,4,FALSE)</f>
        <v>BEN SAOUD SOFIANE</v>
      </c>
      <c r="D80" s="14" t="s">
        <v>31</v>
      </c>
      <c r="E80" s="15">
        <v>45986</v>
      </c>
      <c r="F80" s="14" t="s">
        <v>23</v>
      </c>
      <c r="G80" s="16">
        <v>35</v>
      </c>
    </row>
    <row r="81" spans="1:7" x14ac:dyDescent="0.25">
      <c r="A81" s="13" t="s">
        <v>3097</v>
      </c>
      <c r="B81" s="13">
        <v>1664</v>
      </c>
      <c r="C81" s="14" t="str">
        <f>+VLOOKUP(B81,[1]LISTE!$A$1:$D$431,4,FALSE)</f>
        <v>BEN SAOUD SOFIANE</v>
      </c>
      <c r="D81" s="14" t="s">
        <v>31</v>
      </c>
      <c r="E81" s="15">
        <v>45988</v>
      </c>
      <c r="F81" s="14" t="s">
        <v>20</v>
      </c>
      <c r="G81" s="16">
        <v>81.540999999999997</v>
      </c>
    </row>
    <row r="82" spans="1:7" x14ac:dyDescent="0.25">
      <c r="A82" s="13" t="s">
        <v>3148</v>
      </c>
      <c r="B82" s="13">
        <v>1713</v>
      </c>
      <c r="C82" s="14" t="s">
        <v>939</v>
      </c>
      <c r="D82" s="14" t="s">
        <v>22</v>
      </c>
      <c r="E82" s="15">
        <v>45987</v>
      </c>
      <c r="F82" s="14" t="s">
        <v>23</v>
      </c>
      <c r="G82" s="16">
        <v>50</v>
      </c>
    </row>
    <row r="83" spans="1:7" x14ac:dyDescent="0.25">
      <c r="A83" s="13" t="s">
        <v>3148</v>
      </c>
      <c r="B83" s="13">
        <v>1713</v>
      </c>
      <c r="C83" s="14" t="s">
        <v>939</v>
      </c>
      <c r="D83" s="14" t="s">
        <v>22</v>
      </c>
      <c r="E83" s="15">
        <v>45987</v>
      </c>
      <c r="F83" s="14" t="s">
        <v>20</v>
      </c>
      <c r="G83" s="16">
        <v>68.36</v>
      </c>
    </row>
    <row r="84" spans="1:7" x14ac:dyDescent="0.25">
      <c r="A84" s="13" t="s">
        <v>3067</v>
      </c>
      <c r="B84" s="13">
        <v>1735</v>
      </c>
      <c r="C84" s="14" t="str">
        <f>+VLOOKUP(B84,[1]LISTE!$A$1:$D$431,4,FALSE)</f>
        <v>SAKKA ROUIS MED HAFEDH</v>
      </c>
      <c r="D84" s="15" t="s">
        <v>163</v>
      </c>
      <c r="E84" s="15">
        <v>45985</v>
      </c>
      <c r="F84" s="14" t="s">
        <v>23</v>
      </c>
      <c r="G84" s="16">
        <v>40</v>
      </c>
    </row>
    <row r="85" spans="1:7" x14ac:dyDescent="0.25">
      <c r="A85" s="13" t="s">
        <v>3067</v>
      </c>
      <c r="B85" s="13">
        <v>1735</v>
      </c>
      <c r="C85" s="14" t="str">
        <f>+VLOOKUP(B85,[1]LISTE!$A$1:$D$431,4,FALSE)</f>
        <v>SAKKA ROUIS MED HAFEDH</v>
      </c>
      <c r="D85" s="15" t="s">
        <v>163</v>
      </c>
      <c r="E85" s="15">
        <v>45985</v>
      </c>
      <c r="F85" s="14" t="s">
        <v>20</v>
      </c>
      <c r="G85" s="16">
        <v>26.681000000000001</v>
      </c>
    </row>
    <row r="86" spans="1:7" x14ac:dyDescent="0.25">
      <c r="A86" s="13" t="s">
        <v>3067</v>
      </c>
      <c r="B86" s="13">
        <v>1735</v>
      </c>
      <c r="C86" s="14" t="str">
        <f>+VLOOKUP(B86,[1]LISTE!$A$1:$D$431,4,FALSE)</f>
        <v>SAKKA ROUIS MED HAFEDH</v>
      </c>
      <c r="D86" s="14" t="s">
        <v>163</v>
      </c>
      <c r="E86" s="15">
        <v>45992</v>
      </c>
      <c r="F86" s="14" t="s">
        <v>19</v>
      </c>
      <c r="G86" s="16">
        <v>103.26</v>
      </c>
    </row>
    <row r="87" spans="1:7" x14ac:dyDescent="0.25">
      <c r="A87" s="13" t="s">
        <v>3080</v>
      </c>
      <c r="B87" s="13">
        <v>1740</v>
      </c>
      <c r="C87" s="14" t="str">
        <f>+VLOOKUP(B87,[1]LISTE!$A$1:$D$431,4,FALSE)</f>
        <v>YOUSSEF LOTFI</v>
      </c>
      <c r="D87" s="14" t="s">
        <v>22</v>
      </c>
      <c r="E87" s="15">
        <v>45976</v>
      </c>
      <c r="F87" s="14" t="s">
        <v>65</v>
      </c>
      <c r="G87" s="16">
        <v>360</v>
      </c>
    </row>
    <row r="88" spans="1:7" x14ac:dyDescent="0.25">
      <c r="A88" s="13" t="s">
        <v>3079</v>
      </c>
      <c r="B88" s="13">
        <v>1746</v>
      </c>
      <c r="C88" s="14" t="str">
        <f>+VLOOKUP(B88,[1]LISTE!$A$1:$D$431,4,FALSE)</f>
        <v>BEL ARBIA KAMEL</v>
      </c>
      <c r="D88" s="14" t="s">
        <v>513</v>
      </c>
      <c r="E88" s="15">
        <v>45990</v>
      </c>
      <c r="F88" s="14" t="s">
        <v>23</v>
      </c>
      <c r="G88" s="16">
        <v>60</v>
      </c>
    </row>
    <row r="89" spans="1:7" x14ac:dyDescent="0.25">
      <c r="A89" s="13" t="s">
        <v>3079</v>
      </c>
      <c r="B89" s="13">
        <v>1746</v>
      </c>
      <c r="C89" s="14" t="str">
        <f>+VLOOKUP(B89,[1]LISTE!$A$1:$D$431,4,FALSE)</f>
        <v>BEL ARBIA KAMEL</v>
      </c>
      <c r="D89" s="14" t="s">
        <v>513</v>
      </c>
      <c r="E89" s="15">
        <v>45990</v>
      </c>
      <c r="F89" s="14" t="s">
        <v>20</v>
      </c>
      <c r="G89" s="16">
        <v>43.432000000000002</v>
      </c>
    </row>
    <row r="90" spans="1:7" x14ac:dyDescent="0.25">
      <c r="A90" s="13" t="s">
        <v>3164</v>
      </c>
      <c r="B90" s="13">
        <v>1764</v>
      </c>
      <c r="C90" s="14" t="str">
        <f>+VLOOKUP(B90,[1]LISTE!$A$1:$D$431,4,FALSE)</f>
        <v>RBEH MAHMOUD</v>
      </c>
      <c r="D90" s="15" t="s">
        <v>54</v>
      </c>
      <c r="E90" s="15">
        <v>46000</v>
      </c>
      <c r="F90" s="14" t="s">
        <v>23</v>
      </c>
      <c r="G90" s="16">
        <v>40</v>
      </c>
    </row>
    <row r="91" spans="1:7" x14ac:dyDescent="0.25">
      <c r="A91" s="13" t="s">
        <v>3164</v>
      </c>
      <c r="B91" s="13">
        <v>1764</v>
      </c>
      <c r="C91" s="14" t="str">
        <f>+VLOOKUP(B91,[1]LISTE!$A$1:$D$431,4,FALSE)</f>
        <v>RBEH MAHMOUD</v>
      </c>
      <c r="D91" s="15" t="s">
        <v>54</v>
      </c>
      <c r="E91" s="15">
        <v>46000</v>
      </c>
      <c r="F91" s="14" t="s">
        <v>20</v>
      </c>
      <c r="G91" s="16">
        <v>16.234999999999999</v>
      </c>
    </row>
    <row r="92" spans="1:7" x14ac:dyDescent="0.25">
      <c r="A92" s="13" t="s">
        <v>3078</v>
      </c>
      <c r="B92" s="13">
        <v>1774</v>
      </c>
      <c r="C92" s="14" t="str">
        <f>+VLOOKUP(B92,[1]LISTE!$A$1:$D$431,4,FALSE)</f>
        <v>BEN SALEM FAOUZI</v>
      </c>
      <c r="D92" s="14" t="s">
        <v>22</v>
      </c>
      <c r="E92" s="15">
        <v>45985</v>
      </c>
      <c r="F92" s="14" t="s">
        <v>23</v>
      </c>
      <c r="G92" s="16">
        <v>20</v>
      </c>
    </row>
    <row r="93" spans="1:7" x14ac:dyDescent="0.25">
      <c r="A93" s="13" t="s">
        <v>3078</v>
      </c>
      <c r="B93" s="13">
        <v>1774</v>
      </c>
      <c r="C93" s="14" t="str">
        <f>+VLOOKUP(B93,[1]LISTE!$A$1:$D$431,4,FALSE)</f>
        <v>BEN SALEM FAOUZI</v>
      </c>
      <c r="D93" s="14" t="s">
        <v>22</v>
      </c>
      <c r="E93" s="15">
        <v>45992</v>
      </c>
      <c r="F93" s="14" t="s">
        <v>20</v>
      </c>
      <c r="G93" s="16">
        <v>140.44499999999999</v>
      </c>
    </row>
    <row r="94" spans="1:7" x14ac:dyDescent="0.25">
      <c r="A94" s="13" t="s">
        <v>3053</v>
      </c>
      <c r="B94" s="13">
        <v>1784</v>
      </c>
      <c r="C94" s="14" t="str">
        <f>+VLOOKUP(B94,[1]LISTE!$A$1:$D$431,4,FALSE)</f>
        <v>LAYOUNI KHALED</v>
      </c>
      <c r="D94" s="14" t="s">
        <v>907</v>
      </c>
      <c r="E94" s="15">
        <v>45986</v>
      </c>
      <c r="F94" s="14" t="s">
        <v>23</v>
      </c>
      <c r="G94" s="16">
        <v>1.5</v>
      </c>
    </row>
    <row r="95" spans="1:7" x14ac:dyDescent="0.25">
      <c r="A95" s="13" t="s">
        <v>3053</v>
      </c>
      <c r="B95" s="13">
        <v>1784</v>
      </c>
      <c r="C95" s="14" t="str">
        <f>+VLOOKUP(B95,[1]LISTE!$A$1:$D$431,4,FALSE)</f>
        <v>LAYOUNI KHALED</v>
      </c>
      <c r="D95" s="15" t="s">
        <v>907</v>
      </c>
      <c r="E95" s="15">
        <v>45986</v>
      </c>
      <c r="F95" s="14" t="s">
        <v>20</v>
      </c>
      <c r="G95" s="16">
        <v>42.24</v>
      </c>
    </row>
    <row r="96" spans="1:7" x14ac:dyDescent="0.25">
      <c r="A96" s="13" t="s">
        <v>3151</v>
      </c>
      <c r="B96" s="13">
        <v>1786</v>
      </c>
      <c r="C96" s="14" t="str">
        <f>+VLOOKUP(B96,[1]LISTE!$A$1:$D$431,4,FALSE)</f>
        <v>GUIZANI MOHAMED</v>
      </c>
      <c r="D96" s="15" t="s">
        <v>1534</v>
      </c>
      <c r="E96" s="15">
        <v>45978</v>
      </c>
      <c r="F96" s="14" t="s">
        <v>23</v>
      </c>
      <c r="G96" s="16">
        <v>40</v>
      </c>
    </row>
    <row r="97" spans="1:7" x14ac:dyDescent="0.25">
      <c r="A97" s="13" t="s">
        <v>3151</v>
      </c>
      <c r="B97" s="13">
        <v>1786</v>
      </c>
      <c r="C97" s="14" t="str">
        <f>+VLOOKUP(B97,[1]LISTE!$A$1:$D$431,4,FALSE)</f>
        <v>GUIZANI MOHAMED</v>
      </c>
      <c r="D97" s="15" t="s">
        <v>1534</v>
      </c>
      <c r="E97" s="15">
        <v>45992</v>
      </c>
      <c r="F97" s="14" t="s">
        <v>20</v>
      </c>
      <c r="G97" s="16">
        <v>4.2450000000000001</v>
      </c>
    </row>
    <row r="98" spans="1:7" x14ac:dyDescent="0.25">
      <c r="A98" s="13" t="s">
        <v>3151</v>
      </c>
      <c r="B98" s="13">
        <v>1786</v>
      </c>
      <c r="C98" s="14" t="str">
        <f>+VLOOKUP(B98,[1]LISTE!$A$1:$D$431,4,FALSE)</f>
        <v>GUIZANI MOHAMED</v>
      </c>
      <c r="D98" s="15" t="s">
        <v>1534</v>
      </c>
      <c r="E98" s="15">
        <v>45988</v>
      </c>
      <c r="F98" s="14" t="s">
        <v>24</v>
      </c>
      <c r="G98" s="16">
        <v>150</v>
      </c>
    </row>
    <row r="99" spans="1:7" x14ac:dyDescent="0.25">
      <c r="A99" s="13" t="s">
        <v>3054</v>
      </c>
      <c r="B99" s="13">
        <v>1789</v>
      </c>
      <c r="C99" s="14" t="str">
        <f>+VLOOKUP(B99,[1]LISTE!$A$1:$D$431,4,FALSE)</f>
        <v>CHIHI MOHAMED SALAH</v>
      </c>
      <c r="D99" s="14" t="s">
        <v>22</v>
      </c>
      <c r="E99" s="15">
        <v>45985</v>
      </c>
      <c r="F99" s="14" t="s">
        <v>20</v>
      </c>
      <c r="G99" s="16">
        <v>36.718000000000004</v>
      </c>
    </row>
    <row r="100" spans="1:7" x14ac:dyDescent="0.25">
      <c r="A100" s="13" t="s">
        <v>3088</v>
      </c>
      <c r="B100" s="13">
        <v>1789</v>
      </c>
      <c r="C100" s="14" t="str">
        <f>+VLOOKUP(B100,[1]LISTE!$A$1:$D$431,4,FALSE)</f>
        <v>CHIHI MOHAMED SALAH</v>
      </c>
      <c r="D100" s="14" t="s">
        <v>22</v>
      </c>
      <c r="E100" s="15">
        <v>45986</v>
      </c>
      <c r="F100" s="14" t="s">
        <v>18</v>
      </c>
      <c r="G100" s="16">
        <v>70</v>
      </c>
    </row>
    <row r="101" spans="1:7" x14ac:dyDescent="0.25">
      <c r="A101" s="13" t="s">
        <v>3088</v>
      </c>
      <c r="B101" s="13">
        <v>1789</v>
      </c>
      <c r="C101" s="14" t="str">
        <f>+VLOOKUP(B101,[1]LISTE!$A$1:$D$431,4,FALSE)</f>
        <v>CHIHI MOHAMED SALAH</v>
      </c>
      <c r="D101" s="14" t="s">
        <v>22</v>
      </c>
      <c r="E101" s="15">
        <v>45986</v>
      </c>
      <c r="F101" s="14" t="s">
        <v>20</v>
      </c>
      <c r="G101" s="16">
        <v>35.46</v>
      </c>
    </row>
    <row r="102" spans="1:7" x14ac:dyDescent="0.25">
      <c r="A102" s="13" t="s">
        <v>3088</v>
      </c>
      <c r="B102" s="13">
        <v>1789</v>
      </c>
      <c r="C102" s="14" t="str">
        <f>+VLOOKUP(B102,[1]LISTE!$A$1:$D$431,4,FALSE)</f>
        <v>CHIHI MOHAMED SALAH</v>
      </c>
      <c r="D102" s="14" t="s">
        <v>22</v>
      </c>
      <c r="E102" s="15">
        <v>45990</v>
      </c>
      <c r="F102" s="14" t="s">
        <v>20</v>
      </c>
      <c r="G102" s="16">
        <v>7.34</v>
      </c>
    </row>
    <row r="103" spans="1:7" x14ac:dyDescent="0.25">
      <c r="A103" s="13" t="s">
        <v>3166</v>
      </c>
      <c r="B103" s="13">
        <v>1789</v>
      </c>
      <c r="C103" s="14" t="str">
        <f>+VLOOKUP(B103,[1]LISTE!$A$1:$D$431,4,FALSE)</f>
        <v>CHIHI MOHAMED SALAH</v>
      </c>
      <c r="D103" s="15" t="s">
        <v>22</v>
      </c>
      <c r="E103" s="15">
        <v>45996</v>
      </c>
      <c r="F103" s="14" t="s">
        <v>20</v>
      </c>
      <c r="G103" s="16">
        <v>105.28</v>
      </c>
    </row>
    <row r="104" spans="1:7" x14ac:dyDescent="0.25">
      <c r="A104" s="13" t="s">
        <v>3058</v>
      </c>
      <c r="B104" s="13">
        <v>1793</v>
      </c>
      <c r="C104" s="14" t="str">
        <f>+VLOOKUP(B104,[1]LISTE!$A$1:$D$431,4,FALSE)</f>
        <v>MIMOUNA RAOUF</v>
      </c>
      <c r="D104" s="15" t="s">
        <v>125</v>
      </c>
      <c r="E104" s="15">
        <v>45972</v>
      </c>
      <c r="F104" s="14" t="s">
        <v>20</v>
      </c>
      <c r="G104" s="16">
        <v>32.183</v>
      </c>
    </row>
    <row r="105" spans="1:7" x14ac:dyDescent="0.25">
      <c r="A105" s="13" t="s">
        <v>3140</v>
      </c>
      <c r="B105" s="13">
        <v>1793</v>
      </c>
      <c r="C105" s="14" t="str">
        <f>+VLOOKUP(B105,[1]LISTE!$A$1:$D$431,4,FALSE)</f>
        <v>MIMOUNA RAOUF</v>
      </c>
      <c r="D105" s="14" t="s">
        <v>22</v>
      </c>
      <c r="E105" s="15">
        <v>45992</v>
      </c>
      <c r="F105" s="14" t="s">
        <v>23</v>
      </c>
      <c r="G105" s="16">
        <v>1.5</v>
      </c>
    </row>
    <row r="106" spans="1:7" x14ac:dyDescent="0.25">
      <c r="A106" s="13" t="s">
        <v>3140</v>
      </c>
      <c r="B106" s="13">
        <v>1793</v>
      </c>
      <c r="C106" s="14" t="str">
        <f>+VLOOKUP(B106,[1]LISTE!$A$1:$D$431,4,FALSE)</f>
        <v>MIMOUNA RAOUF</v>
      </c>
      <c r="D106" s="15" t="s">
        <v>22</v>
      </c>
      <c r="E106" s="15">
        <v>45992</v>
      </c>
      <c r="F106" s="14" t="s">
        <v>20</v>
      </c>
      <c r="G106" s="16">
        <v>35.567</v>
      </c>
    </row>
    <row r="107" spans="1:7" x14ac:dyDescent="0.25">
      <c r="A107" s="13" t="s">
        <v>3083</v>
      </c>
      <c r="B107" s="13">
        <v>1795</v>
      </c>
      <c r="C107" s="14" t="str">
        <f>+VLOOKUP(B107,[1]LISTE!$A$1:$D$431,4,FALSE)</f>
        <v>SOUA MOHAMED</v>
      </c>
      <c r="D107" s="14" t="s">
        <v>3084</v>
      </c>
      <c r="E107" s="15">
        <v>45985</v>
      </c>
      <c r="F107" s="14" t="s">
        <v>23</v>
      </c>
      <c r="G107" s="16">
        <v>50</v>
      </c>
    </row>
    <row r="108" spans="1:7" x14ac:dyDescent="0.25">
      <c r="A108" s="13" t="s">
        <v>3083</v>
      </c>
      <c r="B108" s="13">
        <v>1795</v>
      </c>
      <c r="C108" s="14" t="str">
        <f>+VLOOKUP(B108,[1]LISTE!$A$1:$D$431,4,FALSE)</f>
        <v>SOUA MOHAMED</v>
      </c>
      <c r="D108" s="14" t="s">
        <v>3084</v>
      </c>
      <c r="E108" s="15">
        <v>45985</v>
      </c>
      <c r="F108" s="14" t="s">
        <v>20</v>
      </c>
      <c r="G108" s="16">
        <v>4.2450000000000001</v>
      </c>
    </row>
    <row r="109" spans="1:7" x14ac:dyDescent="0.25">
      <c r="A109" s="13" t="s">
        <v>3083</v>
      </c>
      <c r="B109" s="13">
        <v>1795</v>
      </c>
      <c r="C109" s="14" t="str">
        <f>+VLOOKUP(B109,[1]LISTE!$A$1:$D$431,4,FALSE)</f>
        <v>SOUA MOHAMED</v>
      </c>
      <c r="D109" s="14" t="s">
        <v>3084</v>
      </c>
      <c r="E109" s="15">
        <v>45989</v>
      </c>
      <c r="F109" s="14" t="s">
        <v>24</v>
      </c>
      <c r="G109" s="16">
        <v>210</v>
      </c>
    </row>
    <row r="110" spans="1:7" x14ac:dyDescent="0.25">
      <c r="A110" s="13" t="s">
        <v>3056</v>
      </c>
      <c r="B110" s="13">
        <v>1796</v>
      </c>
      <c r="C110" s="14" t="str">
        <f>+VLOOKUP(B110,[1]LISTE!$A$1:$D$431,4,FALSE)</f>
        <v>BEL HADJ HASSINE IMED</v>
      </c>
      <c r="D110" s="14" t="s">
        <v>22</v>
      </c>
      <c r="E110" s="15">
        <v>45968</v>
      </c>
      <c r="F110" s="14" t="s">
        <v>18</v>
      </c>
      <c r="G110" s="16">
        <v>70</v>
      </c>
    </row>
    <row r="111" spans="1:7" x14ac:dyDescent="0.25">
      <c r="A111" s="13" t="s">
        <v>3056</v>
      </c>
      <c r="B111" s="13">
        <v>1796</v>
      </c>
      <c r="C111" s="14" t="str">
        <f>+VLOOKUP(B111,[1]LISTE!$A$1:$D$431,4,FALSE)</f>
        <v>BEL HADJ HASSINE IMED</v>
      </c>
      <c r="D111" s="15" t="s">
        <v>22</v>
      </c>
      <c r="E111" s="15">
        <v>45979</v>
      </c>
      <c r="F111" s="14" t="s">
        <v>20</v>
      </c>
      <c r="G111" s="16">
        <v>39.932000000000002</v>
      </c>
    </row>
    <row r="112" spans="1:7" x14ac:dyDescent="0.25">
      <c r="A112" s="13" t="s">
        <v>3100</v>
      </c>
      <c r="B112" s="13">
        <v>1796</v>
      </c>
      <c r="C112" s="14" t="str">
        <f>+VLOOKUP(B112,[1]LISTE!$A$1:$D$431,4,FALSE)</f>
        <v>BEL HADJ HASSINE IMED</v>
      </c>
      <c r="D112" s="14" t="s">
        <v>22</v>
      </c>
      <c r="E112" s="15">
        <v>45974</v>
      </c>
      <c r="F112" s="14" t="s">
        <v>20</v>
      </c>
      <c r="G112" s="16">
        <v>5.125</v>
      </c>
    </row>
    <row r="113" spans="1:7" x14ac:dyDescent="0.25">
      <c r="A113" s="13" t="s">
        <v>3100</v>
      </c>
      <c r="B113" s="13">
        <v>1796</v>
      </c>
      <c r="C113" s="14" t="str">
        <f>+VLOOKUP(B113,[1]LISTE!$A$1:$D$431,4,FALSE)</f>
        <v>BEL HADJ HASSINE IMED</v>
      </c>
      <c r="D113" s="14" t="s">
        <v>22</v>
      </c>
      <c r="E113" s="15">
        <v>45989</v>
      </c>
      <c r="F113" s="14" t="s">
        <v>20</v>
      </c>
      <c r="G113" s="16">
        <v>13.326000000000001</v>
      </c>
    </row>
    <row r="114" spans="1:7" x14ac:dyDescent="0.25">
      <c r="A114" s="13" t="s">
        <v>3100</v>
      </c>
      <c r="B114" s="13">
        <v>1796</v>
      </c>
      <c r="C114" s="14" t="str">
        <f>+VLOOKUP(B114,[1]LISTE!$A$1:$D$431,4,FALSE)</f>
        <v>BEL HADJ HASSINE IMED</v>
      </c>
      <c r="D114" s="14" t="s">
        <v>22</v>
      </c>
      <c r="E114" s="15">
        <v>45972</v>
      </c>
      <c r="F114" s="14" t="s">
        <v>587</v>
      </c>
      <c r="G114" s="16">
        <v>87</v>
      </c>
    </row>
    <row r="115" spans="1:7" x14ac:dyDescent="0.25">
      <c r="A115" s="13" t="s">
        <v>3049</v>
      </c>
      <c r="B115" s="13">
        <v>1797</v>
      </c>
      <c r="C115" s="14" t="str">
        <f>+VLOOKUP(B115,[1]LISTE!$A$1:$D$431,4,FALSE)</f>
        <v>ABBADI MOHAMED</v>
      </c>
      <c r="D115" s="14" t="s">
        <v>22</v>
      </c>
      <c r="E115" s="15">
        <v>45990</v>
      </c>
      <c r="F115" s="14" t="s">
        <v>20</v>
      </c>
      <c r="G115" s="16">
        <v>160.38900000000001</v>
      </c>
    </row>
    <row r="116" spans="1:7" x14ac:dyDescent="0.25">
      <c r="A116" s="13" t="s">
        <v>3069</v>
      </c>
      <c r="B116" s="13">
        <v>1801</v>
      </c>
      <c r="C116" s="14" t="str">
        <f>+VLOOKUP(B116,[1]LISTE!$A$1:$D$431,4,FALSE)</f>
        <v>MAHJOUB MOHAMED</v>
      </c>
      <c r="D116" s="14" t="s">
        <v>22</v>
      </c>
      <c r="E116" s="15">
        <v>45990</v>
      </c>
      <c r="F116" s="14" t="s">
        <v>23</v>
      </c>
      <c r="G116" s="16">
        <v>50</v>
      </c>
    </row>
    <row r="117" spans="1:7" x14ac:dyDescent="0.25">
      <c r="A117" s="13" t="s">
        <v>3069</v>
      </c>
      <c r="B117" s="13">
        <v>1801</v>
      </c>
      <c r="C117" s="14" t="str">
        <f>+VLOOKUP(B117,[1]LISTE!$A$1:$D$431,4,FALSE)</f>
        <v>MAHJOUB MOHAMED</v>
      </c>
      <c r="D117" s="14" t="s">
        <v>22</v>
      </c>
      <c r="E117" s="15">
        <v>45992</v>
      </c>
      <c r="F117" s="14" t="s">
        <v>20</v>
      </c>
      <c r="G117" s="16">
        <v>110.304</v>
      </c>
    </row>
    <row r="118" spans="1:7" x14ac:dyDescent="0.25">
      <c r="A118" s="13" t="s">
        <v>3114</v>
      </c>
      <c r="B118" s="13">
        <v>1819</v>
      </c>
      <c r="C118" s="14" t="str">
        <f>+VLOOKUP(B118,[1]LISTE!$A$1:$D$431,4,FALSE)</f>
        <v>SASSI MOHAMED WALID</v>
      </c>
      <c r="D118" s="15" t="s">
        <v>371</v>
      </c>
      <c r="E118" s="15">
        <v>45989</v>
      </c>
      <c r="F118" s="14" t="s">
        <v>23</v>
      </c>
      <c r="G118" s="16">
        <v>50</v>
      </c>
    </row>
    <row r="119" spans="1:7" x14ac:dyDescent="0.25">
      <c r="A119" s="13" t="s">
        <v>3114</v>
      </c>
      <c r="B119" s="13">
        <v>1819</v>
      </c>
      <c r="C119" s="14" t="str">
        <f>+VLOOKUP(B119,[1]LISTE!$A$1:$D$431,4,FALSE)</f>
        <v>SASSI MOHAMED WALID</v>
      </c>
      <c r="D119" s="14" t="s">
        <v>371</v>
      </c>
      <c r="E119" s="15">
        <v>45989</v>
      </c>
      <c r="F119" s="14" t="s">
        <v>20</v>
      </c>
      <c r="G119" s="16">
        <v>71.525000000000006</v>
      </c>
    </row>
    <row r="120" spans="1:7" x14ac:dyDescent="0.25">
      <c r="A120" s="13" t="s">
        <v>3115</v>
      </c>
      <c r="B120" s="13">
        <v>1819</v>
      </c>
      <c r="C120" s="14" t="str">
        <f>+VLOOKUP(B120,[1]LISTE!$A$1:$D$431,4,FALSE)</f>
        <v>SASSI MOHAMED WALID</v>
      </c>
      <c r="D120" s="14" t="s">
        <v>153</v>
      </c>
      <c r="E120" s="15">
        <v>45982</v>
      </c>
      <c r="F120" s="14" t="s">
        <v>23</v>
      </c>
      <c r="G120" s="16">
        <v>50</v>
      </c>
    </row>
    <row r="121" spans="1:7" x14ac:dyDescent="0.25">
      <c r="A121" s="13" t="s">
        <v>3115</v>
      </c>
      <c r="B121" s="13">
        <v>1819</v>
      </c>
      <c r="C121" s="14" t="str">
        <f>+VLOOKUP(B121,[1]LISTE!$A$1:$D$431,4,FALSE)</f>
        <v>SASSI MOHAMED WALID</v>
      </c>
      <c r="D121" s="14" t="s">
        <v>153</v>
      </c>
      <c r="E121" s="15">
        <v>45982</v>
      </c>
      <c r="F121" s="14" t="s">
        <v>20</v>
      </c>
      <c r="G121" s="16">
        <v>6.9649999999999999</v>
      </c>
    </row>
    <row r="122" spans="1:7" x14ac:dyDescent="0.25">
      <c r="A122" s="13" t="s">
        <v>3115</v>
      </c>
      <c r="B122" s="13">
        <v>1819</v>
      </c>
      <c r="C122" s="14" t="str">
        <f>+VLOOKUP(B122,[1]LISTE!$A$1:$D$431,4,FALSE)</f>
        <v>SASSI MOHAMED WALID</v>
      </c>
      <c r="D122" s="14" t="s">
        <v>153</v>
      </c>
      <c r="E122" s="15">
        <v>45986</v>
      </c>
      <c r="F122" s="14" t="s">
        <v>20</v>
      </c>
      <c r="G122" s="16">
        <v>20.68</v>
      </c>
    </row>
    <row r="123" spans="1:7" x14ac:dyDescent="0.25">
      <c r="A123" s="13" t="s">
        <v>3115</v>
      </c>
      <c r="B123" s="13">
        <v>1819</v>
      </c>
      <c r="C123" s="14" t="str">
        <f>+VLOOKUP(B123,[1]LISTE!$A$1:$D$431,4,FALSE)</f>
        <v>SASSI MOHAMED WALID</v>
      </c>
      <c r="D123" s="14" t="s">
        <v>153</v>
      </c>
      <c r="E123" s="15">
        <v>45986</v>
      </c>
      <c r="F123" s="14" t="s">
        <v>21</v>
      </c>
      <c r="G123" s="16">
        <v>60</v>
      </c>
    </row>
    <row r="124" spans="1:7" x14ac:dyDescent="0.25">
      <c r="A124" s="13" t="s">
        <v>3062</v>
      </c>
      <c r="B124" s="13">
        <v>1821</v>
      </c>
      <c r="C124" s="14" t="str">
        <f>+VLOOKUP(B124,[1]LISTE!$A$1:$D$431,4,FALSE)</f>
        <v>BOURIGUA MOHAMED</v>
      </c>
      <c r="D124" s="14" t="s">
        <v>22</v>
      </c>
      <c r="E124" s="15">
        <v>45983</v>
      </c>
      <c r="F124" s="14" t="s">
        <v>18</v>
      </c>
      <c r="G124" s="16">
        <v>70</v>
      </c>
    </row>
    <row r="125" spans="1:7" x14ac:dyDescent="0.25">
      <c r="A125" s="13" t="s">
        <v>3062</v>
      </c>
      <c r="B125" s="13">
        <v>1821</v>
      </c>
      <c r="C125" s="14" t="str">
        <f>+VLOOKUP(B125,[1]LISTE!$A$1:$D$431,4,FALSE)</f>
        <v>BOURIGUA MOHAMED</v>
      </c>
      <c r="D125" s="15" t="s">
        <v>22</v>
      </c>
      <c r="E125" s="15">
        <v>45983</v>
      </c>
      <c r="F125" s="14" t="s">
        <v>20</v>
      </c>
      <c r="G125" s="16">
        <v>306.31200000000001</v>
      </c>
    </row>
    <row r="126" spans="1:7" x14ac:dyDescent="0.25">
      <c r="A126" s="13" t="s">
        <v>3063</v>
      </c>
      <c r="B126" s="13">
        <v>1821</v>
      </c>
      <c r="C126" s="14" t="str">
        <f>+VLOOKUP(B126,[1]LISTE!$A$1:$D$431,4,FALSE)</f>
        <v>BOURIGUA MOHAMED</v>
      </c>
      <c r="D126" s="14" t="s">
        <v>2921</v>
      </c>
      <c r="E126" s="15">
        <v>45985</v>
      </c>
      <c r="F126" s="14" t="s">
        <v>18</v>
      </c>
      <c r="G126" s="16">
        <v>70</v>
      </c>
    </row>
    <row r="127" spans="1:7" x14ac:dyDescent="0.25">
      <c r="A127" s="13" t="s">
        <v>3063</v>
      </c>
      <c r="B127" s="13">
        <v>1821</v>
      </c>
      <c r="C127" s="14" t="str">
        <f>+VLOOKUP(B127,[1]LISTE!$A$1:$D$431,4,FALSE)</f>
        <v>BOURIGUA MOHAMED</v>
      </c>
      <c r="D127" s="14" t="s">
        <v>2921</v>
      </c>
      <c r="E127" s="15">
        <v>45985</v>
      </c>
      <c r="F127" s="14" t="s">
        <v>20</v>
      </c>
      <c r="G127" s="16">
        <v>332.95100000000002</v>
      </c>
    </row>
    <row r="128" spans="1:7" x14ac:dyDescent="0.25">
      <c r="A128" s="13" t="s">
        <v>3034</v>
      </c>
      <c r="B128" s="13">
        <v>1823</v>
      </c>
      <c r="C128" s="14" t="str">
        <f>+VLOOKUP(B128,[1]LISTE!$A$1:$D$431,4,FALSE)</f>
        <v>ACHOUR RAOUF</v>
      </c>
      <c r="D128" s="14" t="s">
        <v>22</v>
      </c>
      <c r="E128" s="15">
        <v>45957</v>
      </c>
      <c r="F128" s="14" t="s">
        <v>23</v>
      </c>
      <c r="G128" s="16">
        <v>50</v>
      </c>
    </row>
    <row r="129" spans="1:7" x14ac:dyDescent="0.25">
      <c r="A129" s="13" t="s">
        <v>3034</v>
      </c>
      <c r="B129" s="13">
        <v>1823</v>
      </c>
      <c r="C129" s="14" t="str">
        <f>+VLOOKUP(B129,[1]LISTE!$A$1:$D$431,4,FALSE)</f>
        <v>ACHOUR RAOUF</v>
      </c>
      <c r="D129" s="14" t="s">
        <v>22</v>
      </c>
      <c r="E129" s="15">
        <v>45957</v>
      </c>
      <c r="F129" s="14" t="s">
        <v>20</v>
      </c>
      <c r="G129" s="16">
        <v>21.6</v>
      </c>
    </row>
    <row r="130" spans="1:7" x14ac:dyDescent="0.25">
      <c r="A130" s="13" t="s">
        <v>3034</v>
      </c>
      <c r="B130" s="13">
        <v>1823</v>
      </c>
      <c r="C130" s="14" t="str">
        <f>+VLOOKUP(B130,[1]LISTE!$A$1:$D$431,4,FALSE)</f>
        <v>ACHOUR RAOUF</v>
      </c>
      <c r="D130" s="14" t="s">
        <v>22</v>
      </c>
      <c r="E130" s="15">
        <v>45965</v>
      </c>
      <c r="F130" s="14" t="s">
        <v>21</v>
      </c>
      <c r="G130" s="16">
        <v>60</v>
      </c>
    </row>
    <row r="131" spans="1:7" x14ac:dyDescent="0.25">
      <c r="A131" s="13" t="s">
        <v>3034</v>
      </c>
      <c r="B131" s="13">
        <v>1823</v>
      </c>
      <c r="C131" s="14" t="str">
        <f>+VLOOKUP(B131,[1]LISTE!$A$1:$D$431,4,FALSE)</f>
        <v>ACHOUR RAOUF</v>
      </c>
      <c r="D131" s="14" t="s">
        <v>22</v>
      </c>
      <c r="E131" s="15">
        <v>45965</v>
      </c>
      <c r="F131" s="14" t="s">
        <v>24</v>
      </c>
      <c r="G131" s="16">
        <v>200</v>
      </c>
    </row>
    <row r="132" spans="1:7" x14ac:dyDescent="0.25">
      <c r="A132" s="13" t="s">
        <v>3162</v>
      </c>
      <c r="B132" s="13">
        <v>1830</v>
      </c>
      <c r="C132" s="14" t="str">
        <f>+VLOOKUP(B132,[1]LISTE!$A$1:$D$431,4,FALSE)</f>
        <v>LOURIMI ABDALLAH</v>
      </c>
      <c r="D132" s="15" t="s">
        <v>234</v>
      </c>
      <c r="E132" s="15">
        <v>45965</v>
      </c>
      <c r="F132" s="14" t="s">
        <v>23</v>
      </c>
      <c r="G132" s="16">
        <v>50</v>
      </c>
    </row>
    <row r="133" spans="1:7" x14ac:dyDescent="0.25">
      <c r="A133" s="13" t="s">
        <v>3163</v>
      </c>
      <c r="B133" s="13">
        <v>1830</v>
      </c>
      <c r="C133" s="14" t="str">
        <f>+VLOOKUP(B133,[1]LISTE!$A$1:$D$431,4,FALSE)</f>
        <v>LOURIMI ABDALLAH</v>
      </c>
      <c r="D133" s="15" t="s">
        <v>234</v>
      </c>
      <c r="E133" s="15">
        <v>45995</v>
      </c>
      <c r="F133" s="14" t="s">
        <v>24</v>
      </c>
      <c r="G133" s="16">
        <v>350</v>
      </c>
    </row>
    <row r="134" spans="1:7" x14ac:dyDescent="0.25">
      <c r="A134" s="13" t="s">
        <v>1743</v>
      </c>
      <c r="B134" s="13">
        <v>1830</v>
      </c>
      <c r="C134" s="14" t="str">
        <f>+VLOOKUP(B134,[1]LISTE!$A$1:$D$431,4,FALSE)</f>
        <v>LOURIMI ABDALLAH</v>
      </c>
      <c r="D134" s="15" t="s">
        <v>22</v>
      </c>
      <c r="E134" s="15">
        <v>45965</v>
      </c>
      <c r="F134" s="14" t="s">
        <v>23</v>
      </c>
      <c r="G134" s="16">
        <v>50</v>
      </c>
    </row>
    <row r="135" spans="1:7" x14ac:dyDescent="0.25">
      <c r="A135" s="13" t="s">
        <v>1743</v>
      </c>
      <c r="B135" s="13">
        <v>1830</v>
      </c>
      <c r="C135" s="14" t="str">
        <f>+VLOOKUP(B135,[1]LISTE!$A$1:$D$431,4,FALSE)</f>
        <v>LOURIMI ABDALLAH</v>
      </c>
      <c r="D135" s="15" t="s">
        <v>22</v>
      </c>
      <c r="E135" s="15">
        <v>45995</v>
      </c>
      <c r="F135" s="14" t="s">
        <v>24</v>
      </c>
      <c r="G135" s="16">
        <v>350</v>
      </c>
    </row>
    <row r="136" spans="1:7" x14ac:dyDescent="0.25">
      <c r="A136" s="13" t="s">
        <v>3041</v>
      </c>
      <c r="B136" s="13">
        <v>1832</v>
      </c>
      <c r="C136" s="14" t="str">
        <f>+VLOOKUP(B136,[1]LISTE!$A$1:$D$431,4,FALSE)</f>
        <v>ERGUEZ MEJDI</v>
      </c>
      <c r="D136" s="14" t="s">
        <v>742</v>
      </c>
      <c r="E136" s="15">
        <v>45979</v>
      </c>
      <c r="F136" s="14" t="s">
        <v>20</v>
      </c>
      <c r="G136" s="16">
        <v>57.71</v>
      </c>
    </row>
    <row r="137" spans="1:7" x14ac:dyDescent="0.25">
      <c r="A137" s="13" t="s">
        <v>3041</v>
      </c>
      <c r="B137" s="13">
        <v>1832</v>
      </c>
      <c r="C137" s="14" t="str">
        <f>+VLOOKUP(B137,[1]LISTE!$A$1:$D$431,4,FALSE)</f>
        <v>ERGUEZ MEJDI</v>
      </c>
      <c r="D137" s="15" t="s">
        <v>742</v>
      </c>
      <c r="E137" s="15">
        <v>45979</v>
      </c>
      <c r="F137" s="14" t="s">
        <v>363</v>
      </c>
      <c r="G137" s="16">
        <v>200</v>
      </c>
    </row>
    <row r="138" spans="1:7" x14ac:dyDescent="0.25">
      <c r="A138" s="13" t="s">
        <v>3041</v>
      </c>
      <c r="B138" s="13">
        <v>1832</v>
      </c>
      <c r="C138" s="14" t="str">
        <f>+VLOOKUP(B138,[1]LISTE!$A$1:$D$431,4,FALSE)</f>
        <v>ERGUEZ MEJDI</v>
      </c>
      <c r="D138" s="15" t="s">
        <v>742</v>
      </c>
      <c r="E138" s="15">
        <v>45979</v>
      </c>
      <c r="F138" s="14" t="s">
        <v>363</v>
      </c>
      <c r="G138" s="16">
        <v>850</v>
      </c>
    </row>
    <row r="139" spans="1:7" x14ac:dyDescent="0.25">
      <c r="A139" s="13" t="s">
        <v>3041</v>
      </c>
      <c r="B139" s="13">
        <v>1832</v>
      </c>
      <c r="C139" s="14" t="str">
        <f>+VLOOKUP(B139,[1]LISTE!$A$1:$D$431,4,FALSE)</f>
        <v>ERGUEZ MEJDI</v>
      </c>
      <c r="D139" s="15" t="s">
        <v>742</v>
      </c>
      <c r="E139" s="15">
        <v>45979</v>
      </c>
      <c r="F139" s="14" t="s">
        <v>364</v>
      </c>
      <c r="G139" s="16">
        <v>899.625</v>
      </c>
    </row>
    <row r="140" spans="1:7" x14ac:dyDescent="0.25">
      <c r="A140" s="13" t="s">
        <v>3042</v>
      </c>
      <c r="B140" s="13">
        <v>1832</v>
      </c>
      <c r="C140" s="14" t="str">
        <f>+VLOOKUP(B140,[1]LISTE!$A$1:$D$431,4,FALSE)</f>
        <v>ERGUEZ MEJDI</v>
      </c>
      <c r="D140" s="14" t="s">
        <v>89</v>
      </c>
      <c r="E140" s="15">
        <v>45983</v>
      </c>
      <c r="F140" s="14" t="s">
        <v>23</v>
      </c>
      <c r="G140" s="16">
        <v>25</v>
      </c>
    </row>
    <row r="141" spans="1:7" x14ac:dyDescent="0.25">
      <c r="A141" s="13" t="s">
        <v>3042</v>
      </c>
      <c r="B141" s="13">
        <v>1832</v>
      </c>
      <c r="C141" s="14" t="str">
        <f>+VLOOKUP(B141,[1]LISTE!$A$1:$D$431,4,FALSE)</f>
        <v>ERGUEZ MEJDI</v>
      </c>
      <c r="D141" s="15" t="s">
        <v>89</v>
      </c>
      <c r="E141" s="15">
        <v>45983</v>
      </c>
      <c r="F141" s="14" t="s">
        <v>20</v>
      </c>
      <c r="G141" s="16">
        <v>27.643000000000001</v>
      </c>
    </row>
    <row r="142" spans="1:7" x14ac:dyDescent="0.25">
      <c r="A142" s="13" t="s">
        <v>3043</v>
      </c>
      <c r="B142" s="13">
        <v>1832</v>
      </c>
      <c r="C142" s="14" t="str">
        <f>+VLOOKUP(B142,[1]LISTE!$A$1:$D$431,4,FALSE)</f>
        <v>ERGUEZ MEJDI</v>
      </c>
      <c r="D142" s="15" t="s">
        <v>22</v>
      </c>
      <c r="E142" s="15">
        <v>45983</v>
      </c>
      <c r="F142" s="14" t="s">
        <v>23</v>
      </c>
      <c r="G142" s="16">
        <v>25</v>
      </c>
    </row>
    <row r="143" spans="1:7" x14ac:dyDescent="0.25">
      <c r="A143" s="13" t="s">
        <v>3043</v>
      </c>
      <c r="B143" s="13">
        <v>1832</v>
      </c>
      <c r="C143" s="14" t="str">
        <f>+VLOOKUP(B143,[1]LISTE!$A$1:$D$431,4,FALSE)</f>
        <v>ERGUEZ MEJDI</v>
      </c>
      <c r="D143" s="14" t="s">
        <v>22</v>
      </c>
      <c r="E143" s="15">
        <v>45983</v>
      </c>
      <c r="F143" s="14" t="s">
        <v>20</v>
      </c>
      <c r="G143" s="16">
        <v>59.953000000000003</v>
      </c>
    </row>
    <row r="144" spans="1:7" x14ac:dyDescent="0.25">
      <c r="A144" s="13" t="s">
        <v>3092</v>
      </c>
      <c r="B144" s="13">
        <v>1833</v>
      </c>
      <c r="C144" s="14" t="str">
        <f>+VLOOKUP(B144,[1]LISTE!$A$1:$D$431,4,FALSE)</f>
        <v>BOUZAABIA MOHAMED</v>
      </c>
      <c r="D144" s="14" t="s">
        <v>221</v>
      </c>
      <c r="E144" s="15">
        <v>45995</v>
      </c>
      <c r="F144" s="14" t="s">
        <v>23</v>
      </c>
      <c r="G144" s="16">
        <v>40</v>
      </c>
    </row>
    <row r="145" spans="1:7" x14ac:dyDescent="0.25">
      <c r="A145" s="13" t="s">
        <v>3092</v>
      </c>
      <c r="B145" s="13">
        <v>1833</v>
      </c>
      <c r="C145" s="14" t="str">
        <f>+VLOOKUP(B145,[1]LISTE!$A$1:$D$431,4,FALSE)</f>
        <v>BOUZAABIA MOHAMED</v>
      </c>
      <c r="D145" s="15" t="s">
        <v>221</v>
      </c>
      <c r="E145" s="15">
        <v>45995</v>
      </c>
      <c r="F145" s="14" t="s">
        <v>20</v>
      </c>
      <c r="G145" s="16">
        <v>48.08</v>
      </c>
    </row>
    <row r="146" spans="1:7" x14ac:dyDescent="0.25">
      <c r="A146" s="13" t="s">
        <v>3093</v>
      </c>
      <c r="B146" s="13">
        <v>1833</v>
      </c>
      <c r="C146" s="14" t="str">
        <f>+VLOOKUP(B146,[1]LISTE!$A$1:$D$431,4,FALSE)</f>
        <v>BOUZAABIA MOHAMED</v>
      </c>
      <c r="D146" s="14" t="s">
        <v>79</v>
      </c>
      <c r="E146" s="15">
        <v>45995</v>
      </c>
      <c r="F146" s="14" t="s">
        <v>23</v>
      </c>
      <c r="G146" s="16">
        <v>40</v>
      </c>
    </row>
    <row r="147" spans="1:7" x14ac:dyDescent="0.25">
      <c r="A147" s="13" t="s">
        <v>3093</v>
      </c>
      <c r="B147" s="13">
        <v>1833</v>
      </c>
      <c r="C147" s="14" t="str">
        <f>+VLOOKUP(B147,[1]LISTE!$A$1:$D$431,4,FALSE)</f>
        <v>BOUZAABIA MOHAMED</v>
      </c>
      <c r="D147" s="15" t="s">
        <v>79</v>
      </c>
      <c r="E147" s="15">
        <v>45995</v>
      </c>
      <c r="F147" s="14" t="s">
        <v>20</v>
      </c>
      <c r="G147" s="16">
        <v>39.155000000000001</v>
      </c>
    </row>
    <row r="148" spans="1:7" x14ac:dyDescent="0.25">
      <c r="A148" s="13" t="s">
        <v>3094</v>
      </c>
      <c r="B148" s="13">
        <v>1833</v>
      </c>
      <c r="C148" s="14" t="str">
        <f>+VLOOKUP(B148,[1]LISTE!$A$1:$D$431,4,FALSE)</f>
        <v>BOUZAABIA MOHAMED</v>
      </c>
      <c r="D148" s="14" t="s">
        <v>212</v>
      </c>
      <c r="E148" s="15">
        <v>45995</v>
      </c>
      <c r="F148" s="14" t="s">
        <v>23</v>
      </c>
      <c r="G148" s="16">
        <v>40</v>
      </c>
    </row>
    <row r="149" spans="1:7" x14ac:dyDescent="0.25">
      <c r="A149" s="13" t="s">
        <v>3094</v>
      </c>
      <c r="B149" s="13">
        <v>1833</v>
      </c>
      <c r="C149" s="14" t="str">
        <f>+VLOOKUP(B149,[1]LISTE!$A$1:$D$431,4,FALSE)</f>
        <v>BOUZAABIA MOHAMED</v>
      </c>
      <c r="D149" s="15" t="s">
        <v>212</v>
      </c>
      <c r="E149" s="15">
        <v>45995</v>
      </c>
      <c r="F149" s="14" t="s">
        <v>20</v>
      </c>
      <c r="G149" s="16">
        <v>19.995000000000001</v>
      </c>
    </row>
    <row r="150" spans="1:7" x14ac:dyDescent="0.25">
      <c r="A150" s="13" t="s">
        <v>3095</v>
      </c>
      <c r="B150" s="13">
        <v>1833</v>
      </c>
      <c r="C150" s="14" t="str">
        <f>+VLOOKUP(B150,[1]LISTE!$A$1:$D$431,4,FALSE)</f>
        <v>BOUZAABIA MOHAMED</v>
      </c>
      <c r="D150" s="15" t="s">
        <v>79</v>
      </c>
      <c r="E150" s="15">
        <v>45988</v>
      </c>
      <c r="F150" s="14" t="s">
        <v>18</v>
      </c>
      <c r="G150" s="16">
        <v>70</v>
      </c>
    </row>
    <row r="151" spans="1:7" x14ac:dyDescent="0.25">
      <c r="A151" s="13" t="s">
        <v>3095</v>
      </c>
      <c r="B151" s="13">
        <v>1833</v>
      </c>
      <c r="C151" s="14" t="str">
        <f>+VLOOKUP(B151,[1]LISTE!$A$1:$D$431,4,FALSE)</f>
        <v>BOUZAABIA MOHAMED</v>
      </c>
      <c r="D151" s="15" t="s">
        <v>79</v>
      </c>
      <c r="E151" s="15">
        <v>45988</v>
      </c>
      <c r="F151" s="14" t="s">
        <v>20</v>
      </c>
      <c r="G151" s="16">
        <v>5.1079999999999997</v>
      </c>
    </row>
    <row r="152" spans="1:7" x14ac:dyDescent="0.25">
      <c r="A152" s="13" t="s">
        <v>3052</v>
      </c>
      <c r="B152" s="13">
        <v>1836</v>
      </c>
      <c r="C152" s="14" t="str">
        <f>+VLOOKUP(B152,[1]LISTE!$A$1:$D$431,4,FALSE)</f>
        <v>BEN KALIA LOTFI</v>
      </c>
      <c r="D152" s="15" t="s">
        <v>22</v>
      </c>
      <c r="E152" s="15">
        <v>45988</v>
      </c>
      <c r="F152" s="14" t="s">
        <v>23</v>
      </c>
      <c r="G152" s="16">
        <v>45</v>
      </c>
    </row>
    <row r="153" spans="1:7" x14ac:dyDescent="0.25">
      <c r="A153" s="13" t="s">
        <v>3052</v>
      </c>
      <c r="B153" s="13">
        <v>1836</v>
      </c>
      <c r="C153" s="14" t="str">
        <f>+VLOOKUP(B153,[1]LISTE!$A$1:$D$431,4,FALSE)</f>
        <v>BEN KALIA LOTFI</v>
      </c>
      <c r="D153" s="14" t="s">
        <v>22</v>
      </c>
      <c r="E153" s="15">
        <v>45988</v>
      </c>
      <c r="F153" s="14" t="s">
        <v>20</v>
      </c>
      <c r="G153" s="16">
        <v>43.585000000000001</v>
      </c>
    </row>
    <row r="154" spans="1:7" x14ac:dyDescent="0.25">
      <c r="A154" s="13" t="s">
        <v>3052</v>
      </c>
      <c r="B154" s="13">
        <v>1836</v>
      </c>
      <c r="C154" s="14" t="str">
        <f>+VLOOKUP(B154,[1]LISTE!$A$1:$D$431,4,FALSE)</f>
        <v>BEN KALIA LOTFI</v>
      </c>
      <c r="D154" s="14" t="s">
        <v>22</v>
      </c>
      <c r="E154" s="15">
        <v>45988</v>
      </c>
      <c r="F154" s="14" t="s">
        <v>65</v>
      </c>
      <c r="G154" s="16">
        <v>6</v>
      </c>
    </row>
    <row r="155" spans="1:7" x14ac:dyDescent="0.25">
      <c r="A155" s="13" t="s">
        <v>3048</v>
      </c>
      <c r="B155" s="13">
        <v>1842</v>
      </c>
      <c r="C155" s="14" t="str">
        <f>+VLOOKUP(B155,[1]LISTE!$A$1:$D$431,4,FALSE)</f>
        <v>SAKKA ROUIS SAMI</v>
      </c>
      <c r="D155" s="14" t="s">
        <v>22</v>
      </c>
      <c r="E155" s="15">
        <v>45989</v>
      </c>
      <c r="F155" s="14" t="s">
        <v>18</v>
      </c>
      <c r="G155" s="16">
        <v>70</v>
      </c>
    </row>
    <row r="156" spans="1:7" x14ac:dyDescent="0.25">
      <c r="A156" s="13" t="s">
        <v>3048</v>
      </c>
      <c r="B156" s="13">
        <v>1842</v>
      </c>
      <c r="C156" s="14" t="str">
        <f>+VLOOKUP(B156,[1]LISTE!$A$1:$D$431,4,FALSE)</f>
        <v>SAKKA ROUIS SAMI</v>
      </c>
      <c r="D156" s="15" t="s">
        <v>22</v>
      </c>
      <c r="E156" s="15">
        <v>45989</v>
      </c>
      <c r="F156" s="14" t="s">
        <v>20</v>
      </c>
      <c r="G156" s="16">
        <v>61.914999999999999</v>
      </c>
    </row>
    <row r="157" spans="1:7" x14ac:dyDescent="0.25">
      <c r="A157" s="13" t="s">
        <v>3048</v>
      </c>
      <c r="B157" s="13">
        <v>1842</v>
      </c>
      <c r="C157" s="14" t="str">
        <f>+VLOOKUP(B157,[1]LISTE!$A$1:$D$431,4,FALSE)</f>
        <v>SAKKA ROUIS SAMI</v>
      </c>
      <c r="D157" s="14" t="s">
        <v>22</v>
      </c>
      <c r="E157" s="15">
        <v>45988</v>
      </c>
      <c r="F157" s="14" t="s">
        <v>21</v>
      </c>
      <c r="G157" s="16">
        <v>40</v>
      </c>
    </row>
    <row r="158" spans="1:7" x14ac:dyDescent="0.25">
      <c r="A158" s="13" t="s">
        <v>3036</v>
      </c>
      <c r="B158" s="13">
        <v>1846</v>
      </c>
      <c r="C158" s="14" t="str">
        <f>+VLOOKUP(B158,[1]LISTE!$A$1:$D$431,4,FALSE)</f>
        <v>ROMDHANI SAMI</v>
      </c>
      <c r="D158" s="14" t="s">
        <v>843</v>
      </c>
      <c r="E158" s="15">
        <v>45989</v>
      </c>
      <c r="F158" s="14" t="s">
        <v>18</v>
      </c>
      <c r="G158" s="16">
        <v>70</v>
      </c>
    </row>
    <row r="159" spans="1:7" x14ac:dyDescent="0.25">
      <c r="A159" s="13" t="s">
        <v>3036</v>
      </c>
      <c r="B159" s="13">
        <v>1846</v>
      </c>
      <c r="C159" s="14" t="str">
        <f>+VLOOKUP(B159,[1]LISTE!$A$1:$D$431,4,FALSE)</f>
        <v>ROMDHANI SAMI</v>
      </c>
      <c r="D159" s="14" t="s">
        <v>843</v>
      </c>
      <c r="E159" s="15">
        <v>45989</v>
      </c>
      <c r="F159" s="14" t="s">
        <v>20</v>
      </c>
      <c r="G159" s="16">
        <v>47.04</v>
      </c>
    </row>
    <row r="160" spans="1:7" x14ac:dyDescent="0.25">
      <c r="A160" s="13" t="s">
        <v>3085</v>
      </c>
      <c r="B160" s="13">
        <v>1861</v>
      </c>
      <c r="C160" s="14" t="str">
        <f>+VLOOKUP(B160,[1]LISTE!$A$1:$D$431,4,FALSE)</f>
        <v>BOUHLEL ANIS BEN MUSTAPHA</v>
      </c>
      <c r="D160" s="14" t="s">
        <v>412</v>
      </c>
      <c r="E160" s="15">
        <v>45989</v>
      </c>
      <c r="F160" s="14" t="s">
        <v>23</v>
      </c>
      <c r="G160" s="16">
        <v>40</v>
      </c>
    </row>
    <row r="161" spans="1:7" x14ac:dyDescent="0.25">
      <c r="A161" s="13" t="s">
        <v>3085</v>
      </c>
      <c r="B161" s="13">
        <v>1861</v>
      </c>
      <c r="C161" s="14" t="str">
        <f>+VLOOKUP(B161,[1]LISTE!$A$1:$D$431,4,FALSE)</f>
        <v>BOUHLEL ANIS BEN MUSTAPHA</v>
      </c>
      <c r="D161" s="14" t="s">
        <v>412</v>
      </c>
      <c r="E161" s="15">
        <v>45989</v>
      </c>
      <c r="F161" s="14" t="s">
        <v>20</v>
      </c>
      <c r="G161" s="16">
        <v>25.23</v>
      </c>
    </row>
    <row r="162" spans="1:7" x14ac:dyDescent="0.25">
      <c r="A162" s="13" t="s">
        <v>3101</v>
      </c>
      <c r="B162" s="13">
        <v>1861</v>
      </c>
      <c r="C162" s="14" t="str">
        <f>+VLOOKUP(B162,[1]LISTE!$A$1:$D$431,4,FALSE)</f>
        <v>BOUHLEL ANIS BEN MUSTAPHA</v>
      </c>
      <c r="D162" s="14" t="s">
        <v>3102</v>
      </c>
      <c r="E162" s="15">
        <v>45992</v>
      </c>
      <c r="F162" s="14" t="s">
        <v>23</v>
      </c>
      <c r="G162" s="16">
        <v>40</v>
      </c>
    </row>
    <row r="163" spans="1:7" x14ac:dyDescent="0.25">
      <c r="A163" s="13" t="s">
        <v>3101</v>
      </c>
      <c r="B163" s="13">
        <v>1861</v>
      </c>
      <c r="C163" s="14" t="str">
        <f>+VLOOKUP(B163,[1]LISTE!$A$1:$D$431,4,FALSE)</f>
        <v>BOUHLEL ANIS BEN MUSTAPHA</v>
      </c>
      <c r="D163" s="14" t="s">
        <v>3102</v>
      </c>
      <c r="E163" s="15">
        <v>45992</v>
      </c>
      <c r="F163" s="14" t="s">
        <v>20</v>
      </c>
      <c r="G163" s="16">
        <v>22.74</v>
      </c>
    </row>
    <row r="164" spans="1:7" x14ac:dyDescent="0.25">
      <c r="A164" s="13" t="s">
        <v>3039</v>
      </c>
      <c r="B164" s="13">
        <v>1877</v>
      </c>
      <c r="C164" s="14" t="str">
        <f>+VLOOKUP(B164,[1]LISTE!$A$1:$D$431,4,FALSE)</f>
        <v>SOUSSI MAHER</v>
      </c>
      <c r="D164" s="14" t="s">
        <v>1340</v>
      </c>
      <c r="E164" s="15">
        <v>45987</v>
      </c>
      <c r="F164" s="14" t="s">
        <v>23</v>
      </c>
      <c r="G164" s="16">
        <v>45</v>
      </c>
    </row>
    <row r="165" spans="1:7" x14ac:dyDescent="0.25">
      <c r="A165" s="13" t="s">
        <v>3039</v>
      </c>
      <c r="B165" s="13">
        <v>1877</v>
      </c>
      <c r="C165" s="14" t="str">
        <f>+VLOOKUP(B165,[1]LISTE!$A$1:$D$431,4,FALSE)</f>
        <v>SOUSSI MAHER</v>
      </c>
      <c r="D165" s="14" t="s">
        <v>1340</v>
      </c>
      <c r="E165" s="15">
        <v>45987</v>
      </c>
      <c r="F165" s="14" t="s">
        <v>20</v>
      </c>
      <c r="G165" s="16">
        <v>57.807000000000002</v>
      </c>
    </row>
    <row r="166" spans="1:7" x14ac:dyDescent="0.25">
      <c r="A166" s="13" t="s">
        <v>3086</v>
      </c>
      <c r="B166" s="13">
        <v>1882</v>
      </c>
      <c r="C166" s="14" t="str">
        <f>+VLOOKUP(B166,[1]LISTE!$A$1:$D$431,4,FALSE)</f>
        <v>AMARA SOFIANE</v>
      </c>
      <c r="D166" s="14" t="s">
        <v>3087</v>
      </c>
      <c r="E166" s="15">
        <v>45988</v>
      </c>
      <c r="F166" s="14" t="s">
        <v>23</v>
      </c>
      <c r="G166" s="16">
        <v>40</v>
      </c>
    </row>
    <row r="167" spans="1:7" x14ac:dyDescent="0.25">
      <c r="A167" s="13" t="s">
        <v>3086</v>
      </c>
      <c r="B167" s="13">
        <v>1882</v>
      </c>
      <c r="C167" s="14" t="str">
        <f>+VLOOKUP(B167,[1]LISTE!$A$1:$D$431,4,FALSE)</f>
        <v>AMARA SOFIANE</v>
      </c>
      <c r="D167" s="14" t="s">
        <v>3087</v>
      </c>
      <c r="E167" s="15">
        <v>45988</v>
      </c>
      <c r="F167" s="14" t="s">
        <v>20</v>
      </c>
      <c r="G167" s="16">
        <v>50.920999999999999</v>
      </c>
    </row>
    <row r="168" spans="1:7" x14ac:dyDescent="0.25">
      <c r="A168" s="13" t="s">
        <v>3064</v>
      </c>
      <c r="B168" s="13">
        <v>1917</v>
      </c>
      <c r="C168" s="14" t="str">
        <f>+VLOOKUP(B168,[1]LISTE!$A$1:$D$431,4,FALSE)</f>
        <v>HAMILA JAMEL</v>
      </c>
      <c r="D168" s="14" t="s">
        <v>1156</v>
      </c>
      <c r="E168" s="15">
        <v>45981</v>
      </c>
      <c r="F168" s="14" t="s">
        <v>23</v>
      </c>
      <c r="G168" s="16">
        <v>45</v>
      </c>
    </row>
    <row r="169" spans="1:7" x14ac:dyDescent="0.25">
      <c r="A169" s="13" t="s">
        <v>3064</v>
      </c>
      <c r="B169" s="13">
        <v>1917</v>
      </c>
      <c r="C169" s="14" t="str">
        <f>+VLOOKUP(B169,[1]LISTE!$A$1:$D$431,4,FALSE)</f>
        <v>HAMILA JAMEL</v>
      </c>
      <c r="D169" s="14" t="s">
        <v>1156</v>
      </c>
      <c r="E169" s="15">
        <v>45982</v>
      </c>
      <c r="F169" s="14" t="s">
        <v>19</v>
      </c>
      <c r="G169" s="16">
        <v>28.68</v>
      </c>
    </row>
    <row r="170" spans="1:7" x14ac:dyDescent="0.25">
      <c r="A170" s="13" t="s">
        <v>3064</v>
      </c>
      <c r="B170" s="13">
        <v>1917</v>
      </c>
      <c r="C170" s="14" t="str">
        <f>+VLOOKUP(B170,[1]LISTE!$A$1:$D$431,4,FALSE)</f>
        <v>HAMILA JAMEL</v>
      </c>
      <c r="D170" s="14" t="s">
        <v>1156</v>
      </c>
      <c r="E170" s="15">
        <v>45986</v>
      </c>
      <c r="F170" s="14" t="s">
        <v>20</v>
      </c>
      <c r="G170" s="16">
        <v>1.292</v>
      </c>
    </row>
    <row r="171" spans="1:7" x14ac:dyDescent="0.25">
      <c r="A171" s="13" t="s">
        <v>3064</v>
      </c>
      <c r="B171" s="13">
        <v>1917</v>
      </c>
      <c r="C171" s="14" t="str">
        <f>+VLOOKUP(B171,[1]LISTE!$A$1:$D$431,4,FALSE)</f>
        <v>HAMILA JAMEL</v>
      </c>
      <c r="D171" s="14" t="s">
        <v>1156</v>
      </c>
      <c r="E171" s="15">
        <v>45982</v>
      </c>
      <c r="F171" s="14" t="s">
        <v>21</v>
      </c>
      <c r="G171" s="16">
        <v>90</v>
      </c>
    </row>
    <row r="172" spans="1:7" x14ac:dyDescent="0.25">
      <c r="A172" s="13" t="s">
        <v>3098</v>
      </c>
      <c r="B172" s="13">
        <v>1919</v>
      </c>
      <c r="C172" s="14" t="str">
        <f>+VLOOKUP(B172,[1]LISTE!$A$1:$D$431,4,FALSE)</f>
        <v>SOUA LAYOUNI MOHAMED</v>
      </c>
      <c r="D172" s="15" t="s">
        <v>3099</v>
      </c>
      <c r="E172" s="15">
        <v>45990</v>
      </c>
      <c r="F172" s="14" t="s">
        <v>23</v>
      </c>
      <c r="G172" s="16">
        <v>50</v>
      </c>
    </row>
    <row r="173" spans="1:7" x14ac:dyDescent="0.25">
      <c r="A173" s="13" t="s">
        <v>3098</v>
      </c>
      <c r="B173" s="13">
        <v>1919</v>
      </c>
      <c r="C173" s="14" t="str">
        <f>+VLOOKUP(B173,[1]LISTE!$A$1:$D$431,4,FALSE)</f>
        <v>SOUA LAYOUNI MOHAMED</v>
      </c>
      <c r="D173" s="15" t="s">
        <v>3099</v>
      </c>
      <c r="E173" s="15">
        <v>45990</v>
      </c>
      <c r="F173" s="14" t="s">
        <v>20</v>
      </c>
      <c r="G173" s="16">
        <v>20.414999999999999</v>
      </c>
    </row>
    <row r="174" spans="1:7" x14ac:dyDescent="0.25">
      <c r="A174" s="13" t="s">
        <v>3098</v>
      </c>
      <c r="B174" s="13">
        <v>1919</v>
      </c>
      <c r="C174" s="14" t="str">
        <f>+VLOOKUP(B174,[1]LISTE!$A$1:$D$431,4,FALSE)</f>
        <v>SOUA LAYOUNI MOHAMED</v>
      </c>
      <c r="D174" s="14" t="s">
        <v>3099</v>
      </c>
      <c r="E174" s="15">
        <v>45993</v>
      </c>
      <c r="F174" s="14" t="s">
        <v>21</v>
      </c>
      <c r="G174" s="16">
        <v>150</v>
      </c>
    </row>
    <row r="175" spans="1:7" x14ac:dyDescent="0.25">
      <c r="A175" s="13" t="s">
        <v>3089</v>
      </c>
      <c r="B175" s="13">
        <v>1925</v>
      </c>
      <c r="C175" s="14" t="str">
        <f>+VLOOKUP(B175,[1]LISTE!$A$1:$D$431,4,FALSE)</f>
        <v>HACHICHA MOHAMED</v>
      </c>
      <c r="D175" s="14" t="s">
        <v>3090</v>
      </c>
      <c r="E175" s="15">
        <v>45987</v>
      </c>
      <c r="F175" s="14" t="s">
        <v>23</v>
      </c>
      <c r="G175" s="16">
        <v>60</v>
      </c>
    </row>
    <row r="176" spans="1:7" x14ac:dyDescent="0.25">
      <c r="A176" s="13" t="s">
        <v>3089</v>
      </c>
      <c r="B176" s="13">
        <v>1925</v>
      </c>
      <c r="C176" s="14" t="str">
        <f>+VLOOKUP(B176,[1]LISTE!$A$1:$D$431,4,FALSE)</f>
        <v>HACHICHA MOHAMED</v>
      </c>
      <c r="D176" s="14" t="s">
        <v>3090</v>
      </c>
      <c r="E176" s="15">
        <v>45987</v>
      </c>
      <c r="F176" s="14" t="s">
        <v>20</v>
      </c>
      <c r="G176" s="16">
        <v>16.329999999999998</v>
      </c>
    </row>
    <row r="177" spans="1:7" x14ac:dyDescent="0.25">
      <c r="A177" s="13" t="s">
        <v>3142</v>
      </c>
      <c r="B177" s="13">
        <v>1925</v>
      </c>
      <c r="C177" s="14" t="str">
        <f>+VLOOKUP(B177,[1]LISTE!$A$1:$D$431,4,FALSE)</f>
        <v>HACHICHA MOHAMED</v>
      </c>
      <c r="D177" s="14" t="s">
        <v>412</v>
      </c>
      <c r="E177" s="15">
        <v>45990</v>
      </c>
      <c r="F177" s="14" t="s">
        <v>18</v>
      </c>
      <c r="G177" s="16">
        <v>70</v>
      </c>
    </row>
    <row r="178" spans="1:7" x14ac:dyDescent="0.25">
      <c r="A178" s="13" t="s">
        <v>3142</v>
      </c>
      <c r="B178" s="13">
        <v>1925</v>
      </c>
      <c r="C178" s="14" t="str">
        <f>+VLOOKUP(B178,[1]LISTE!$A$1:$D$431,4,FALSE)</f>
        <v>HACHICHA MOHAMED</v>
      </c>
      <c r="D178" s="14" t="s">
        <v>412</v>
      </c>
      <c r="E178" s="15">
        <v>45997</v>
      </c>
      <c r="F178" s="14" t="s">
        <v>69</v>
      </c>
      <c r="G178" s="16">
        <v>310</v>
      </c>
    </row>
    <row r="179" spans="1:7" x14ac:dyDescent="0.25">
      <c r="A179" s="13" t="s">
        <v>3138</v>
      </c>
      <c r="B179" s="13">
        <v>1928</v>
      </c>
      <c r="C179" s="14" t="str">
        <f>+VLOOKUP(B179,[1]LISTE!$A$1:$D$431,4,FALSE)</f>
        <v>ZAGGAR JAMEL</v>
      </c>
      <c r="D179" s="14" t="s">
        <v>513</v>
      </c>
      <c r="E179" s="15">
        <v>45991</v>
      </c>
      <c r="F179" s="14" t="s">
        <v>20</v>
      </c>
      <c r="G179" s="16">
        <v>35.414999999999999</v>
      </c>
    </row>
    <row r="180" spans="1:7" x14ac:dyDescent="0.25">
      <c r="A180" s="13" t="s">
        <v>3132</v>
      </c>
      <c r="B180" s="13">
        <v>1953</v>
      </c>
      <c r="C180" s="14" t="str">
        <f>+VLOOKUP(B180,[1]LISTE!$A$1:$D$431,4,FALSE)</f>
        <v>SGHAIER SAMI</v>
      </c>
      <c r="D180" s="15" t="s">
        <v>163</v>
      </c>
      <c r="E180" s="15">
        <v>45997</v>
      </c>
      <c r="F180" s="14" t="s">
        <v>23</v>
      </c>
      <c r="G180" s="16">
        <v>45</v>
      </c>
    </row>
    <row r="181" spans="1:7" x14ac:dyDescent="0.25">
      <c r="A181" s="13" t="s">
        <v>3132</v>
      </c>
      <c r="B181" s="13">
        <v>1953</v>
      </c>
      <c r="C181" s="14" t="str">
        <f>+VLOOKUP(B181,[1]LISTE!$A$1:$D$431,4,FALSE)</f>
        <v>SGHAIER SAMI</v>
      </c>
      <c r="D181" s="14" t="s">
        <v>163</v>
      </c>
      <c r="E181" s="15">
        <v>45997</v>
      </c>
      <c r="F181" s="14" t="s">
        <v>20</v>
      </c>
      <c r="G181" s="16">
        <v>43.935000000000002</v>
      </c>
    </row>
    <row r="182" spans="1:7" x14ac:dyDescent="0.25">
      <c r="A182" s="13" t="s">
        <v>3133</v>
      </c>
      <c r="B182" s="13">
        <v>1953</v>
      </c>
      <c r="C182" s="14" t="str">
        <f>+VLOOKUP(B182,[1]LISTE!$A$1:$D$431,4,FALSE)</f>
        <v>SGHAIER SAMI</v>
      </c>
      <c r="D182" s="14" t="s">
        <v>125</v>
      </c>
      <c r="E182" s="15">
        <v>45986</v>
      </c>
      <c r="F182" s="14" t="s">
        <v>18</v>
      </c>
      <c r="G182" s="16">
        <v>60</v>
      </c>
    </row>
    <row r="183" spans="1:7" x14ac:dyDescent="0.25">
      <c r="A183" s="13" t="s">
        <v>3133</v>
      </c>
      <c r="B183" s="13">
        <v>1953</v>
      </c>
      <c r="C183" s="14" t="str">
        <f>+VLOOKUP(B183,[1]LISTE!$A$1:$D$431,4,FALSE)</f>
        <v>SGHAIER SAMI</v>
      </c>
      <c r="D183" s="14" t="s">
        <v>125</v>
      </c>
      <c r="E183" s="15">
        <v>45986</v>
      </c>
      <c r="F183" s="14" t="s">
        <v>20</v>
      </c>
      <c r="G183" s="16">
        <v>18.094999999999999</v>
      </c>
    </row>
    <row r="184" spans="1:7" x14ac:dyDescent="0.25">
      <c r="A184" s="13" t="s">
        <v>3143</v>
      </c>
      <c r="B184" s="13">
        <v>1969</v>
      </c>
      <c r="C184" s="14" t="str">
        <f>+VLOOKUP(B184,[1]LISTE!$A$1:$D$431,4,FALSE)</f>
        <v>BOUKADDIDA MEHREZ</v>
      </c>
      <c r="D184" s="14" t="s">
        <v>306</v>
      </c>
      <c r="E184" s="15">
        <v>45990</v>
      </c>
      <c r="F184" s="14" t="s">
        <v>18</v>
      </c>
      <c r="G184" s="16">
        <v>60</v>
      </c>
    </row>
    <row r="185" spans="1:7" x14ac:dyDescent="0.25">
      <c r="A185" s="13" t="s">
        <v>3143</v>
      </c>
      <c r="B185" s="13">
        <v>1969</v>
      </c>
      <c r="C185" s="14" t="str">
        <f>+VLOOKUP(B185,[1]LISTE!$A$1:$D$431,4,FALSE)</f>
        <v>BOUKADDIDA MEHREZ</v>
      </c>
      <c r="D185" s="15" t="s">
        <v>306</v>
      </c>
      <c r="E185" s="15">
        <v>45990</v>
      </c>
      <c r="F185" s="14" t="s">
        <v>19</v>
      </c>
      <c r="G185" s="16">
        <v>28.68</v>
      </c>
    </row>
    <row r="186" spans="1:7" x14ac:dyDescent="0.25">
      <c r="A186" s="13" t="s">
        <v>3143</v>
      </c>
      <c r="B186" s="13">
        <v>1969</v>
      </c>
      <c r="C186" s="14" t="str">
        <f>+VLOOKUP(B186,[1]LISTE!$A$1:$D$431,4,FALSE)</f>
        <v>BOUKADDIDA MEHREZ</v>
      </c>
      <c r="D186" s="15" t="s">
        <v>306</v>
      </c>
      <c r="E186" s="15">
        <v>45990</v>
      </c>
      <c r="F186" s="14" t="s">
        <v>20</v>
      </c>
      <c r="G186" s="16">
        <v>24.43</v>
      </c>
    </row>
    <row r="187" spans="1:7" x14ac:dyDescent="0.25">
      <c r="A187" s="13" t="s">
        <v>3035</v>
      </c>
      <c r="B187" s="13">
        <v>1978</v>
      </c>
      <c r="C187" s="14" t="str">
        <f>+VLOOKUP(B187,[1]LISTE!$A$1:$D$431,4,FALSE)</f>
        <v>MAHJOUB AHMED</v>
      </c>
      <c r="D187" s="14" t="s">
        <v>194</v>
      </c>
      <c r="E187" s="15">
        <v>45990</v>
      </c>
      <c r="F187" s="14" t="s">
        <v>23</v>
      </c>
      <c r="G187" s="16">
        <v>45</v>
      </c>
    </row>
    <row r="188" spans="1:7" x14ac:dyDescent="0.25">
      <c r="A188" s="13" t="s">
        <v>3035</v>
      </c>
      <c r="B188" s="13">
        <v>1978</v>
      </c>
      <c r="C188" s="14" t="str">
        <f>+VLOOKUP(B188,[1]LISTE!$A$1:$D$431,4,FALSE)</f>
        <v>MAHJOUB AHMED</v>
      </c>
      <c r="D188" s="14" t="s">
        <v>194</v>
      </c>
      <c r="E188" s="15">
        <v>45990</v>
      </c>
      <c r="F188" s="14" t="s">
        <v>20</v>
      </c>
      <c r="G188" s="16">
        <v>2.7149999999999999</v>
      </c>
    </row>
    <row r="189" spans="1:7" x14ac:dyDescent="0.25">
      <c r="A189" s="13" t="s">
        <v>3145</v>
      </c>
      <c r="B189" s="13">
        <v>2061</v>
      </c>
      <c r="C189" s="14" t="str">
        <f>+VLOOKUP(B189,[1]LISTE!$A$1:$D$431,4,FALSE)</f>
        <v>KECHCICHE YASSINE</v>
      </c>
      <c r="D189" s="15" t="s">
        <v>95</v>
      </c>
      <c r="E189" s="15">
        <v>45983</v>
      </c>
      <c r="F189" s="14" t="s">
        <v>18</v>
      </c>
      <c r="G189" s="16">
        <v>60</v>
      </c>
    </row>
    <row r="190" spans="1:7" x14ac:dyDescent="0.25">
      <c r="A190" s="13" t="s">
        <v>3145</v>
      </c>
      <c r="B190" s="13">
        <v>2061</v>
      </c>
      <c r="C190" s="14" t="str">
        <f>+VLOOKUP(B190,[1]LISTE!$A$1:$D$431,4,FALSE)</f>
        <v>KECHCICHE YASSINE</v>
      </c>
      <c r="D190" s="14" t="s">
        <v>95</v>
      </c>
      <c r="E190" s="15">
        <v>45983</v>
      </c>
      <c r="F190" s="14" t="s">
        <v>20</v>
      </c>
      <c r="G190" s="16">
        <v>20.11</v>
      </c>
    </row>
    <row r="191" spans="1:7" x14ac:dyDescent="0.25">
      <c r="A191" s="13" t="s">
        <v>3081</v>
      </c>
      <c r="B191" s="13">
        <v>2065</v>
      </c>
      <c r="C191" s="14" t="str">
        <f>+VLOOKUP(B191,[1]LISTE!$A$1:$D$431,4,FALSE)</f>
        <v>CHIHAOUI ALAAEDDINE</v>
      </c>
      <c r="D191" s="14" t="s">
        <v>22</v>
      </c>
      <c r="E191" s="15">
        <v>45992</v>
      </c>
      <c r="F191" s="14" t="s">
        <v>24</v>
      </c>
      <c r="G191" s="16">
        <v>300</v>
      </c>
    </row>
    <row r="192" spans="1:7" x14ac:dyDescent="0.25">
      <c r="A192" s="13" t="s">
        <v>3118</v>
      </c>
      <c r="B192" s="13">
        <v>2100</v>
      </c>
      <c r="C192" s="14" t="str">
        <f>+VLOOKUP(B192,[1]LISTE!$A$1:$D$431,4,FALSE)</f>
        <v>MLAYEH NEZIHA</v>
      </c>
      <c r="D192" s="15" t="s">
        <v>648</v>
      </c>
      <c r="E192" s="15">
        <v>45990</v>
      </c>
      <c r="F192" s="14" t="s">
        <v>18</v>
      </c>
      <c r="G192" s="16">
        <v>70</v>
      </c>
    </row>
    <row r="193" spans="1:7" x14ac:dyDescent="0.25">
      <c r="A193" s="13" t="s">
        <v>3118</v>
      </c>
      <c r="B193" s="13">
        <v>2100</v>
      </c>
      <c r="C193" s="14" t="str">
        <f>+VLOOKUP(B193,[1]LISTE!$A$1:$D$431,4,FALSE)</f>
        <v>MLAYEH NEZIHA</v>
      </c>
      <c r="D193" s="15" t="s">
        <v>648</v>
      </c>
      <c r="E193" s="15">
        <v>45992</v>
      </c>
      <c r="F193" s="14" t="s">
        <v>69</v>
      </c>
      <c r="G193" s="16">
        <v>571</v>
      </c>
    </row>
    <row r="194" spans="1:7" x14ac:dyDescent="0.25">
      <c r="A194" s="13" t="s">
        <v>3057</v>
      </c>
      <c r="B194" s="13">
        <v>2124</v>
      </c>
      <c r="C194" s="14" t="str">
        <f>+VLOOKUP(B194,[1]LISTE!$A$1:$D$431,4,FALSE)</f>
        <v>AHMED BEN HADJ MESSAOUD</v>
      </c>
      <c r="D194" s="14" t="s">
        <v>108</v>
      </c>
      <c r="E194" s="15">
        <v>45987</v>
      </c>
      <c r="F194" s="14" t="s">
        <v>18</v>
      </c>
      <c r="G194" s="16">
        <v>60</v>
      </c>
    </row>
    <row r="195" spans="1:7" x14ac:dyDescent="0.25">
      <c r="A195" s="13" t="s">
        <v>3057</v>
      </c>
      <c r="B195" s="13">
        <v>2124</v>
      </c>
      <c r="C195" s="14" t="str">
        <f>+VLOOKUP(B195,[1]LISTE!$A$1:$D$431,4,FALSE)</f>
        <v>AHMED BEN HADJ MESSAOUD</v>
      </c>
      <c r="D195" s="15" t="s">
        <v>108</v>
      </c>
      <c r="E195" s="15">
        <v>45987</v>
      </c>
      <c r="F195" s="14" t="s">
        <v>20</v>
      </c>
      <c r="G195" s="16">
        <v>43.942999999999998</v>
      </c>
    </row>
    <row r="196" spans="1:7" x14ac:dyDescent="0.25">
      <c r="A196" s="13" t="s">
        <v>3055</v>
      </c>
      <c r="B196" s="13">
        <v>2198</v>
      </c>
      <c r="C196" s="14" t="s">
        <v>2427</v>
      </c>
      <c r="D196" s="14" t="s">
        <v>22</v>
      </c>
      <c r="E196" s="15">
        <v>45986</v>
      </c>
      <c r="F196" s="14" t="s">
        <v>23</v>
      </c>
      <c r="G196" s="16">
        <v>45</v>
      </c>
    </row>
    <row r="197" spans="1:7" x14ac:dyDescent="0.25">
      <c r="A197" s="13" t="s">
        <v>3055</v>
      </c>
      <c r="B197" s="13">
        <v>2198</v>
      </c>
      <c r="C197" s="14" t="s">
        <v>2427</v>
      </c>
      <c r="D197" s="15" t="s">
        <v>22</v>
      </c>
      <c r="E197" s="15">
        <v>45986</v>
      </c>
      <c r="F197" s="14" t="s">
        <v>20</v>
      </c>
      <c r="G197" s="16">
        <v>77.56</v>
      </c>
    </row>
    <row r="198" spans="1:7" x14ac:dyDescent="0.25">
      <c r="A198" s="13" t="s">
        <v>3074</v>
      </c>
      <c r="B198" s="13">
        <v>2200</v>
      </c>
      <c r="C198" s="14" t="s">
        <v>2987</v>
      </c>
      <c r="D198" s="14" t="s">
        <v>3075</v>
      </c>
      <c r="E198" s="15">
        <v>45988</v>
      </c>
      <c r="F198" s="14" t="s">
        <v>23</v>
      </c>
      <c r="G198" s="16">
        <v>35</v>
      </c>
    </row>
    <row r="199" spans="1:7" x14ac:dyDescent="0.25">
      <c r="A199" s="13" t="s">
        <v>3074</v>
      </c>
      <c r="B199" s="13">
        <v>2200</v>
      </c>
      <c r="C199" s="14" t="s">
        <v>2987</v>
      </c>
      <c r="D199" s="14" t="s">
        <v>3075</v>
      </c>
      <c r="E199" s="15">
        <v>45990</v>
      </c>
      <c r="F199" s="14" t="s">
        <v>20</v>
      </c>
      <c r="G199" s="16">
        <v>53.866</v>
      </c>
    </row>
    <row r="200" spans="1:7" x14ac:dyDescent="0.25">
      <c r="A200" s="13" t="s">
        <v>3155</v>
      </c>
      <c r="B200" s="13">
        <v>2210</v>
      </c>
      <c r="C200" s="14" t="s">
        <v>1818</v>
      </c>
      <c r="D200" s="15" t="s">
        <v>2793</v>
      </c>
      <c r="E200" s="15">
        <v>45993</v>
      </c>
      <c r="F200" s="14" t="s">
        <v>18</v>
      </c>
      <c r="G200" s="16">
        <v>70</v>
      </c>
    </row>
    <row r="201" spans="1:7" x14ac:dyDescent="0.25">
      <c r="A201" s="13" t="s">
        <v>3155</v>
      </c>
      <c r="B201" s="13">
        <v>2210</v>
      </c>
      <c r="C201" s="14" t="s">
        <v>1818</v>
      </c>
      <c r="D201" s="15" t="s">
        <v>2793</v>
      </c>
      <c r="E201" s="15">
        <v>45993</v>
      </c>
      <c r="F201" s="14" t="s">
        <v>20</v>
      </c>
      <c r="G201" s="16">
        <v>63.66</v>
      </c>
    </row>
    <row r="202" spans="1:7" x14ac:dyDescent="0.25">
      <c r="A202" s="13" t="s">
        <v>3155</v>
      </c>
      <c r="B202" s="13">
        <v>2210</v>
      </c>
      <c r="C202" s="14" t="s">
        <v>1818</v>
      </c>
      <c r="D202" s="15" t="s">
        <v>2793</v>
      </c>
      <c r="E202" s="15">
        <v>45992</v>
      </c>
      <c r="F202" s="14" t="s">
        <v>19</v>
      </c>
      <c r="G202" s="16">
        <v>41.41</v>
      </c>
    </row>
    <row r="203" spans="1:7" x14ac:dyDescent="0.25">
      <c r="A203" s="13" t="s">
        <v>3155</v>
      </c>
      <c r="B203" s="13">
        <v>2210</v>
      </c>
      <c r="C203" s="14" t="s">
        <v>1818</v>
      </c>
      <c r="D203" s="15" t="s">
        <v>2793</v>
      </c>
      <c r="E203" s="15">
        <v>45996</v>
      </c>
      <c r="F203" s="14" t="s">
        <v>19</v>
      </c>
      <c r="G203" s="16">
        <v>105.51</v>
      </c>
    </row>
    <row r="204" spans="1:7" x14ac:dyDescent="0.25">
      <c r="A204" s="13" t="s">
        <v>3059</v>
      </c>
      <c r="B204" s="13">
        <v>2213</v>
      </c>
      <c r="C204" s="14" t="s">
        <v>1523</v>
      </c>
      <c r="D204" s="14" t="s">
        <v>687</v>
      </c>
      <c r="E204" s="15">
        <v>45986</v>
      </c>
      <c r="F204" s="14" t="s">
        <v>18</v>
      </c>
      <c r="G204" s="16">
        <v>70</v>
      </c>
    </row>
    <row r="205" spans="1:7" x14ac:dyDescent="0.25">
      <c r="A205" s="13" t="s">
        <v>3059</v>
      </c>
      <c r="B205" s="13">
        <v>2213</v>
      </c>
      <c r="C205" s="14" t="s">
        <v>1523</v>
      </c>
      <c r="D205" s="14" t="s">
        <v>687</v>
      </c>
      <c r="E205" s="15">
        <v>45986</v>
      </c>
      <c r="F205" s="14" t="s">
        <v>20</v>
      </c>
      <c r="G205" s="16">
        <v>8.36</v>
      </c>
    </row>
    <row r="206" spans="1:7" x14ac:dyDescent="0.25">
      <c r="A206" s="13" t="s">
        <v>3065</v>
      </c>
      <c r="B206" s="13">
        <v>2213</v>
      </c>
      <c r="C206" s="14" t="s">
        <v>1523</v>
      </c>
      <c r="D206" s="14" t="s">
        <v>22</v>
      </c>
      <c r="E206" s="15">
        <v>45981</v>
      </c>
      <c r="F206" s="14" t="s">
        <v>20</v>
      </c>
      <c r="G206" s="16">
        <v>66.745000000000005</v>
      </c>
    </row>
    <row r="207" spans="1:7" x14ac:dyDescent="0.25">
      <c r="A207" s="13" t="s">
        <v>3065</v>
      </c>
      <c r="B207" s="13">
        <v>2213</v>
      </c>
      <c r="C207" s="14" t="s">
        <v>1523</v>
      </c>
      <c r="D207" s="14" t="s">
        <v>22</v>
      </c>
      <c r="E207" s="15">
        <v>45981</v>
      </c>
      <c r="F207" s="14" t="s">
        <v>65</v>
      </c>
      <c r="G207" s="16">
        <v>180</v>
      </c>
    </row>
    <row r="208" spans="1:7" x14ac:dyDescent="0.25">
      <c r="A208" s="13" t="s">
        <v>3103</v>
      </c>
      <c r="B208" s="13">
        <v>2270</v>
      </c>
      <c r="C208" s="14" t="s">
        <v>573</v>
      </c>
      <c r="D208" s="14" t="s">
        <v>574</v>
      </c>
      <c r="E208" s="15">
        <v>45988</v>
      </c>
      <c r="F208" s="14" t="s">
        <v>18</v>
      </c>
      <c r="G208" s="16">
        <v>70</v>
      </c>
    </row>
    <row r="209" spans="1:7" x14ac:dyDescent="0.25">
      <c r="A209" s="13" t="s">
        <v>3103</v>
      </c>
      <c r="B209" s="13">
        <v>2270</v>
      </c>
      <c r="C209" s="14" t="s">
        <v>573</v>
      </c>
      <c r="D209" s="14" t="s">
        <v>574</v>
      </c>
      <c r="E209" s="15">
        <v>45988</v>
      </c>
      <c r="F209" s="14" t="s">
        <v>20</v>
      </c>
      <c r="G209" s="16">
        <v>42.683999999999997</v>
      </c>
    </row>
    <row r="210" spans="1:7" x14ac:dyDescent="0.25">
      <c r="A210" s="13" t="s">
        <v>3146</v>
      </c>
      <c r="B210" s="13">
        <v>2276</v>
      </c>
      <c r="C210" s="14" t="s">
        <v>3147</v>
      </c>
      <c r="D210" s="14" t="s">
        <v>22</v>
      </c>
      <c r="E210" s="15">
        <v>45971</v>
      </c>
      <c r="F210" s="14" t="s">
        <v>23</v>
      </c>
      <c r="G210" s="16">
        <v>45</v>
      </c>
    </row>
    <row r="211" spans="1:7" x14ac:dyDescent="0.25">
      <c r="A211" s="13" t="s">
        <v>3146</v>
      </c>
      <c r="B211" s="13">
        <v>2276</v>
      </c>
      <c r="C211" s="14" t="s">
        <v>3147</v>
      </c>
      <c r="D211" s="14" t="s">
        <v>22</v>
      </c>
      <c r="E211" s="15">
        <v>45978</v>
      </c>
      <c r="F211" s="14" t="s">
        <v>20</v>
      </c>
      <c r="G211" s="16">
        <v>27.672000000000001</v>
      </c>
    </row>
    <row r="212" spans="1:7" x14ac:dyDescent="0.25">
      <c r="A212" s="13" t="s">
        <v>3146</v>
      </c>
      <c r="B212" s="13">
        <v>2276</v>
      </c>
      <c r="C212" s="14" t="s">
        <v>3147</v>
      </c>
      <c r="D212" s="14" t="s">
        <v>22</v>
      </c>
      <c r="E212" s="15">
        <v>45976</v>
      </c>
      <c r="F212" s="14" t="s">
        <v>21</v>
      </c>
      <c r="G212" s="16">
        <v>140</v>
      </c>
    </row>
    <row r="213" spans="1:7" x14ac:dyDescent="0.25">
      <c r="A213" s="13" t="s">
        <v>3105</v>
      </c>
      <c r="B213" s="13">
        <v>1821</v>
      </c>
      <c r="C213" s="14" t="s">
        <v>3106</v>
      </c>
      <c r="D213" s="14" t="s">
        <v>22</v>
      </c>
      <c r="E213" s="15">
        <v>45995</v>
      </c>
      <c r="F213" s="14" t="s">
        <v>23</v>
      </c>
      <c r="G213" s="16">
        <v>45</v>
      </c>
    </row>
    <row r="214" spans="1:7" x14ac:dyDescent="0.25">
      <c r="A214" s="13" t="s">
        <v>3105</v>
      </c>
      <c r="B214" s="13">
        <v>2300</v>
      </c>
      <c r="C214" s="14" t="s">
        <v>3106</v>
      </c>
      <c r="D214" s="15" t="s">
        <v>22</v>
      </c>
      <c r="E214" s="15">
        <v>45995</v>
      </c>
      <c r="F214" s="14" t="s">
        <v>20</v>
      </c>
      <c r="G214" s="16">
        <v>250.92599999999999</v>
      </c>
    </row>
    <row r="215" spans="1:7" x14ac:dyDescent="0.25">
      <c r="A215" s="13" t="s">
        <v>3123</v>
      </c>
      <c r="B215" s="13">
        <v>2312</v>
      </c>
      <c r="C215" s="14" t="s">
        <v>398</v>
      </c>
      <c r="D215" s="14" t="s">
        <v>3124</v>
      </c>
      <c r="E215" s="15">
        <v>45996</v>
      </c>
      <c r="F215" s="14" t="s">
        <v>23</v>
      </c>
      <c r="G215" s="16">
        <v>1.5</v>
      </c>
    </row>
    <row r="216" spans="1:7" x14ac:dyDescent="0.25">
      <c r="A216" s="13" t="s">
        <v>3123</v>
      </c>
      <c r="B216" s="13">
        <v>2312</v>
      </c>
      <c r="C216" s="14" t="s">
        <v>398</v>
      </c>
      <c r="D216" s="14" t="s">
        <v>3124</v>
      </c>
      <c r="E216" s="15">
        <v>45996</v>
      </c>
      <c r="F216" s="14" t="s">
        <v>20</v>
      </c>
      <c r="G216" s="16">
        <v>26.561</v>
      </c>
    </row>
    <row r="217" spans="1:7" x14ac:dyDescent="0.25">
      <c r="A217" s="13" t="s">
        <v>3153</v>
      </c>
      <c r="B217" s="13">
        <v>2312</v>
      </c>
      <c r="C217" s="14" t="s">
        <v>398</v>
      </c>
      <c r="D217" s="15" t="s">
        <v>3124</v>
      </c>
      <c r="E217" s="15">
        <v>45993</v>
      </c>
      <c r="F217" s="14" t="s">
        <v>23</v>
      </c>
      <c r="G217" s="16">
        <v>3</v>
      </c>
    </row>
    <row r="218" spans="1:7" x14ac:dyDescent="0.25">
      <c r="A218" s="13" t="s">
        <v>3153</v>
      </c>
      <c r="B218" s="13">
        <v>2312</v>
      </c>
      <c r="C218" s="14" t="s">
        <v>398</v>
      </c>
      <c r="D218" s="15" t="s">
        <v>3124</v>
      </c>
      <c r="E218" s="15">
        <v>45993</v>
      </c>
      <c r="F218" s="14" t="s">
        <v>20</v>
      </c>
      <c r="G218" s="16">
        <v>27.695</v>
      </c>
    </row>
    <row r="219" spans="1:7" x14ac:dyDescent="0.25">
      <c r="A219" s="13" t="s">
        <v>3156</v>
      </c>
      <c r="B219" s="13">
        <v>2319</v>
      </c>
      <c r="C219" s="14" t="s">
        <v>1145</v>
      </c>
      <c r="D219" s="15" t="s">
        <v>22</v>
      </c>
      <c r="E219" s="15">
        <v>45997</v>
      </c>
      <c r="F219" s="14" t="s">
        <v>18</v>
      </c>
      <c r="G219" s="16">
        <v>70</v>
      </c>
    </row>
    <row r="220" spans="1:7" x14ac:dyDescent="0.25">
      <c r="A220" s="13" t="s">
        <v>3156</v>
      </c>
      <c r="B220" s="13">
        <v>2319</v>
      </c>
      <c r="C220" s="14" t="s">
        <v>1145</v>
      </c>
      <c r="D220" s="15" t="s">
        <v>22</v>
      </c>
      <c r="E220" s="15">
        <v>45997</v>
      </c>
      <c r="F220" s="14" t="s">
        <v>20</v>
      </c>
      <c r="G220" s="16">
        <v>191.55</v>
      </c>
    </row>
    <row r="221" spans="1:7" x14ac:dyDescent="0.25">
      <c r="A221" s="13" t="s">
        <v>3112</v>
      </c>
      <c r="B221" s="13">
        <v>2326</v>
      </c>
      <c r="C221" s="14" t="s">
        <v>28</v>
      </c>
      <c r="D221" s="15" t="s">
        <v>923</v>
      </c>
      <c r="E221" s="15">
        <v>45994</v>
      </c>
      <c r="F221" s="14" t="s">
        <v>23</v>
      </c>
      <c r="G221" s="16">
        <v>3</v>
      </c>
    </row>
    <row r="222" spans="1:7" x14ac:dyDescent="0.25">
      <c r="A222" s="13" t="s">
        <v>3112</v>
      </c>
      <c r="B222" s="13">
        <v>2326</v>
      </c>
      <c r="C222" s="14" t="s">
        <v>28</v>
      </c>
      <c r="D222" s="14" t="s">
        <v>923</v>
      </c>
      <c r="E222" s="15">
        <v>45994</v>
      </c>
      <c r="F222" s="14" t="s">
        <v>20</v>
      </c>
      <c r="G222" s="16">
        <v>59.527999999999999</v>
      </c>
    </row>
    <row r="223" spans="1:7" x14ac:dyDescent="0.25">
      <c r="A223" s="13" t="s">
        <v>3113</v>
      </c>
      <c r="B223" s="13">
        <v>2326</v>
      </c>
      <c r="C223" s="14" t="s">
        <v>28</v>
      </c>
      <c r="D223" s="14" t="s">
        <v>67</v>
      </c>
      <c r="E223" s="15">
        <v>45992</v>
      </c>
      <c r="F223" s="14" t="s">
        <v>18</v>
      </c>
      <c r="G223" s="16">
        <v>60</v>
      </c>
    </row>
    <row r="224" spans="1:7" x14ac:dyDescent="0.25">
      <c r="A224" s="13" t="s">
        <v>3113</v>
      </c>
      <c r="B224" s="13">
        <v>2326</v>
      </c>
      <c r="C224" s="14" t="s">
        <v>28</v>
      </c>
      <c r="D224" s="15" t="s">
        <v>67</v>
      </c>
      <c r="E224" s="15">
        <v>45992</v>
      </c>
      <c r="F224" s="14" t="s">
        <v>20</v>
      </c>
      <c r="G224" s="16">
        <v>15.255000000000001</v>
      </c>
    </row>
    <row r="225" spans="1:7" x14ac:dyDescent="0.25">
      <c r="A225" s="13" t="s">
        <v>3104</v>
      </c>
      <c r="B225" s="13">
        <v>2337</v>
      </c>
      <c r="C225" s="14" t="s">
        <v>210</v>
      </c>
      <c r="D225" s="14" t="s">
        <v>353</v>
      </c>
      <c r="E225" s="15">
        <v>45992</v>
      </c>
      <c r="F225" s="14" t="s">
        <v>23</v>
      </c>
      <c r="G225" s="16">
        <v>45</v>
      </c>
    </row>
    <row r="226" spans="1:7" x14ac:dyDescent="0.25">
      <c r="A226" s="13" t="s">
        <v>3104</v>
      </c>
      <c r="B226" s="13">
        <v>2337</v>
      </c>
      <c r="C226" s="14" t="s">
        <v>210</v>
      </c>
      <c r="D226" s="14" t="s">
        <v>353</v>
      </c>
      <c r="E226" s="15">
        <v>45992</v>
      </c>
      <c r="F226" s="14" t="s">
        <v>20</v>
      </c>
      <c r="G226" s="16">
        <v>45.64</v>
      </c>
    </row>
    <row r="227" spans="1:7" x14ac:dyDescent="0.25">
      <c r="A227" s="13" t="s">
        <v>3154</v>
      </c>
      <c r="B227" s="13">
        <v>2339</v>
      </c>
      <c r="C227" s="14" t="s">
        <v>1288</v>
      </c>
      <c r="D227" s="15" t="s">
        <v>22</v>
      </c>
      <c r="E227" s="15">
        <v>45981</v>
      </c>
      <c r="F227" s="14" t="s">
        <v>23</v>
      </c>
      <c r="G227" s="16">
        <v>45</v>
      </c>
    </row>
    <row r="228" spans="1:7" x14ac:dyDescent="0.25">
      <c r="A228" s="13" t="s">
        <v>3154</v>
      </c>
      <c r="B228" s="13">
        <v>2339</v>
      </c>
      <c r="C228" s="14" t="s">
        <v>1288</v>
      </c>
      <c r="D228" s="15" t="s">
        <v>22</v>
      </c>
      <c r="E228" s="15">
        <v>45992</v>
      </c>
      <c r="F228" s="14" t="s">
        <v>19</v>
      </c>
      <c r="G228" s="16">
        <v>128.65600000000001</v>
      </c>
    </row>
    <row r="229" spans="1:7" x14ac:dyDescent="0.25">
      <c r="A229" s="13" t="s">
        <v>3154</v>
      </c>
      <c r="B229" s="13">
        <v>2339</v>
      </c>
      <c r="C229" s="14" t="s">
        <v>1288</v>
      </c>
      <c r="D229" s="15" t="s">
        <v>22</v>
      </c>
      <c r="E229" s="15">
        <v>45981</v>
      </c>
      <c r="F229" s="14" t="s">
        <v>20</v>
      </c>
      <c r="G229" s="16">
        <v>55.548999999999999</v>
      </c>
    </row>
    <row r="230" spans="1:7" x14ac:dyDescent="0.25">
      <c r="A230" s="13" t="s">
        <v>3154</v>
      </c>
      <c r="B230" s="13">
        <v>2339</v>
      </c>
      <c r="C230" s="14" t="s">
        <v>1288</v>
      </c>
      <c r="D230" s="15" t="s">
        <v>22</v>
      </c>
      <c r="E230" s="15">
        <v>45992</v>
      </c>
      <c r="F230" s="14" t="s">
        <v>21</v>
      </c>
      <c r="G230" s="16">
        <v>90</v>
      </c>
    </row>
    <row r="231" spans="1:7" x14ac:dyDescent="0.25">
      <c r="A231" s="13" t="s">
        <v>3060</v>
      </c>
      <c r="B231" s="13">
        <v>2354</v>
      </c>
      <c r="C231" s="14" t="s">
        <v>3061</v>
      </c>
      <c r="D231" s="14" t="s">
        <v>22</v>
      </c>
      <c r="E231" s="15">
        <v>45983</v>
      </c>
      <c r="F231" s="14" t="s">
        <v>18</v>
      </c>
      <c r="G231" s="16">
        <v>70</v>
      </c>
    </row>
    <row r="232" spans="1:7" x14ac:dyDescent="0.25">
      <c r="A232" s="13" t="s">
        <v>3060</v>
      </c>
      <c r="B232" s="13">
        <v>2354</v>
      </c>
      <c r="C232" s="14" t="s">
        <v>3061</v>
      </c>
      <c r="D232" s="14" t="s">
        <v>22</v>
      </c>
      <c r="E232" s="15">
        <v>45987</v>
      </c>
      <c r="F232" s="14" t="s">
        <v>20</v>
      </c>
      <c r="G232" s="16">
        <v>306.31200000000001</v>
      </c>
    </row>
    <row r="233" spans="1:7" x14ac:dyDescent="0.25">
      <c r="A233" s="13" t="s">
        <v>3046</v>
      </c>
      <c r="B233" s="13">
        <v>2363</v>
      </c>
      <c r="C233" s="14" t="s">
        <v>1599</v>
      </c>
      <c r="D233" s="14" t="s">
        <v>22</v>
      </c>
      <c r="E233" s="15">
        <v>45987</v>
      </c>
      <c r="F233" s="14" t="s">
        <v>20</v>
      </c>
      <c r="G233" s="16">
        <v>48.72</v>
      </c>
    </row>
    <row r="234" spans="1:7" x14ac:dyDescent="0.25">
      <c r="A234" s="13" t="s">
        <v>3134</v>
      </c>
      <c r="B234" s="13">
        <v>2366</v>
      </c>
      <c r="C234" s="14" t="s">
        <v>3135</v>
      </c>
      <c r="D234" s="15" t="s">
        <v>22</v>
      </c>
      <c r="E234" s="15">
        <v>45988</v>
      </c>
      <c r="F234" s="14" t="s">
        <v>18</v>
      </c>
      <c r="G234" s="16">
        <v>70</v>
      </c>
    </row>
    <row r="235" spans="1:7" x14ac:dyDescent="0.25">
      <c r="A235" s="13" t="s">
        <v>3134</v>
      </c>
      <c r="B235" s="13">
        <v>2366</v>
      </c>
      <c r="C235" s="14" t="s">
        <v>3135</v>
      </c>
      <c r="D235" s="15" t="s">
        <v>22</v>
      </c>
      <c r="E235" s="15">
        <v>45988</v>
      </c>
      <c r="F235" s="14" t="s">
        <v>20</v>
      </c>
      <c r="G235" s="16">
        <v>42.1</v>
      </c>
    </row>
    <row r="236" spans="1:7" x14ac:dyDescent="0.25">
      <c r="A236" s="13" t="s">
        <v>3134</v>
      </c>
      <c r="B236" s="13">
        <v>2366</v>
      </c>
      <c r="C236" s="14" t="s">
        <v>3135</v>
      </c>
      <c r="D236" s="14" t="s">
        <v>22</v>
      </c>
      <c r="E236" s="15">
        <v>45996</v>
      </c>
      <c r="F236" s="14" t="s">
        <v>69</v>
      </c>
      <c r="G236" s="16">
        <v>900</v>
      </c>
    </row>
    <row r="237" spans="1:7" x14ac:dyDescent="0.25">
      <c r="A237" s="13" t="s">
        <v>3066</v>
      </c>
      <c r="B237" s="13">
        <v>2397</v>
      </c>
      <c r="C237" s="14" t="s">
        <v>29</v>
      </c>
      <c r="D237" s="14" t="s">
        <v>123</v>
      </c>
      <c r="E237" s="15">
        <v>45989</v>
      </c>
      <c r="F237" s="14" t="s">
        <v>18</v>
      </c>
      <c r="G237" s="16">
        <v>60</v>
      </c>
    </row>
    <row r="238" spans="1:7" x14ac:dyDescent="0.25">
      <c r="A238" s="13" t="s">
        <v>3066</v>
      </c>
      <c r="B238" s="13">
        <v>2397</v>
      </c>
      <c r="C238" s="14" t="s">
        <v>29</v>
      </c>
      <c r="D238" s="15" t="s">
        <v>123</v>
      </c>
      <c r="E238" s="15">
        <v>45989</v>
      </c>
      <c r="F238" s="14" t="s">
        <v>20</v>
      </c>
      <c r="G238" s="16">
        <v>21.09</v>
      </c>
    </row>
    <row r="239" spans="1:7" x14ac:dyDescent="0.25">
      <c r="A239" s="13" t="s">
        <v>3168</v>
      </c>
      <c r="B239" s="13">
        <v>2444</v>
      </c>
      <c r="C239" s="14" t="s">
        <v>271</v>
      </c>
      <c r="D239" s="15" t="s">
        <v>187</v>
      </c>
      <c r="E239" s="15">
        <v>45990</v>
      </c>
      <c r="F239" s="14" t="s">
        <v>23</v>
      </c>
      <c r="G239" s="16">
        <v>45</v>
      </c>
    </row>
    <row r="240" spans="1:7" x14ac:dyDescent="0.25">
      <c r="A240" s="13" t="s">
        <v>3168</v>
      </c>
      <c r="B240" s="13">
        <v>2444</v>
      </c>
      <c r="C240" s="14" t="s">
        <v>271</v>
      </c>
      <c r="D240" s="15" t="s">
        <v>187</v>
      </c>
      <c r="E240" s="15">
        <v>45993</v>
      </c>
      <c r="F240" s="14" t="s">
        <v>21</v>
      </c>
      <c r="G240" s="16">
        <v>90</v>
      </c>
    </row>
    <row r="241" spans="1:7" x14ac:dyDescent="0.25">
      <c r="A241" s="13" t="s">
        <v>3131</v>
      </c>
      <c r="B241" s="13">
        <v>2456</v>
      </c>
      <c r="C241" s="14" t="s">
        <v>155</v>
      </c>
      <c r="D241" s="14" t="s">
        <v>22</v>
      </c>
      <c r="E241" s="15">
        <v>45973</v>
      </c>
      <c r="F241" s="14" t="s">
        <v>18</v>
      </c>
      <c r="G241" s="16">
        <v>70</v>
      </c>
    </row>
    <row r="242" spans="1:7" x14ac:dyDescent="0.25">
      <c r="A242" s="13" t="s">
        <v>3131</v>
      </c>
      <c r="B242" s="13">
        <v>2456</v>
      </c>
      <c r="C242" s="14" t="s">
        <v>155</v>
      </c>
      <c r="D242" s="15" t="s">
        <v>22</v>
      </c>
      <c r="E242" s="15">
        <v>45973</v>
      </c>
      <c r="F242" s="14" t="s">
        <v>20</v>
      </c>
      <c r="G242" s="16">
        <v>11.747999999999999</v>
      </c>
    </row>
    <row r="243" spans="1:7" x14ac:dyDescent="0.25">
      <c r="A243" s="13" t="s">
        <v>3116</v>
      </c>
      <c r="B243" s="13">
        <v>2473</v>
      </c>
      <c r="C243" s="14" t="s">
        <v>1729</v>
      </c>
      <c r="D243" s="14" t="s">
        <v>3117</v>
      </c>
      <c r="E243" s="15">
        <v>45993</v>
      </c>
      <c r="F243" s="14" t="s">
        <v>18</v>
      </c>
      <c r="G243" s="16">
        <v>70</v>
      </c>
    </row>
    <row r="244" spans="1:7" x14ac:dyDescent="0.25">
      <c r="A244" s="13" t="s">
        <v>3116</v>
      </c>
      <c r="B244" s="13">
        <v>2473</v>
      </c>
      <c r="C244" s="14" t="s">
        <v>1729</v>
      </c>
      <c r="D244" s="15" t="s">
        <v>3117</v>
      </c>
      <c r="E244" s="15">
        <v>45993</v>
      </c>
      <c r="F244" s="14" t="s">
        <v>20</v>
      </c>
      <c r="G244" s="16">
        <v>28.995000000000001</v>
      </c>
    </row>
    <row r="245" spans="1:7" x14ac:dyDescent="0.25">
      <c r="A245" s="13" t="s">
        <v>3116</v>
      </c>
      <c r="B245" s="13">
        <v>2473</v>
      </c>
      <c r="C245" s="14" t="s">
        <v>1729</v>
      </c>
      <c r="D245" s="15" t="s">
        <v>3117</v>
      </c>
      <c r="E245" s="15">
        <v>45993</v>
      </c>
      <c r="F245" s="14" t="s">
        <v>18</v>
      </c>
      <c r="G245" s="16">
        <v>70</v>
      </c>
    </row>
    <row r="246" spans="1:7" x14ac:dyDescent="0.25">
      <c r="A246" s="13" t="s">
        <v>3116</v>
      </c>
      <c r="B246" s="13">
        <v>2473</v>
      </c>
      <c r="C246" s="14" t="s">
        <v>1729</v>
      </c>
      <c r="D246" s="15" t="s">
        <v>3117</v>
      </c>
      <c r="E246" s="15">
        <v>45993</v>
      </c>
      <c r="F246" s="14" t="s">
        <v>20</v>
      </c>
      <c r="G246" s="16">
        <v>28.995000000000001</v>
      </c>
    </row>
    <row r="247" spans="1:7" x14ac:dyDescent="0.25">
      <c r="A247" s="13" t="s">
        <v>3141</v>
      </c>
      <c r="B247" s="13">
        <v>2486</v>
      </c>
      <c r="C247" s="14" t="s">
        <v>2771</v>
      </c>
      <c r="D247" s="15" t="s">
        <v>22</v>
      </c>
      <c r="E247" s="15">
        <v>45979</v>
      </c>
      <c r="F247" s="14" t="s">
        <v>20</v>
      </c>
      <c r="G247" s="16">
        <v>3.11</v>
      </c>
    </row>
    <row r="248" spans="1:7" x14ac:dyDescent="0.25">
      <c r="A248" s="13" t="s">
        <v>3141</v>
      </c>
      <c r="B248" s="13">
        <v>2486</v>
      </c>
      <c r="C248" s="14" t="s">
        <v>2771</v>
      </c>
      <c r="D248" s="14" t="s">
        <v>22</v>
      </c>
      <c r="E248" s="15">
        <v>45992</v>
      </c>
      <c r="F248" s="14" t="s">
        <v>24</v>
      </c>
      <c r="G248" s="16">
        <v>160</v>
      </c>
    </row>
    <row r="249" spans="1:7" x14ac:dyDescent="0.25">
      <c r="A249" s="13" t="s">
        <v>3068</v>
      </c>
      <c r="B249" s="13">
        <v>2497</v>
      </c>
      <c r="C249" s="14" t="s">
        <v>1263</v>
      </c>
      <c r="D249" s="14" t="s">
        <v>669</v>
      </c>
      <c r="E249" s="15">
        <v>45985</v>
      </c>
      <c r="F249" s="14" t="s">
        <v>18</v>
      </c>
      <c r="G249" s="16">
        <v>70</v>
      </c>
    </row>
    <row r="250" spans="1:7" x14ac:dyDescent="0.25">
      <c r="A250" s="13" t="s">
        <v>3068</v>
      </c>
      <c r="B250" s="13">
        <v>2497</v>
      </c>
      <c r="C250" s="14" t="s">
        <v>1263</v>
      </c>
      <c r="D250" s="14" t="s">
        <v>669</v>
      </c>
      <c r="E250" s="15">
        <v>45985</v>
      </c>
      <c r="F250" s="14" t="s">
        <v>20</v>
      </c>
      <c r="G250" s="16">
        <v>106.985</v>
      </c>
    </row>
    <row r="251" spans="1:7" x14ac:dyDescent="0.25">
      <c r="A251" s="13" t="s">
        <v>3076</v>
      </c>
      <c r="B251" s="13">
        <v>2511</v>
      </c>
      <c r="C251" s="14" t="s">
        <v>2725</v>
      </c>
      <c r="D251" s="15" t="s">
        <v>22</v>
      </c>
      <c r="E251" s="15">
        <v>45989</v>
      </c>
      <c r="F251" s="14" t="s">
        <v>18</v>
      </c>
      <c r="G251" s="16">
        <v>70</v>
      </c>
    </row>
    <row r="252" spans="1:7" x14ac:dyDescent="0.25">
      <c r="A252" s="13" t="s">
        <v>3076</v>
      </c>
      <c r="B252" s="13">
        <v>2511</v>
      </c>
      <c r="C252" s="14" t="s">
        <v>2725</v>
      </c>
      <c r="D252" s="14" t="s">
        <v>22</v>
      </c>
      <c r="E252" s="15">
        <v>45992</v>
      </c>
      <c r="F252" s="14" t="s">
        <v>69</v>
      </c>
      <c r="G252" s="16">
        <v>200</v>
      </c>
    </row>
    <row r="253" spans="1:7" x14ac:dyDescent="0.25">
      <c r="A253" s="13" t="s">
        <v>3072</v>
      </c>
      <c r="B253" s="13">
        <v>2512</v>
      </c>
      <c r="C253" s="14" t="s">
        <v>3073</v>
      </c>
      <c r="D253" s="14" t="s">
        <v>22</v>
      </c>
      <c r="E253" s="15">
        <v>45980</v>
      </c>
      <c r="F253" s="14" t="s">
        <v>18</v>
      </c>
      <c r="G253" s="16">
        <v>70</v>
      </c>
    </row>
    <row r="254" spans="1:7" x14ac:dyDescent="0.25">
      <c r="A254" s="13" t="s">
        <v>3072</v>
      </c>
      <c r="B254" s="13">
        <v>2512</v>
      </c>
      <c r="C254" s="14" t="s">
        <v>3073</v>
      </c>
      <c r="D254" s="14" t="s">
        <v>22</v>
      </c>
      <c r="E254" s="15">
        <v>45981</v>
      </c>
      <c r="F254" s="14" t="s">
        <v>20</v>
      </c>
      <c r="G254" s="16">
        <v>64.569000000000003</v>
      </c>
    </row>
    <row r="255" spans="1:7" x14ac:dyDescent="0.25">
      <c r="A255" s="13" t="s">
        <v>3072</v>
      </c>
      <c r="B255" s="13">
        <v>2512</v>
      </c>
      <c r="C255" s="14" t="s">
        <v>3073</v>
      </c>
      <c r="D255" s="15" t="s">
        <v>22</v>
      </c>
      <c r="E255" s="15">
        <v>45982</v>
      </c>
      <c r="F255" s="14" t="s">
        <v>20</v>
      </c>
      <c r="G255" s="16">
        <v>11.25</v>
      </c>
    </row>
    <row r="256" spans="1:7" x14ac:dyDescent="0.25">
      <c r="A256" s="13" t="s">
        <v>3165</v>
      </c>
      <c r="B256" s="13">
        <v>2517</v>
      </c>
      <c r="C256" s="14" t="s">
        <v>97</v>
      </c>
      <c r="D256" s="15" t="s">
        <v>98</v>
      </c>
      <c r="E256" s="15">
        <v>45996</v>
      </c>
      <c r="F256" s="14" t="s">
        <v>18</v>
      </c>
      <c r="G256" s="16">
        <v>70</v>
      </c>
    </row>
    <row r="257" spans="1:7" x14ac:dyDescent="0.25">
      <c r="A257" s="13" t="s">
        <v>3165</v>
      </c>
      <c r="B257" s="13">
        <v>2517</v>
      </c>
      <c r="C257" s="14" t="s">
        <v>97</v>
      </c>
      <c r="D257" s="15" t="s">
        <v>98</v>
      </c>
      <c r="E257" s="15">
        <v>45996</v>
      </c>
      <c r="F257" s="14" t="s">
        <v>19</v>
      </c>
      <c r="G257" s="16">
        <v>62.24</v>
      </c>
    </row>
    <row r="258" spans="1:7" x14ac:dyDescent="0.25">
      <c r="A258" s="13" t="s">
        <v>3136</v>
      </c>
      <c r="B258" s="13">
        <v>2519</v>
      </c>
      <c r="C258" s="14" t="s">
        <v>3137</v>
      </c>
      <c r="D258" s="14" t="s">
        <v>1788</v>
      </c>
      <c r="E258" s="15">
        <v>45996</v>
      </c>
      <c r="F258" s="14" t="s">
        <v>18</v>
      </c>
      <c r="G258" s="16">
        <v>60</v>
      </c>
    </row>
    <row r="259" spans="1:7" x14ac:dyDescent="0.25">
      <c r="A259" s="13" t="s">
        <v>3136</v>
      </c>
      <c r="B259" s="13">
        <v>2519</v>
      </c>
      <c r="C259" s="14" t="s">
        <v>3137</v>
      </c>
      <c r="D259" s="15" t="s">
        <v>1788</v>
      </c>
      <c r="E259" s="15">
        <v>45997</v>
      </c>
      <c r="F259" s="14" t="s">
        <v>20</v>
      </c>
      <c r="G259" s="16">
        <v>11.74</v>
      </c>
    </row>
    <row r="260" spans="1:7" x14ac:dyDescent="0.25">
      <c r="A260" s="13" t="s">
        <v>3160</v>
      </c>
      <c r="B260" s="13">
        <v>2525</v>
      </c>
      <c r="C260" s="14" t="s">
        <v>224</v>
      </c>
      <c r="D260" s="15" t="s">
        <v>428</v>
      </c>
      <c r="E260" s="15">
        <v>45995</v>
      </c>
      <c r="F260" s="14" t="s">
        <v>18</v>
      </c>
      <c r="G260" s="16">
        <v>60</v>
      </c>
    </row>
    <row r="261" spans="1:7" x14ac:dyDescent="0.25">
      <c r="A261" s="13" t="s">
        <v>3160</v>
      </c>
      <c r="B261" s="13">
        <v>2525</v>
      </c>
      <c r="C261" s="14" t="s">
        <v>224</v>
      </c>
      <c r="D261" s="15" t="s">
        <v>428</v>
      </c>
      <c r="E261" s="15">
        <v>45995</v>
      </c>
      <c r="F261" s="14" t="s">
        <v>20</v>
      </c>
      <c r="G261" s="16">
        <v>53</v>
      </c>
    </row>
    <row r="262" spans="1:7" x14ac:dyDescent="0.25">
      <c r="A262" s="13" t="s">
        <v>3120</v>
      </c>
      <c r="B262" s="13">
        <v>2536</v>
      </c>
      <c r="C262" s="14" t="s">
        <v>716</v>
      </c>
      <c r="D262" s="14" t="s">
        <v>3121</v>
      </c>
      <c r="E262" s="15">
        <v>45995</v>
      </c>
      <c r="F262" s="14" t="s">
        <v>18</v>
      </c>
      <c r="G262" s="16">
        <v>70</v>
      </c>
    </row>
    <row r="263" spans="1:7" x14ac:dyDescent="0.25">
      <c r="A263" s="13" t="s">
        <v>3120</v>
      </c>
      <c r="B263" s="13">
        <v>2536</v>
      </c>
      <c r="C263" s="14" t="s">
        <v>716</v>
      </c>
      <c r="D263" s="14" t="s">
        <v>3121</v>
      </c>
      <c r="E263" s="15">
        <v>45995</v>
      </c>
      <c r="F263" s="14" t="s">
        <v>20</v>
      </c>
      <c r="G263" s="16">
        <v>163.14400000000001</v>
      </c>
    </row>
    <row r="264" spans="1:7" x14ac:dyDescent="0.25">
      <c r="A264" s="13" t="s">
        <v>3077</v>
      </c>
      <c r="B264" s="13">
        <v>2569</v>
      </c>
      <c r="C264" s="14" t="s">
        <v>101</v>
      </c>
      <c r="D264" s="14" t="s">
        <v>1783</v>
      </c>
      <c r="E264" s="15">
        <v>45990</v>
      </c>
      <c r="F264" s="14" t="s">
        <v>18</v>
      </c>
      <c r="G264" s="16">
        <v>70</v>
      </c>
    </row>
    <row r="265" spans="1:7" x14ac:dyDescent="0.25">
      <c r="A265" s="13" t="s">
        <v>3077</v>
      </c>
      <c r="B265" s="13">
        <v>2569</v>
      </c>
      <c r="C265" s="14" t="s">
        <v>101</v>
      </c>
      <c r="D265" s="15" t="s">
        <v>1783</v>
      </c>
      <c r="E265" s="15">
        <v>45990</v>
      </c>
      <c r="F265" s="14" t="s">
        <v>20</v>
      </c>
      <c r="G265" s="16">
        <v>60.7</v>
      </c>
    </row>
    <row r="266" spans="1:7" x14ac:dyDescent="0.25">
      <c r="A266" s="13" t="s">
        <v>3159</v>
      </c>
      <c r="B266" s="13">
        <v>2569</v>
      </c>
      <c r="C266" s="14" t="s">
        <v>101</v>
      </c>
      <c r="D266" s="15" t="s">
        <v>1783</v>
      </c>
      <c r="E266" s="15">
        <v>45997</v>
      </c>
      <c r="F266" s="14" t="s">
        <v>20</v>
      </c>
      <c r="G266" s="16">
        <v>63.365000000000002</v>
      </c>
    </row>
    <row r="267" spans="1:7" x14ac:dyDescent="0.25">
      <c r="A267" s="13" t="s">
        <v>3110</v>
      </c>
      <c r="B267" s="13">
        <v>2572</v>
      </c>
      <c r="C267" s="14" t="s">
        <v>462</v>
      </c>
      <c r="D267" s="14" t="s">
        <v>540</v>
      </c>
      <c r="E267" s="15">
        <v>45994</v>
      </c>
      <c r="F267" s="14" t="s">
        <v>19</v>
      </c>
      <c r="G267" s="16">
        <v>95.930999999999997</v>
      </c>
    </row>
    <row r="268" spans="1:7" x14ac:dyDescent="0.25">
      <c r="A268" s="13" t="s">
        <v>3119</v>
      </c>
      <c r="B268" s="13">
        <v>2572</v>
      </c>
      <c r="C268" s="14" t="s">
        <v>462</v>
      </c>
      <c r="D268" s="15" t="s">
        <v>503</v>
      </c>
      <c r="E268" s="15">
        <v>45997</v>
      </c>
      <c r="F268" s="14" t="s">
        <v>18</v>
      </c>
      <c r="G268" s="16">
        <v>70</v>
      </c>
    </row>
    <row r="269" spans="1:7" x14ac:dyDescent="0.25">
      <c r="A269" s="13" t="s">
        <v>3119</v>
      </c>
      <c r="B269" s="13">
        <v>2572</v>
      </c>
      <c r="C269" s="14" t="s">
        <v>462</v>
      </c>
      <c r="D269" s="15" t="s">
        <v>503</v>
      </c>
      <c r="E269" s="15">
        <v>45997</v>
      </c>
      <c r="F269" s="14" t="s">
        <v>20</v>
      </c>
      <c r="G269" s="16">
        <v>105.961</v>
      </c>
    </row>
    <row r="270" spans="1:7" x14ac:dyDescent="0.25">
      <c r="A270" s="13" t="s">
        <v>3161</v>
      </c>
      <c r="B270" s="13">
        <v>2572</v>
      </c>
      <c r="C270" s="14" t="s">
        <v>462</v>
      </c>
      <c r="D270" s="15" t="s">
        <v>22</v>
      </c>
      <c r="E270" s="15">
        <v>45999</v>
      </c>
      <c r="F270" s="14" t="s">
        <v>18</v>
      </c>
      <c r="G270" s="16">
        <v>70</v>
      </c>
    </row>
    <row r="271" spans="1:7" x14ac:dyDescent="0.25">
      <c r="A271" s="13" t="s">
        <v>3161</v>
      </c>
      <c r="B271" s="13">
        <v>2572</v>
      </c>
      <c r="C271" s="14" t="s">
        <v>462</v>
      </c>
      <c r="D271" s="15" t="s">
        <v>22</v>
      </c>
      <c r="E271" s="15">
        <v>45999</v>
      </c>
      <c r="F271" s="14" t="s">
        <v>20</v>
      </c>
      <c r="G271" s="16">
        <v>12</v>
      </c>
    </row>
    <row r="272" spans="1:7" ht="18.75" x14ac:dyDescent="0.3">
      <c r="A272" s="14"/>
      <c r="B272" s="28"/>
      <c r="C272" s="29"/>
      <c r="D272" s="14"/>
      <c r="E272" s="28"/>
      <c r="F272" s="17" t="s">
        <v>11</v>
      </c>
      <c r="G272" s="17">
        <f>SUM(G10:G271)</f>
        <v>20029.161000000004</v>
      </c>
    </row>
    <row r="273" spans="1:7" ht="18.75" x14ac:dyDescent="0.3">
      <c r="A273" s="38"/>
      <c r="B273" s="39"/>
      <c r="C273" s="40"/>
      <c r="D273" s="41"/>
      <c r="E273" s="19"/>
      <c r="F273" s="18"/>
      <c r="G273" s="34"/>
    </row>
    <row r="274" spans="1:7" ht="18.75" x14ac:dyDescent="0.3">
      <c r="A274" s="35"/>
      <c r="B274" s="36"/>
      <c r="C274" s="37"/>
      <c r="D274" s="42"/>
      <c r="E274" s="43"/>
      <c r="F274" s="44"/>
      <c r="G274" s="44"/>
    </row>
    <row r="275" spans="1:7" ht="15.75" x14ac:dyDescent="0.25">
      <c r="A275" s="35"/>
      <c r="B275" s="36" t="s">
        <v>12</v>
      </c>
      <c r="C275" s="37"/>
      <c r="E275" s="36" t="s">
        <v>13</v>
      </c>
      <c r="F275" s="18"/>
      <c r="G275" s="18"/>
    </row>
    <row r="276" spans="1:7" ht="15.75" x14ac:dyDescent="0.25">
      <c r="A276" s="45"/>
      <c r="B276" s="46" t="s">
        <v>14</v>
      </c>
      <c r="C276" s="47"/>
      <c r="E276" s="36" t="s">
        <v>15</v>
      </c>
      <c r="F276" s="18"/>
      <c r="G276" s="18"/>
    </row>
    <row r="277" spans="1:7" ht="15.75" x14ac:dyDescent="0.25">
      <c r="A277" s="23"/>
      <c r="B277" s="24"/>
      <c r="C277" s="25"/>
      <c r="E277" s="27"/>
      <c r="F277" s="18"/>
      <c r="G277" s="18"/>
    </row>
    <row r="278" spans="1:7" ht="18.75" x14ac:dyDescent="0.3">
      <c r="B278" s="19"/>
      <c r="C278" s="20"/>
      <c r="D278" s="21"/>
      <c r="E278" s="22"/>
      <c r="F278" s="19"/>
      <c r="G278" s="22"/>
    </row>
    <row r="279" spans="1:7" ht="15.75" x14ac:dyDescent="0.25">
      <c r="A279" s="23"/>
      <c r="B279" s="24"/>
      <c r="C279" s="25"/>
      <c r="D279" s="26"/>
      <c r="E279" s="22"/>
      <c r="F279" s="27"/>
      <c r="G279" s="22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Page &amp;P de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5"/>
  <sheetViews>
    <sheetView tabSelected="1" workbookViewId="0">
      <pane ySplit="9" topLeftCell="A10" activePane="bottomLeft" state="frozen"/>
      <selection pane="bottomLeft" activeCell="B44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51" t="s">
        <v>1</v>
      </c>
      <c r="C1" s="51"/>
      <c r="D1" s="51"/>
      <c r="E1" s="2"/>
    </row>
    <row r="2" spans="1:7" ht="27" customHeight="1" x14ac:dyDescent="0.35">
      <c r="A2" s="3" t="s">
        <v>2</v>
      </c>
      <c r="B2" s="52" t="s">
        <v>33</v>
      </c>
      <c r="C2" s="52"/>
      <c r="D2" s="52"/>
      <c r="E2" s="2"/>
    </row>
    <row r="3" spans="1:7" ht="21" x14ac:dyDescent="0.35">
      <c r="A3" s="4"/>
      <c r="B3" s="51" t="s">
        <v>3</v>
      </c>
      <c r="C3" s="51"/>
      <c r="D3" s="51"/>
      <c r="E3" s="2"/>
    </row>
    <row r="4" spans="1:7" ht="17.25" customHeight="1" x14ac:dyDescent="0.25">
      <c r="A4" s="4"/>
      <c r="B4" s="5"/>
      <c r="C4" s="6"/>
      <c r="D4" s="4"/>
    </row>
    <row r="5" spans="1:7" ht="21.75" customHeight="1" x14ac:dyDescent="0.25">
      <c r="A5" s="4"/>
      <c r="B5" s="5" t="s">
        <v>3170</v>
      </c>
      <c r="C5" s="7"/>
      <c r="D5" s="4"/>
    </row>
    <row r="6" spans="1:7" ht="22.5" customHeight="1" x14ac:dyDescent="0.25">
      <c r="A6" s="6"/>
      <c r="B6" s="8" t="s">
        <v>3339</v>
      </c>
      <c r="C6" s="9"/>
      <c r="D6" s="4"/>
    </row>
    <row r="7" spans="1:7" ht="22.5" customHeight="1" x14ac:dyDescent="0.35">
      <c r="A7" s="4"/>
      <c r="B7" s="10"/>
      <c r="C7" s="11" t="s">
        <v>3331</v>
      </c>
      <c r="D7" s="4"/>
    </row>
    <row r="8" spans="1:7" ht="22.5" customHeight="1" x14ac:dyDescent="0.25">
      <c r="A8" s="12"/>
      <c r="B8" s="12"/>
    </row>
    <row r="9" spans="1:7" x14ac:dyDescent="0.25">
      <c r="A9" s="13" t="s">
        <v>4</v>
      </c>
      <c r="B9" s="13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</row>
    <row r="10" spans="1:7" x14ac:dyDescent="0.25">
      <c r="A10" s="13" t="s">
        <v>3330</v>
      </c>
      <c r="B10" s="13">
        <v>700</v>
      </c>
      <c r="C10" s="14" t="str">
        <f>+VLOOKUP(B10,[1]LISTE!$A$1:$D$431,4,FALSE)</f>
        <v>ZORGATI ABDELFATTEH</v>
      </c>
      <c r="D10" s="15" t="s">
        <v>296</v>
      </c>
      <c r="E10" s="15">
        <v>46008</v>
      </c>
      <c r="F10" s="14" t="s">
        <v>23</v>
      </c>
      <c r="G10" s="16">
        <v>50</v>
      </c>
    </row>
    <row r="11" spans="1:7" x14ac:dyDescent="0.25">
      <c r="A11" s="13" t="s">
        <v>3330</v>
      </c>
      <c r="B11" s="13">
        <v>700</v>
      </c>
      <c r="C11" s="14" t="str">
        <f>+VLOOKUP(B11,[1]LISTE!$A$1:$D$431,4,FALSE)</f>
        <v>ZORGATI ABDELFATTEH</v>
      </c>
      <c r="D11" s="15" t="s">
        <v>296</v>
      </c>
      <c r="E11" s="15">
        <v>46014</v>
      </c>
      <c r="F11" s="14" t="s">
        <v>21</v>
      </c>
      <c r="G11" s="16">
        <v>260</v>
      </c>
    </row>
    <row r="12" spans="1:7" x14ac:dyDescent="0.25">
      <c r="A12" s="13" t="s">
        <v>3225</v>
      </c>
      <c r="B12" s="13">
        <v>721</v>
      </c>
      <c r="C12" s="14" t="str">
        <f>+VLOOKUP(B12,[1]LISTE!$A$1:$D$431,4,FALSE)</f>
        <v>BEN ABDELJELIL WAHID</v>
      </c>
      <c r="D12" s="14" t="s">
        <v>22</v>
      </c>
      <c r="E12" s="15">
        <v>45999</v>
      </c>
      <c r="F12" s="14" t="s">
        <v>23</v>
      </c>
      <c r="G12" s="16">
        <v>40</v>
      </c>
    </row>
    <row r="13" spans="1:7" x14ac:dyDescent="0.25">
      <c r="A13" s="13" t="s">
        <v>3225</v>
      </c>
      <c r="B13" s="13">
        <v>721</v>
      </c>
      <c r="C13" s="14" t="str">
        <f>+VLOOKUP(B13,[1]LISTE!$A$1:$D$431,4,FALSE)</f>
        <v>BEN ABDELJELIL WAHID</v>
      </c>
      <c r="D13" s="14" t="s">
        <v>22</v>
      </c>
      <c r="E13" s="15">
        <v>45999</v>
      </c>
      <c r="F13" s="14" t="s">
        <v>20</v>
      </c>
      <c r="G13" s="16">
        <v>4.2450000000000001</v>
      </c>
    </row>
    <row r="14" spans="1:7" x14ac:dyDescent="0.25">
      <c r="A14" s="13" t="s">
        <v>3225</v>
      </c>
      <c r="B14" s="13">
        <v>721</v>
      </c>
      <c r="C14" s="14" t="str">
        <f>+VLOOKUP(B14,[1]LISTE!$A$1:$D$431,4,FALSE)</f>
        <v>BEN ABDELJELIL WAHID</v>
      </c>
      <c r="D14" s="14" t="s">
        <v>22</v>
      </c>
      <c r="E14" s="15">
        <v>45999</v>
      </c>
      <c r="F14" s="14" t="s">
        <v>24</v>
      </c>
      <c r="G14" s="16">
        <v>180</v>
      </c>
    </row>
    <row r="15" spans="1:7" x14ac:dyDescent="0.25">
      <c r="A15" s="13" t="s">
        <v>3225</v>
      </c>
      <c r="B15" s="13">
        <v>721</v>
      </c>
      <c r="C15" s="14" t="str">
        <f>+VLOOKUP(B15,[1]LISTE!$A$1:$D$431,4,FALSE)</f>
        <v>BEN ABDELJELIL WAHID</v>
      </c>
      <c r="D15" s="14" t="s">
        <v>22</v>
      </c>
      <c r="E15" s="15">
        <v>46001</v>
      </c>
      <c r="F15" s="14" t="s">
        <v>25</v>
      </c>
      <c r="G15" s="16">
        <v>150</v>
      </c>
    </row>
    <row r="16" spans="1:7" x14ac:dyDescent="0.25">
      <c r="A16" s="13" t="s">
        <v>3290</v>
      </c>
      <c r="B16" s="13">
        <v>815</v>
      </c>
      <c r="C16" s="14" t="str">
        <f>+VLOOKUP(B16,[1]LISTE!$A$1:$D$431,4,FALSE)</f>
        <v>DAHMANI HAFSI</v>
      </c>
      <c r="D16" s="15" t="s">
        <v>22</v>
      </c>
      <c r="E16" s="15">
        <v>46013</v>
      </c>
      <c r="F16" s="14" t="s">
        <v>23</v>
      </c>
      <c r="G16" s="16">
        <v>50</v>
      </c>
    </row>
    <row r="17" spans="1:7" x14ac:dyDescent="0.25">
      <c r="A17" s="13" t="s">
        <v>3290</v>
      </c>
      <c r="B17" s="13">
        <v>815</v>
      </c>
      <c r="C17" s="14" t="str">
        <f>+VLOOKUP(B17,[1]LISTE!$A$1:$D$431,4,FALSE)</f>
        <v>DAHMANI HAFSI</v>
      </c>
      <c r="D17" s="15" t="s">
        <v>22</v>
      </c>
      <c r="E17" s="15">
        <v>46013</v>
      </c>
      <c r="F17" s="14" t="s">
        <v>20</v>
      </c>
      <c r="G17" s="16">
        <v>69.216999999999999</v>
      </c>
    </row>
    <row r="18" spans="1:7" x14ac:dyDescent="0.25">
      <c r="A18" s="13" t="s">
        <v>3290</v>
      </c>
      <c r="B18" s="13">
        <v>815</v>
      </c>
      <c r="C18" s="14" t="str">
        <f>+VLOOKUP(B18,[1]LISTE!$A$1:$D$431,4,FALSE)</f>
        <v>DAHMANI HAFSI</v>
      </c>
      <c r="D18" s="15" t="s">
        <v>22</v>
      </c>
      <c r="E18" s="15">
        <v>46013</v>
      </c>
      <c r="F18" s="14" t="s">
        <v>65</v>
      </c>
      <c r="G18" s="16">
        <v>8</v>
      </c>
    </row>
    <row r="19" spans="1:7" x14ac:dyDescent="0.25">
      <c r="A19" s="13" t="s">
        <v>3321</v>
      </c>
      <c r="B19" s="13">
        <v>815</v>
      </c>
      <c r="C19" s="14" t="str">
        <f>+VLOOKUP(B19,[1]LISTE!$A$1:$D$431,4,FALSE)</f>
        <v>DAHMANI HAFSI</v>
      </c>
      <c r="D19" s="15" t="s">
        <v>128</v>
      </c>
      <c r="E19" s="15">
        <v>46015</v>
      </c>
      <c r="F19" s="14" t="s">
        <v>20</v>
      </c>
      <c r="G19" s="16">
        <v>39.212000000000003</v>
      </c>
    </row>
    <row r="20" spans="1:7" x14ac:dyDescent="0.25">
      <c r="A20" s="13" t="s">
        <v>3223</v>
      </c>
      <c r="B20" s="13">
        <v>832</v>
      </c>
      <c r="C20" s="14" t="str">
        <f>+VLOOKUP(B20,[1]LISTE!$A$1:$D$431,4,FALSE)</f>
        <v>ABBASSI LOTFI</v>
      </c>
      <c r="D20" s="15" t="s">
        <v>22</v>
      </c>
      <c r="E20" s="15">
        <v>46006</v>
      </c>
      <c r="F20" s="14" t="s">
        <v>69</v>
      </c>
      <c r="G20" s="16">
        <v>260</v>
      </c>
    </row>
    <row r="21" spans="1:7" x14ac:dyDescent="0.25">
      <c r="A21" s="13" t="s">
        <v>3238</v>
      </c>
      <c r="B21" s="13">
        <v>919</v>
      </c>
      <c r="C21" s="14" t="str">
        <f>+VLOOKUP(B21,[1]LISTE!$A$1:$D$431,4,FALSE)</f>
        <v>KARMOUS TAREK</v>
      </c>
      <c r="D21" s="15" t="s">
        <v>613</v>
      </c>
      <c r="E21" s="15">
        <v>46001</v>
      </c>
      <c r="F21" s="14" t="s">
        <v>18</v>
      </c>
      <c r="G21" s="16">
        <v>70</v>
      </c>
    </row>
    <row r="22" spans="1:7" x14ac:dyDescent="0.25">
      <c r="A22" s="13" t="s">
        <v>3238</v>
      </c>
      <c r="B22" s="13">
        <v>919</v>
      </c>
      <c r="C22" s="14" t="str">
        <f>+VLOOKUP(B22,[1]LISTE!$A$1:$D$431,4,FALSE)</f>
        <v>KARMOUS TAREK</v>
      </c>
      <c r="D22" s="15" t="s">
        <v>613</v>
      </c>
      <c r="E22" s="15">
        <v>46001</v>
      </c>
      <c r="F22" s="14" t="s">
        <v>20</v>
      </c>
      <c r="G22" s="16">
        <v>65.015000000000001</v>
      </c>
    </row>
    <row r="23" spans="1:7" x14ac:dyDescent="0.25">
      <c r="A23" s="13" t="s">
        <v>3270</v>
      </c>
      <c r="B23" s="13">
        <v>919</v>
      </c>
      <c r="C23" s="14" t="str">
        <f>+VLOOKUP(B23,[1]LISTE!$A$1:$D$431,4,FALSE)</f>
        <v>KARMOUS TAREK</v>
      </c>
      <c r="D23" s="14" t="s">
        <v>613</v>
      </c>
      <c r="E23" s="15">
        <v>45999</v>
      </c>
      <c r="F23" s="14" t="s">
        <v>21</v>
      </c>
      <c r="G23" s="16">
        <v>160</v>
      </c>
    </row>
    <row r="24" spans="1:7" x14ac:dyDescent="0.25">
      <c r="A24" s="13" t="s">
        <v>3275</v>
      </c>
      <c r="B24" s="13">
        <v>990</v>
      </c>
      <c r="C24" s="14" t="str">
        <f>+VLOOKUP(B24,[1]LISTE!$A$1:$D$431,4,FALSE)</f>
        <v>GARDALLOU SAMIR</v>
      </c>
      <c r="D24" s="15" t="s">
        <v>303</v>
      </c>
      <c r="E24" s="15">
        <v>45979</v>
      </c>
      <c r="F24" s="14" t="s">
        <v>69</v>
      </c>
      <c r="G24" s="16">
        <v>120</v>
      </c>
    </row>
    <row r="25" spans="1:7" x14ac:dyDescent="0.25">
      <c r="A25" s="13" t="s">
        <v>3247</v>
      </c>
      <c r="B25" s="13">
        <v>997</v>
      </c>
      <c r="C25" s="14" t="str">
        <f>+VLOOKUP(B25,[1]LISTE!$A$1:$D$431,4,FALSE)</f>
        <v>KOIUISSAH MAHJOUB SLAH</v>
      </c>
      <c r="D25" s="14" t="s">
        <v>22</v>
      </c>
      <c r="E25" s="15">
        <v>45994</v>
      </c>
      <c r="F25" s="14" t="s">
        <v>23</v>
      </c>
      <c r="G25" s="16">
        <v>50</v>
      </c>
    </row>
    <row r="26" spans="1:7" x14ac:dyDescent="0.25">
      <c r="A26" s="13" t="s">
        <v>3247</v>
      </c>
      <c r="B26" s="13">
        <v>997</v>
      </c>
      <c r="C26" s="14" t="str">
        <f>+VLOOKUP(B26,[1]LISTE!$A$1:$D$431,4,FALSE)</f>
        <v>KOIUISSAH MAHJOUB SLAH</v>
      </c>
      <c r="D26" s="14" t="s">
        <v>22</v>
      </c>
      <c r="E26" s="15">
        <v>45994</v>
      </c>
      <c r="F26" s="14" t="s">
        <v>20</v>
      </c>
      <c r="G26" s="16">
        <v>2.68</v>
      </c>
    </row>
    <row r="27" spans="1:7" x14ac:dyDescent="0.25">
      <c r="A27" s="13" t="s">
        <v>3247</v>
      </c>
      <c r="B27" s="13">
        <v>997</v>
      </c>
      <c r="C27" s="14" t="str">
        <f>+VLOOKUP(B27,[1]LISTE!$A$1:$D$431,4,FALSE)</f>
        <v>KOIUISSAH MAHJOUB SLAH</v>
      </c>
      <c r="D27" s="14" t="s">
        <v>22</v>
      </c>
      <c r="E27" s="15">
        <v>46007</v>
      </c>
      <c r="F27" s="14" t="s">
        <v>24</v>
      </c>
      <c r="G27" s="16">
        <v>360</v>
      </c>
    </row>
    <row r="28" spans="1:7" x14ac:dyDescent="0.25">
      <c r="A28" s="13" t="s">
        <v>3232</v>
      </c>
      <c r="B28" s="13">
        <v>1511</v>
      </c>
      <c r="C28" s="14" t="str">
        <f>+VLOOKUP(B28,[1]LISTE!$A$1:$D$431,4,FALSE)</f>
        <v>SOYAH NEJIB</v>
      </c>
      <c r="D28" s="15" t="s">
        <v>1156</v>
      </c>
      <c r="E28" s="15">
        <v>45996</v>
      </c>
      <c r="F28" s="14" t="s">
        <v>23</v>
      </c>
      <c r="G28" s="16">
        <v>40</v>
      </c>
    </row>
    <row r="29" spans="1:7" x14ac:dyDescent="0.25">
      <c r="A29" s="13" t="s">
        <v>3232</v>
      </c>
      <c r="B29" s="13">
        <v>1511</v>
      </c>
      <c r="C29" s="14" t="str">
        <f>+VLOOKUP(B29,[1]LISTE!$A$1:$D$431,4,FALSE)</f>
        <v>SOYAH NEJIB</v>
      </c>
      <c r="D29" s="15" t="s">
        <v>1156</v>
      </c>
      <c r="E29" s="15">
        <v>45996</v>
      </c>
      <c r="F29" s="14" t="s">
        <v>20</v>
      </c>
      <c r="G29" s="16">
        <v>17.23</v>
      </c>
    </row>
    <row r="30" spans="1:7" x14ac:dyDescent="0.25">
      <c r="A30" s="13" t="s">
        <v>3233</v>
      </c>
      <c r="B30" s="13">
        <v>1511</v>
      </c>
      <c r="C30" s="14" t="str">
        <f>+VLOOKUP(B30,[1]LISTE!$A$1:$D$431,4,FALSE)</f>
        <v>SOYAH NEJIB</v>
      </c>
      <c r="D30" s="15" t="s">
        <v>22</v>
      </c>
      <c r="E30" s="15">
        <v>45988</v>
      </c>
      <c r="F30" s="14" t="s">
        <v>18</v>
      </c>
      <c r="G30" s="16">
        <v>70</v>
      </c>
    </row>
    <row r="31" spans="1:7" x14ac:dyDescent="0.25">
      <c r="A31" s="13" t="s">
        <v>3233</v>
      </c>
      <c r="B31" s="13">
        <v>1511</v>
      </c>
      <c r="C31" s="14" t="str">
        <f>+VLOOKUP(B31,[1]LISTE!$A$1:$D$431,4,FALSE)</f>
        <v>SOYAH NEJIB</v>
      </c>
      <c r="D31" s="14" t="s">
        <v>22</v>
      </c>
      <c r="E31" s="15">
        <v>45999</v>
      </c>
      <c r="F31" s="14" t="s">
        <v>69</v>
      </c>
      <c r="G31" s="16">
        <v>550</v>
      </c>
    </row>
    <row r="32" spans="1:7" x14ac:dyDescent="0.25">
      <c r="A32" s="13" t="s">
        <v>3328</v>
      </c>
      <c r="B32" s="13">
        <v>1511</v>
      </c>
      <c r="C32" s="14" t="str">
        <f>+VLOOKUP(B32,[1]LISTE!$A$1:$D$431,4,FALSE)</f>
        <v>SOYAH NEJIB</v>
      </c>
      <c r="D32" s="15" t="s">
        <v>3022</v>
      </c>
      <c r="E32" s="15">
        <v>46008</v>
      </c>
      <c r="F32" s="14" t="s">
        <v>23</v>
      </c>
      <c r="G32" s="16">
        <v>40</v>
      </c>
    </row>
    <row r="33" spans="1:7" x14ac:dyDescent="0.25">
      <c r="A33" s="13" t="s">
        <v>3328</v>
      </c>
      <c r="B33" s="13">
        <v>1511</v>
      </c>
      <c r="C33" s="14" t="str">
        <f>+VLOOKUP(B33,[1]LISTE!$A$1:$D$431,4,FALSE)</f>
        <v>SOYAH NEJIB</v>
      </c>
      <c r="D33" s="15" t="s">
        <v>3022</v>
      </c>
      <c r="E33" s="15">
        <v>46008</v>
      </c>
      <c r="F33" s="14" t="s">
        <v>20</v>
      </c>
      <c r="G33" s="16">
        <v>28.861000000000001</v>
      </c>
    </row>
    <row r="34" spans="1:7" x14ac:dyDescent="0.25">
      <c r="A34" s="13" t="s">
        <v>3301</v>
      </c>
      <c r="B34" s="13">
        <v>1535</v>
      </c>
      <c r="C34" s="14" t="str">
        <f>+VLOOKUP(B34,[1]LISTE!$A$1:$D$431,4,FALSE)</f>
        <v>ROUIS LOTFI</v>
      </c>
      <c r="D34" s="15" t="s">
        <v>37</v>
      </c>
      <c r="E34" s="15">
        <v>46019</v>
      </c>
      <c r="F34" s="14" t="s">
        <v>69</v>
      </c>
      <c r="G34" s="16">
        <v>520</v>
      </c>
    </row>
    <row r="35" spans="1:7" x14ac:dyDescent="0.25">
      <c r="A35" s="13" t="s">
        <v>3229</v>
      </c>
      <c r="B35" s="13">
        <v>1548</v>
      </c>
      <c r="C35" s="14" t="str">
        <f>+VLOOKUP(B35,[1]LISTE!$A$1:$D$431,4,FALSE)</f>
        <v>YOUSSEF WAHID</v>
      </c>
      <c r="D35" s="14" t="s">
        <v>212</v>
      </c>
      <c r="E35" s="15">
        <v>46007</v>
      </c>
      <c r="F35" s="14" t="s">
        <v>18</v>
      </c>
      <c r="G35" s="16">
        <v>60</v>
      </c>
    </row>
    <row r="36" spans="1:7" x14ac:dyDescent="0.25">
      <c r="A36" s="13" t="s">
        <v>3229</v>
      </c>
      <c r="B36" s="13">
        <v>1548</v>
      </c>
      <c r="C36" s="14" t="str">
        <f>+VLOOKUP(B36,[1]LISTE!$A$1:$D$431,4,FALSE)</f>
        <v>YOUSSEF WAHID</v>
      </c>
      <c r="D36" s="15" t="s">
        <v>212</v>
      </c>
      <c r="E36" s="15">
        <v>46007</v>
      </c>
      <c r="F36" s="14" t="s">
        <v>20</v>
      </c>
      <c r="G36" s="16">
        <v>44.805</v>
      </c>
    </row>
    <row r="37" spans="1:7" x14ac:dyDescent="0.25">
      <c r="A37" s="13" t="s">
        <v>3191</v>
      </c>
      <c r="B37" s="13">
        <v>1555</v>
      </c>
      <c r="C37" s="14" t="str">
        <f>+VLOOKUP(B37,[1]LISTE!$A$1:$D$431,4,FALSE)</f>
        <v>FHIMA HAMDI</v>
      </c>
      <c r="D37" s="15" t="s">
        <v>506</v>
      </c>
      <c r="E37" s="15">
        <v>45987</v>
      </c>
      <c r="F37" s="14" t="s">
        <v>363</v>
      </c>
      <c r="G37" s="16">
        <v>1000</v>
      </c>
    </row>
    <row r="38" spans="1:7" x14ac:dyDescent="0.25">
      <c r="A38" s="13" t="s">
        <v>3191</v>
      </c>
      <c r="B38" s="13">
        <v>1555</v>
      </c>
      <c r="C38" s="14" t="str">
        <f>+VLOOKUP(B38,[1]LISTE!$A$1:$D$431,4,FALSE)</f>
        <v>FHIMA HAMDI</v>
      </c>
      <c r="D38" s="14" t="s">
        <v>506</v>
      </c>
      <c r="E38" s="15">
        <v>45987</v>
      </c>
      <c r="F38" s="14" t="s">
        <v>20</v>
      </c>
      <c r="G38" s="16">
        <v>26.015999999999998</v>
      </c>
    </row>
    <row r="39" spans="1:7" x14ac:dyDescent="0.25">
      <c r="A39" s="13" t="s">
        <v>3191</v>
      </c>
      <c r="B39" s="13">
        <v>1555</v>
      </c>
      <c r="C39" s="14" t="str">
        <f>+VLOOKUP(B39,[1]LISTE!$A$1:$D$431,4,FALSE)</f>
        <v>FHIMA HAMDI</v>
      </c>
      <c r="D39" s="15" t="s">
        <v>506</v>
      </c>
      <c r="E39" s="15">
        <v>45987</v>
      </c>
      <c r="F39" s="14" t="s">
        <v>20</v>
      </c>
      <c r="G39" s="16">
        <v>4.5650000000000004</v>
      </c>
    </row>
    <row r="40" spans="1:7" x14ac:dyDescent="0.25">
      <c r="A40" s="13" t="s">
        <v>3191</v>
      </c>
      <c r="B40" s="13">
        <v>1555</v>
      </c>
      <c r="C40" s="14" t="str">
        <f>+VLOOKUP(B40,[1]LISTE!$A$1:$D$431,4,FALSE)</f>
        <v>FHIMA HAMDI</v>
      </c>
      <c r="D40" s="14" t="s">
        <v>506</v>
      </c>
      <c r="E40" s="15">
        <v>45987</v>
      </c>
      <c r="F40" s="14" t="s">
        <v>363</v>
      </c>
      <c r="G40" s="16">
        <v>100</v>
      </c>
    </row>
    <row r="41" spans="1:7" x14ac:dyDescent="0.25">
      <c r="A41" s="13" t="s">
        <v>3191</v>
      </c>
      <c r="B41" s="13">
        <v>1555</v>
      </c>
      <c r="C41" s="14" t="str">
        <f>+VLOOKUP(B41,[1]LISTE!$A$1:$D$431,4,FALSE)</f>
        <v>FHIMA HAMDI</v>
      </c>
      <c r="D41" s="14" t="s">
        <v>506</v>
      </c>
      <c r="E41" s="15">
        <v>45987</v>
      </c>
      <c r="F41" s="14" t="s">
        <v>364</v>
      </c>
      <c r="G41" s="16">
        <v>991.03399999999999</v>
      </c>
    </row>
    <row r="42" spans="1:7" x14ac:dyDescent="0.25">
      <c r="A42" s="13" t="s">
        <v>3192</v>
      </c>
      <c r="B42" s="13">
        <v>1555</v>
      </c>
      <c r="C42" s="14" t="str">
        <f>+VLOOKUP(B42,[1]LISTE!$A$1:$D$431,4,FALSE)</f>
        <v>FHIMA HAMDI</v>
      </c>
      <c r="D42" s="14" t="s">
        <v>506</v>
      </c>
      <c r="E42" s="15">
        <v>45990</v>
      </c>
      <c r="F42" s="14" t="s">
        <v>20</v>
      </c>
      <c r="G42" s="16">
        <v>35.048000000000002</v>
      </c>
    </row>
    <row r="43" spans="1:7" x14ac:dyDescent="0.25">
      <c r="A43" s="13" t="s">
        <v>3192</v>
      </c>
      <c r="B43" s="13">
        <v>1555</v>
      </c>
      <c r="C43" s="14" t="str">
        <f>+VLOOKUP(B43,[1]LISTE!$A$1:$D$431,4,FALSE)</f>
        <v>FHIMA HAMDI</v>
      </c>
      <c r="D43" s="14" t="s">
        <v>506</v>
      </c>
      <c r="E43" s="15">
        <v>46002</v>
      </c>
      <c r="F43" s="14" t="s">
        <v>20</v>
      </c>
      <c r="G43" s="16">
        <v>105.14400000000001</v>
      </c>
    </row>
    <row r="44" spans="1:7" x14ac:dyDescent="0.25">
      <c r="A44" s="13" t="s">
        <v>3276</v>
      </c>
      <c r="B44" s="13">
        <v>1556</v>
      </c>
      <c r="C44" s="14" t="str">
        <f>+VLOOKUP(B44,[1]LISTE!$A$1:$D$431,4,FALSE)</f>
        <v>LOGHMARI KHELIL</v>
      </c>
      <c r="D44" s="15" t="s">
        <v>22</v>
      </c>
      <c r="E44" s="15">
        <v>45996</v>
      </c>
      <c r="F44" s="14" t="s">
        <v>18</v>
      </c>
      <c r="G44" s="16">
        <v>70</v>
      </c>
    </row>
    <row r="45" spans="1:7" x14ac:dyDescent="0.25">
      <c r="A45" s="13" t="s">
        <v>3276</v>
      </c>
      <c r="B45" s="13">
        <v>1556</v>
      </c>
      <c r="C45" s="14" t="str">
        <f>+VLOOKUP(B45,[1]LISTE!$A$1:$D$431,4,FALSE)</f>
        <v>LOGHMARI KHELIL</v>
      </c>
      <c r="D45" s="15" t="s">
        <v>22</v>
      </c>
      <c r="E45" s="15">
        <v>45996</v>
      </c>
      <c r="F45" s="14" t="s">
        <v>69</v>
      </c>
      <c r="G45" s="16">
        <v>280</v>
      </c>
    </row>
    <row r="46" spans="1:7" x14ac:dyDescent="0.25">
      <c r="A46" s="13" t="s">
        <v>3186</v>
      </c>
      <c r="B46" s="13">
        <v>1561</v>
      </c>
      <c r="C46" s="14" t="str">
        <f>+VLOOKUP(B46,[1]LISTE!$A$1:$D$431,4,FALSE)</f>
        <v>JMEGUER SAMI</v>
      </c>
      <c r="D46" s="14" t="s">
        <v>277</v>
      </c>
      <c r="E46" s="15">
        <v>46005</v>
      </c>
      <c r="F46" s="14" t="s">
        <v>23</v>
      </c>
      <c r="G46" s="16">
        <v>40</v>
      </c>
    </row>
    <row r="47" spans="1:7" x14ac:dyDescent="0.25">
      <c r="A47" s="13" t="s">
        <v>3186</v>
      </c>
      <c r="B47" s="13">
        <v>1561</v>
      </c>
      <c r="C47" s="14" t="str">
        <f>+VLOOKUP(B47,[1]LISTE!$A$1:$D$431,4,FALSE)</f>
        <v>JMEGUER SAMI</v>
      </c>
      <c r="D47" s="14" t="s">
        <v>277</v>
      </c>
      <c r="E47" s="15">
        <v>46005</v>
      </c>
      <c r="F47" s="14" t="s">
        <v>20</v>
      </c>
      <c r="G47" s="16">
        <v>21.625</v>
      </c>
    </row>
    <row r="48" spans="1:7" x14ac:dyDescent="0.25">
      <c r="A48" s="13" t="s">
        <v>3187</v>
      </c>
      <c r="B48" s="13">
        <v>1561</v>
      </c>
      <c r="C48" s="14" t="str">
        <f>+VLOOKUP(B48,[1]LISTE!$A$1:$D$431,4,FALSE)</f>
        <v>JMEGUER SAMI</v>
      </c>
      <c r="D48" s="14" t="s">
        <v>22</v>
      </c>
      <c r="E48" s="15">
        <v>46005</v>
      </c>
      <c r="F48" s="14" t="s">
        <v>20</v>
      </c>
      <c r="G48" s="16">
        <v>200.22</v>
      </c>
    </row>
    <row r="49" spans="1:7" x14ac:dyDescent="0.25">
      <c r="A49" s="13" t="s">
        <v>3320</v>
      </c>
      <c r="B49" s="13">
        <v>1572</v>
      </c>
      <c r="C49" s="14" t="str">
        <f>+VLOOKUP(B49,[1]LISTE!$A$1:$D$431,4,FALSE)</f>
        <v>MIMOUNA MEHDI</v>
      </c>
      <c r="D49" s="15" t="s">
        <v>311</v>
      </c>
      <c r="E49" s="15">
        <v>46007</v>
      </c>
      <c r="F49" s="14" t="s">
        <v>24</v>
      </c>
      <c r="G49" s="16">
        <v>1000</v>
      </c>
    </row>
    <row r="50" spans="1:7" x14ac:dyDescent="0.25">
      <c r="A50" s="13" t="s">
        <v>3286</v>
      </c>
      <c r="B50" s="13">
        <v>1590</v>
      </c>
      <c r="C50" s="14" t="str">
        <f>+VLOOKUP(B50,[1]LISTE!$A$1:$D$431,4,FALSE)</f>
        <v>ABDELLAH HASSINE</v>
      </c>
      <c r="D50" s="14" t="s">
        <v>650</v>
      </c>
      <c r="E50" s="15">
        <v>46001</v>
      </c>
      <c r="F50" s="14" t="s">
        <v>23</v>
      </c>
      <c r="G50" s="16">
        <v>40</v>
      </c>
    </row>
    <row r="51" spans="1:7" x14ac:dyDescent="0.25">
      <c r="A51" s="13" t="s">
        <v>3286</v>
      </c>
      <c r="B51" s="13">
        <v>1590</v>
      </c>
      <c r="C51" s="14" t="str">
        <f>+VLOOKUP(B51,[1]LISTE!$A$1:$D$431,4,FALSE)</f>
        <v>ABDELLAH HASSINE</v>
      </c>
      <c r="D51" s="14" t="s">
        <v>650</v>
      </c>
      <c r="E51" s="15">
        <v>46001</v>
      </c>
      <c r="F51" s="14" t="s">
        <v>20</v>
      </c>
      <c r="G51" s="16">
        <v>23.864999999999998</v>
      </c>
    </row>
    <row r="52" spans="1:7" x14ac:dyDescent="0.25">
      <c r="A52" s="13" t="s">
        <v>3287</v>
      </c>
      <c r="B52" s="13">
        <v>1590</v>
      </c>
      <c r="C52" s="14" t="str">
        <f>+VLOOKUP(B52,[1]LISTE!$A$1:$D$431,4,FALSE)</f>
        <v>ABDELLAH HASSINE</v>
      </c>
      <c r="D52" s="15" t="s">
        <v>200</v>
      </c>
      <c r="E52" s="15">
        <v>46003</v>
      </c>
      <c r="F52" s="14" t="s">
        <v>23</v>
      </c>
      <c r="G52" s="16">
        <v>40</v>
      </c>
    </row>
    <row r="53" spans="1:7" x14ac:dyDescent="0.25">
      <c r="A53" s="13" t="s">
        <v>3287</v>
      </c>
      <c r="B53" s="13">
        <v>1590</v>
      </c>
      <c r="C53" s="14" t="str">
        <f>+VLOOKUP(B53,[1]LISTE!$A$1:$D$431,4,FALSE)</f>
        <v>ABDELLAH HASSINE</v>
      </c>
      <c r="D53" s="15" t="s">
        <v>200</v>
      </c>
      <c r="E53" s="15">
        <v>46003</v>
      </c>
      <c r="F53" s="14" t="s">
        <v>20</v>
      </c>
      <c r="G53" s="16">
        <v>23.835000000000001</v>
      </c>
    </row>
    <row r="54" spans="1:7" x14ac:dyDescent="0.25">
      <c r="A54" s="13" t="s">
        <v>3239</v>
      </c>
      <c r="B54" s="13">
        <v>1591</v>
      </c>
      <c r="C54" s="14" t="str">
        <f>+VLOOKUP(B54,[1]LISTE!$A$1:$D$431,4,FALSE)</f>
        <v>BDAY KARIM</v>
      </c>
      <c r="D54" s="15" t="s">
        <v>311</v>
      </c>
      <c r="E54" s="15">
        <v>46005</v>
      </c>
      <c r="F54" s="14" t="s">
        <v>23</v>
      </c>
      <c r="G54" s="16">
        <v>3</v>
      </c>
    </row>
    <row r="55" spans="1:7" x14ac:dyDescent="0.25">
      <c r="A55" s="13" t="s">
        <v>3239</v>
      </c>
      <c r="B55" s="13">
        <v>1591</v>
      </c>
      <c r="C55" s="14" t="str">
        <f>+VLOOKUP(B55,[1]LISTE!$A$1:$D$431,4,FALSE)</f>
        <v>BDAY KARIM</v>
      </c>
      <c r="D55" s="15" t="s">
        <v>311</v>
      </c>
      <c r="E55" s="15">
        <v>46005</v>
      </c>
      <c r="F55" s="14" t="s">
        <v>20</v>
      </c>
      <c r="G55" s="16">
        <v>46.65</v>
      </c>
    </row>
    <row r="56" spans="1:7" x14ac:dyDescent="0.25">
      <c r="A56" s="13" t="s">
        <v>3279</v>
      </c>
      <c r="B56" s="13">
        <v>1591</v>
      </c>
      <c r="C56" s="14" t="str">
        <f>+VLOOKUP(B56,[1]LISTE!$A$1:$D$431,4,FALSE)</f>
        <v>BDAY KARIM</v>
      </c>
      <c r="D56" s="15" t="s">
        <v>368</v>
      </c>
      <c r="E56" s="15">
        <v>46004</v>
      </c>
      <c r="F56" s="14" t="s">
        <v>23</v>
      </c>
      <c r="G56" s="16">
        <v>45</v>
      </c>
    </row>
    <row r="57" spans="1:7" x14ac:dyDescent="0.25">
      <c r="A57" s="13" t="s">
        <v>3279</v>
      </c>
      <c r="B57" s="13">
        <v>1591</v>
      </c>
      <c r="C57" s="14" t="str">
        <f>+VLOOKUP(B57,[1]LISTE!$A$1:$D$431,4,FALSE)</f>
        <v>BDAY KARIM</v>
      </c>
      <c r="D57" s="14" t="s">
        <v>368</v>
      </c>
      <c r="E57" s="15">
        <v>46004</v>
      </c>
      <c r="F57" s="14" t="s">
        <v>20</v>
      </c>
      <c r="G57" s="16">
        <v>28.207000000000001</v>
      </c>
    </row>
    <row r="58" spans="1:7" x14ac:dyDescent="0.25">
      <c r="A58" s="13" t="s">
        <v>3182</v>
      </c>
      <c r="B58" s="13">
        <v>1596</v>
      </c>
      <c r="C58" s="14" t="str">
        <f>+VLOOKUP(B58,[1]LISTE!$A$1:$D$431,4,FALSE)</f>
        <v>GORCHENE NOUREDDINE</v>
      </c>
      <c r="D58" s="15" t="s">
        <v>3183</v>
      </c>
      <c r="E58" s="15">
        <v>46002</v>
      </c>
      <c r="F58" s="14" t="s">
        <v>18</v>
      </c>
      <c r="G58" s="16">
        <v>70</v>
      </c>
    </row>
    <row r="59" spans="1:7" x14ac:dyDescent="0.25">
      <c r="A59" s="13" t="s">
        <v>3182</v>
      </c>
      <c r="B59" s="13">
        <v>1596</v>
      </c>
      <c r="C59" s="14" t="str">
        <f>+VLOOKUP(B59,[1]LISTE!$A$1:$D$431,4,FALSE)</f>
        <v>GORCHENE NOUREDDINE</v>
      </c>
      <c r="D59" s="15" t="s">
        <v>3183</v>
      </c>
      <c r="E59" s="15">
        <v>46004</v>
      </c>
      <c r="F59" s="14" t="s">
        <v>69</v>
      </c>
      <c r="G59" s="16">
        <v>120</v>
      </c>
    </row>
    <row r="60" spans="1:7" x14ac:dyDescent="0.25">
      <c r="A60" s="13" t="s">
        <v>3336</v>
      </c>
      <c r="B60" s="13">
        <v>1597</v>
      </c>
      <c r="C60" s="14" t="str">
        <f>+VLOOKUP(B60,[1]LISTE!$A$1:$D$431,4,FALSE)</f>
        <v>AMARA KARIM</v>
      </c>
      <c r="D60" s="15" t="s">
        <v>3128</v>
      </c>
      <c r="E60" s="15">
        <v>46015</v>
      </c>
      <c r="F60" s="14" t="s">
        <v>23</v>
      </c>
      <c r="G60" s="16">
        <v>45</v>
      </c>
    </row>
    <row r="61" spans="1:7" x14ac:dyDescent="0.25">
      <c r="A61" s="13" t="s">
        <v>3336</v>
      </c>
      <c r="B61" s="13">
        <v>1597</v>
      </c>
      <c r="C61" s="14" t="str">
        <f>+VLOOKUP(B61,[1]LISTE!$A$1:$D$431,4,FALSE)</f>
        <v>AMARA KARIM</v>
      </c>
      <c r="D61" s="15" t="s">
        <v>3128</v>
      </c>
      <c r="E61" s="15">
        <v>46015</v>
      </c>
      <c r="F61" s="14" t="s">
        <v>20</v>
      </c>
      <c r="G61" s="16">
        <v>54.884999999999998</v>
      </c>
    </row>
    <row r="62" spans="1:7" x14ac:dyDescent="0.25">
      <c r="A62" s="13" t="s">
        <v>3337</v>
      </c>
      <c r="B62" s="13">
        <v>1597</v>
      </c>
      <c r="C62" s="14" t="str">
        <f>+VLOOKUP(B62,[1]LISTE!$A$1:$D$431,4,FALSE)</f>
        <v>AMARA KARIM</v>
      </c>
      <c r="D62" s="15" t="s">
        <v>182</v>
      </c>
      <c r="E62" s="15">
        <v>45995</v>
      </c>
      <c r="F62" s="14" t="s">
        <v>18</v>
      </c>
      <c r="G62" s="16">
        <v>70</v>
      </c>
    </row>
    <row r="63" spans="1:7" x14ac:dyDescent="0.25">
      <c r="A63" s="13" t="s">
        <v>3337</v>
      </c>
      <c r="B63" s="13">
        <v>1597</v>
      </c>
      <c r="C63" s="14" t="str">
        <f>+VLOOKUP(B63,[1]LISTE!$A$1:$D$431,4,FALSE)</f>
        <v>AMARA KARIM</v>
      </c>
      <c r="D63" s="15" t="s">
        <v>182</v>
      </c>
      <c r="E63" s="15">
        <v>45995</v>
      </c>
      <c r="F63" s="14" t="s">
        <v>20</v>
      </c>
      <c r="G63" s="16">
        <v>10.96</v>
      </c>
    </row>
    <row r="64" spans="1:7" x14ac:dyDescent="0.25">
      <c r="A64" s="13" t="s">
        <v>3185</v>
      </c>
      <c r="B64" s="13">
        <v>1603</v>
      </c>
      <c r="C64" s="14" t="str">
        <f>+VLOOKUP(B64,[1]LISTE!$A$1:$D$431,4,FALSE)</f>
        <v>MANSOUR SALHA</v>
      </c>
      <c r="D64" s="14" t="s">
        <v>22</v>
      </c>
      <c r="E64" s="15">
        <v>45993</v>
      </c>
      <c r="F64" s="14" t="s">
        <v>18</v>
      </c>
      <c r="G64" s="16">
        <v>70</v>
      </c>
    </row>
    <row r="65" spans="1:7" x14ac:dyDescent="0.25">
      <c r="A65" s="13" t="s">
        <v>3185</v>
      </c>
      <c r="B65" s="13">
        <v>1603</v>
      </c>
      <c r="C65" s="14" t="str">
        <f>+VLOOKUP(B65,[1]LISTE!$A$1:$D$431,4,FALSE)</f>
        <v>MANSOUR SALHA</v>
      </c>
      <c r="D65" s="15" t="s">
        <v>22</v>
      </c>
      <c r="E65" s="15">
        <v>45993</v>
      </c>
      <c r="F65" s="14" t="s">
        <v>20</v>
      </c>
      <c r="G65" s="16">
        <v>10.287000000000001</v>
      </c>
    </row>
    <row r="66" spans="1:7" x14ac:dyDescent="0.25">
      <c r="A66" s="13" t="s">
        <v>3185</v>
      </c>
      <c r="B66" s="13">
        <v>1603</v>
      </c>
      <c r="C66" s="14" t="str">
        <f>+VLOOKUP(B66,[1]LISTE!$A$1:$D$431,4,FALSE)</f>
        <v>MANSOUR SALHA</v>
      </c>
      <c r="D66" s="15" t="s">
        <v>22</v>
      </c>
      <c r="E66" s="15">
        <v>46002</v>
      </c>
      <c r="F66" s="14" t="s">
        <v>69</v>
      </c>
      <c r="G66" s="16">
        <v>1454</v>
      </c>
    </row>
    <row r="67" spans="1:7" x14ac:dyDescent="0.25">
      <c r="A67" s="13" t="s">
        <v>3171</v>
      </c>
      <c r="B67" s="13">
        <v>1612</v>
      </c>
      <c r="C67" s="14" t="str">
        <f>+VLOOKUP(B67,[1]LISTE!$A$1:$D$431,4,FALSE)</f>
        <v>LADHERI NAJEH</v>
      </c>
      <c r="D67" s="15" t="s">
        <v>200</v>
      </c>
      <c r="E67" s="15">
        <v>46002</v>
      </c>
      <c r="F67" s="14" t="s">
        <v>23</v>
      </c>
      <c r="G67" s="16">
        <v>50</v>
      </c>
    </row>
    <row r="68" spans="1:7" x14ac:dyDescent="0.25">
      <c r="A68" s="13" t="s">
        <v>3171</v>
      </c>
      <c r="B68" s="13">
        <v>1612</v>
      </c>
      <c r="C68" s="14" t="str">
        <f>+VLOOKUP(B68,[1]LISTE!$A$1:$D$431,4,FALSE)</f>
        <v>LADHERI NAJEH</v>
      </c>
      <c r="D68" s="15" t="s">
        <v>200</v>
      </c>
      <c r="E68" s="15">
        <v>46002</v>
      </c>
      <c r="F68" s="14" t="s">
        <v>20</v>
      </c>
      <c r="G68" s="16">
        <v>29.405000000000001</v>
      </c>
    </row>
    <row r="69" spans="1:7" x14ac:dyDescent="0.25">
      <c r="A69" s="13" t="s">
        <v>3294</v>
      </c>
      <c r="B69" s="13">
        <v>1618</v>
      </c>
      <c r="C69" s="14" t="str">
        <f>+VLOOKUP(B69,[1]LISTE!$A$1:$D$431,4,FALSE)</f>
        <v>SLAMA MAHER</v>
      </c>
      <c r="D69" s="14" t="s">
        <v>22</v>
      </c>
      <c r="E69" s="15">
        <v>46013</v>
      </c>
      <c r="F69" s="14" t="s">
        <v>23</v>
      </c>
      <c r="G69" s="16">
        <v>50</v>
      </c>
    </row>
    <row r="70" spans="1:7" x14ac:dyDescent="0.25">
      <c r="A70" s="13" t="s">
        <v>3294</v>
      </c>
      <c r="B70" s="13">
        <v>1618</v>
      </c>
      <c r="C70" s="14" t="str">
        <f>+VLOOKUP(B70,[1]LISTE!$A$1:$D$431,4,FALSE)</f>
        <v>SLAMA MAHER</v>
      </c>
      <c r="D70" s="14" t="s">
        <v>22</v>
      </c>
      <c r="E70" s="15">
        <v>46013</v>
      </c>
      <c r="F70" s="14" t="s">
        <v>20</v>
      </c>
      <c r="G70" s="16">
        <v>73.665000000000006</v>
      </c>
    </row>
    <row r="71" spans="1:7" x14ac:dyDescent="0.25">
      <c r="A71" s="13" t="s">
        <v>3307</v>
      </c>
      <c r="B71" s="13">
        <v>1639</v>
      </c>
      <c r="C71" s="14" t="str">
        <f>+VLOOKUP(B71,[1]LISTE!$A$1:$D$431,4,FALSE)</f>
        <v>ZBIDI FAKHER</v>
      </c>
      <c r="D71" s="15" t="s">
        <v>347</v>
      </c>
      <c r="E71" s="15">
        <v>46016</v>
      </c>
      <c r="F71" s="14" t="s">
        <v>24</v>
      </c>
      <c r="G71" s="16">
        <v>1100</v>
      </c>
    </row>
    <row r="72" spans="1:7" x14ac:dyDescent="0.25">
      <c r="A72" s="13" t="s">
        <v>3205</v>
      </c>
      <c r="B72" s="13">
        <v>1650</v>
      </c>
      <c r="C72" s="14" t="str">
        <f>+VLOOKUP(B72,[1]LISTE!$A$1:$D$431,4,FALSE)</f>
        <v>OUAJA RAOUF</v>
      </c>
      <c r="D72" s="14" t="s">
        <v>455</v>
      </c>
      <c r="E72" s="15">
        <v>45999</v>
      </c>
      <c r="F72" s="14" t="s">
        <v>23</v>
      </c>
      <c r="G72" s="16">
        <v>45</v>
      </c>
    </row>
    <row r="73" spans="1:7" x14ac:dyDescent="0.25">
      <c r="A73" s="13" t="s">
        <v>3205</v>
      </c>
      <c r="B73" s="13">
        <v>1650</v>
      </c>
      <c r="C73" s="14" t="str">
        <f>+VLOOKUP(B73,[1]LISTE!$A$1:$D$431,4,FALSE)</f>
        <v>OUAJA RAOUF</v>
      </c>
      <c r="D73" s="14" t="s">
        <v>455</v>
      </c>
      <c r="E73" s="15">
        <v>45999</v>
      </c>
      <c r="F73" s="14" t="s">
        <v>20</v>
      </c>
      <c r="G73" s="16">
        <v>77.7</v>
      </c>
    </row>
    <row r="74" spans="1:7" x14ac:dyDescent="0.25">
      <c r="A74" s="13" t="s">
        <v>3206</v>
      </c>
      <c r="B74" s="13">
        <v>1650</v>
      </c>
      <c r="C74" s="14" t="str">
        <f>+VLOOKUP(B74,[1]LISTE!$A$1:$D$431,4,FALSE)</f>
        <v>OUAJA RAOUF</v>
      </c>
      <c r="D74" s="15" t="s">
        <v>268</v>
      </c>
      <c r="E74" s="15">
        <v>45993</v>
      </c>
      <c r="F74" s="14" t="s">
        <v>23</v>
      </c>
      <c r="G74" s="16">
        <v>45</v>
      </c>
    </row>
    <row r="75" spans="1:7" x14ac:dyDescent="0.25">
      <c r="A75" s="13" t="s">
        <v>3206</v>
      </c>
      <c r="B75" s="13">
        <v>1650</v>
      </c>
      <c r="C75" s="14" t="str">
        <f>+VLOOKUP(B75,[1]LISTE!$A$1:$D$431,4,FALSE)</f>
        <v>OUAJA RAOUF</v>
      </c>
      <c r="D75" s="15" t="s">
        <v>268</v>
      </c>
      <c r="E75" s="15">
        <v>45993</v>
      </c>
      <c r="F75" s="14" t="s">
        <v>20</v>
      </c>
      <c r="G75" s="16">
        <v>77.555000000000007</v>
      </c>
    </row>
    <row r="76" spans="1:7" x14ac:dyDescent="0.25">
      <c r="A76" s="13" t="s">
        <v>3207</v>
      </c>
      <c r="B76" s="13">
        <v>1650</v>
      </c>
      <c r="C76" s="14" t="str">
        <f>+VLOOKUP(B76,[1]LISTE!$A$1:$D$431,4,FALSE)</f>
        <v>OUAJA RAOUF</v>
      </c>
      <c r="D76" s="14" t="s">
        <v>22</v>
      </c>
      <c r="E76" s="15">
        <v>45996</v>
      </c>
      <c r="F76" s="14" t="s">
        <v>23</v>
      </c>
      <c r="G76" s="16">
        <v>45</v>
      </c>
    </row>
    <row r="77" spans="1:7" x14ac:dyDescent="0.25">
      <c r="A77" s="13" t="s">
        <v>3207</v>
      </c>
      <c r="B77" s="13">
        <v>1650</v>
      </c>
      <c r="C77" s="14" t="str">
        <f>+VLOOKUP(B77,[1]LISTE!$A$1:$D$431,4,FALSE)</f>
        <v>OUAJA RAOUF</v>
      </c>
      <c r="D77" s="14" t="s">
        <v>22</v>
      </c>
      <c r="E77" s="15">
        <v>45996</v>
      </c>
      <c r="F77" s="14" t="s">
        <v>20</v>
      </c>
      <c r="G77" s="16">
        <v>79.814999999999998</v>
      </c>
    </row>
    <row r="78" spans="1:7" x14ac:dyDescent="0.25">
      <c r="A78" s="13" t="s">
        <v>3245</v>
      </c>
      <c r="B78" s="13">
        <v>1650</v>
      </c>
      <c r="C78" s="14" t="str">
        <f>+VLOOKUP(B78,[1]LISTE!$A$1:$D$431,4,FALSE)</f>
        <v>OUAJA RAOUF</v>
      </c>
      <c r="D78" s="14" t="s">
        <v>296</v>
      </c>
      <c r="E78" s="15">
        <v>46002</v>
      </c>
      <c r="F78" s="14" t="s">
        <v>23</v>
      </c>
      <c r="G78" s="16">
        <v>45</v>
      </c>
    </row>
    <row r="79" spans="1:7" x14ac:dyDescent="0.25">
      <c r="A79" s="13" t="s">
        <v>3245</v>
      </c>
      <c r="B79" s="13">
        <v>1650</v>
      </c>
      <c r="C79" s="14" t="str">
        <f>+VLOOKUP(B79,[1]LISTE!$A$1:$D$431,4,FALSE)</f>
        <v>OUAJA RAOUF</v>
      </c>
      <c r="D79" s="14" t="s">
        <v>296</v>
      </c>
      <c r="E79" s="15">
        <v>46002</v>
      </c>
      <c r="F79" s="14" t="s">
        <v>20</v>
      </c>
      <c r="G79" s="16">
        <v>71.834999999999994</v>
      </c>
    </row>
    <row r="80" spans="1:7" x14ac:dyDescent="0.25">
      <c r="A80" s="13" t="s">
        <v>3226</v>
      </c>
      <c r="B80" s="13">
        <v>1651</v>
      </c>
      <c r="C80" s="14" t="str">
        <f>+VLOOKUP(B80,[1]LISTE!$A$1:$D$431,4,FALSE)</f>
        <v>BEL HADJ MOHAMED</v>
      </c>
      <c r="D80" s="14" t="s">
        <v>843</v>
      </c>
      <c r="E80" s="15">
        <v>45996</v>
      </c>
      <c r="F80" s="14" t="s">
        <v>18</v>
      </c>
      <c r="G80" s="16">
        <v>70</v>
      </c>
    </row>
    <row r="81" spans="1:7" x14ac:dyDescent="0.25">
      <c r="A81" s="13" t="s">
        <v>3226</v>
      </c>
      <c r="B81" s="13">
        <v>1651</v>
      </c>
      <c r="C81" s="14" t="str">
        <f>+VLOOKUP(B81,[1]LISTE!$A$1:$D$431,4,FALSE)</f>
        <v>BEL HADJ MOHAMED</v>
      </c>
      <c r="D81" s="15" t="s">
        <v>843</v>
      </c>
      <c r="E81" s="15">
        <v>46003</v>
      </c>
      <c r="F81" s="14" t="s">
        <v>69</v>
      </c>
      <c r="G81" s="16">
        <v>700</v>
      </c>
    </row>
    <row r="82" spans="1:7" x14ac:dyDescent="0.25">
      <c r="A82" s="13" t="s">
        <v>3220</v>
      </c>
      <c r="B82" s="13">
        <v>1666</v>
      </c>
      <c r="C82" s="14" t="str">
        <f>+VLOOKUP(B82,[1]LISTE!$A$1:$D$431,4,FALSE)</f>
        <v>BOUZIR SAHBI</v>
      </c>
      <c r="D82" s="14" t="s">
        <v>292</v>
      </c>
      <c r="E82" s="15">
        <v>45999</v>
      </c>
      <c r="F82" s="14" t="s">
        <v>23</v>
      </c>
      <c r="G82" s="16">
        <v>35</v>
      </c>
    </row>
    <row r="83" spans="1:7" x14ac:dyDescent="0.25">
      <c r="A83" s="13" t="s">
        <v>3220</v>
      </c>
      <c r="B83" s="13">
        <v>1666</v>
      </c>
      <c r="C83" s="14" t="str">
        <f>+VLOOKUP(B83,[1]LISTE!$A$1:$D$431,4,FALSE)</f>
        <v>BOUZIR SAHBI</v>
      </c>
      <c r="D83" s="15" t="s">
        <v>292</v>
      </c>
      <c r="E83" s="15">
        <v>45999</v>
      </c>
      <c r="F83" s="14" t="s">
        <v>20</v>
      </c>
      <c r="G83" s="16">
        <v>54.604999999999997</v>
      </c>
    </row>
    <row r="84" spans="1:7" x14ac:dyDescent="0.25">
      <c r="A84" s="13" t="s">
        <v>3325</v>
      </c>
      <c r="B84" s="13">
        <v>1666</v>
      </c>
      <c r="C84" s="14" t="str">
        <f>+VLOOKUP(B84,[1]LISTE!$A$1:$D$431,4,FALSE)</f>
        <v>BOUZIR SAHBI</v>
      </c>
      <c r="D84" s="15" t="s">
        <v>292</v>
      </c>
      <c r="E84" s="15">
        <v>46009</v>
      </c>
      <c r="F84" s="14" t="s">
        <v>23</v>
      </c>
      <c r="G84" s="16">
        <v>45</v>
      </c>
    </row>
    <row r="85" spans="1:7" x14ac:dyDescent="0.25">
      <c r="A85" s="13" t="s">
        <v>3325</v>
      </c>
      <c r="B85" s="13">
        <v>1666</v>
      </c>
      <c r="C85" s="14" t="str">
        <f>+VLOOKUP(B85,[1]LISTE!$A$1:$D$431,4,FALSE)</f>
        <v>BOUZIR SAHBI</v>
      </c>
      <c r="D85" s="15" t="s">
        <v>292</v>
      </c>
      <c r="E85" s="15">
        <v>46009</v>
      </c>
      <c r="F85" s="14" t="s">
        <v>20</v>
      </c>
      <c r="G85" s="16">
        <v>85.046999999999997</v>
      </c>
    </row>
    <row r="86" spans="1:7" x14ac:dyDescent="0.25">
      <c r="A86" s="13" t="s">
        <v>3326</v>
      </c>
      <c r="B86" s="13">
        <v>1666</v>
      </c>
      <c r="C86" s="14" t="str">
        <f>+VLOOKUP(B86,[1]LISTE!$A$1:$D$431,4,FALSE)</f>
        <v>BOUZIR SAHBI</v>
      </c>
      <c r="D86" s="15" t="s">
        <v>3327</v>
      </c>
      <c r="E86" s="15">
        <v>46009</v>
      </c>
      <c r="F86" s="14" t="s">
        <v>23</v>
      </c>
      <c r="G86" s="16">
        <v>45</v>
      </c>
    </row>
    <row r="87" spans="1:7" x14ac:dyDescent="0.25">
      <c r="A87" s="13" t="s">
        <v>3326</v>
      </c>
      <c r="B87" s="13">
        <v>1666</v>
      </c>
      <c r="C87" s="14" t="str">
        <f>+VLOOKUP(B87,[1]LISTE!$A$1:$D$431,4,FALSE)</f>
        <v>BOUZIR SAHBI</v>
      </c>
      <c r="D87" s="15" t="s">
        <v>3327</v>
      </c>
      <c r="E87" s="15">
        <v>46009</v>
      </c>
      <c r="F87" s="14" t="s">
        <v>20</v>
      </c>
      <c r="G87" s="16">
        <v>84.447000000000003</v>
      </c>
    </row>
    <row r="88" spans="1:7" x14ac:dyDescent="0.25">
      <c r="A88" s="13" t="s">
        <v>3240</v>
      </c>
      <c r="B88" s="13">
        <v>1668</v>
      </c>
      <c r="C88" s="14" t="str">
        <f>+VLOOKUP(B88,[1]LISTE!$A$1:$D$431,4,FALSE)</f>
        <v>BOUGADDOUHA MOURAD</v>
      </c>
      <c r="D88" s="14" t="s">
        <v>1085</v>
      </c>
      <c r="E88" s="15">
        <v>45994</v>
      </c>
      <c r="F88" s="14" t="s">
        <v>20</v>
      </c>
      <c r="G88" s="16">
        <v>53.49</v>
      </c>
    </row>
    <row r="89" spans="1:7" x14ac:dyDescent="0.25">
      <c r="A89" s="13" t="s">
        <v>3184</v>
      </c>
      <c r="B89" s="13">
        <v>1671</v>
      </c>
      <c r="C89" s="14" t="str">
        <f>+VLOOKUP(B89,[1]LISTE!$A$1:$D$431,4,FALSE)</f>
        <v>EL BACH ADEL</v>
      </c>
      <c r="D89" s="14" t="s">
        <v>22</v>
      </c>
      <c r="E89" s="15">
        <v>46002</v>
      </c>
      <c r="F89" s="14" t="s">
        <v>23</v>
      </c>
      <c r="G89" s="16">
        <v>50</v>
      </c>
    </row>
    <row r="90" spans="1:7" x14ac:dyDescent="0.25">
      <c r="A90" s="13" t="s">
        <v>3184</v>
      </c>
      <c r="B90" s="13">
        <v>1671</v>
      </c>
      <c r="C90" s="14" t="str">
        <f>+VLOOKUP(B90,[1]LISTE!$A$1:$D$431,4,FALSE)</f>
        <v>EL BACH ADEL</v>
      </c>
      <c r="D90" s="15" t="s">
        <v>22</v>
      </c>
      <c r="E90" s="15">
        <v>46002</v>
      </c>
      <c r="F90" s="14" t="s">
        <v>20</v>
      </c>
      <c r="G90" s="16">
        <v>46.384999999999998</v>
      </c>
    </row>
    <row r="91" spans="1:7" x14ac:dyDescent="0.25">
      <c r="A91" s="13" t="s">
        <v>3271</v>
      </c>
      <c r="B91" s="13">
        <v>1671</v>
      </c>
      <c r="C91" s="14" t="str">
        <f>+VLOOKUP(B91,[1]LISTE!$A$1:$D$431,4,FALSE)</f>
        <v>EL BACH ADEL</v>
      </c>
      <c r="D91" s="14" t="s">
        <v>687</v>
      </c>
      <c r="E91" s="15">
        <v>46004</v>
      </c>
      <c r="F91" s="14" t="s">
        <v>23</v>
      </c>
      <c r="G91" s="16">
        <v>40</v>
      </c>
    </row>
    <row r="92" spans="1:7" x14ac:dyDescent="0.25">
      <c r="A92" s="13" t="s">
        <v>3271</v>
      </c>
      <c r="B92" s="13">
        <v>1671</v>
      </c>
      <c r="C92" s="14" t="str">
        <f>+VLOOKUP(B92,[1]LISTE!$A$1:$D$431,4,FALSE)</f>
        <v>EL BACH ADEL</v>
      </c>
      <c r="D92" s="14" t="s">
        <v>687</v>
      </c>
      <c r="E92" s="15">
        <v>46004</v>
      </c>
      <c r="F92" s="14" t="s">
        <v>20</v>
      </c>
      <c r="G92" s="16">
        <v>71.165999999999997</v>
      </c>
    </row>
    <row r="93" spans="1:7" x14ac:dyDescent="0.25">
      <c r="A93" s="13" t="s">
        <v>3272</v>
      </c>
      <c r="B93" s="13">
        <v>1671</v>
      </c>
      <c r="C93" s="14" t="str">
        <f>+VLOOKUP(B93,[1]LISTE!$A$1:$D$431,4,FALSE)</f>
        <v>EL BACH ADEL</v>
      </c>
      <c r="D93" s="14" t="s">
        <v>151</v>
      </c>
      <c r="E93" s="15">
        <v>46006</v>
      </c>
      <c r="F93" s="14" t="s">
        <v>23</v>
      </c>
      <c r="G93" s="16">
        <v>40</v>
      </c>
    </row>
    <row r="94" spans="1:7" x14ac:dyDescent="0.25">
      <c r="A94" s="13" t="s">
        <v>3272</v>
      </c>
      <c r="B94" s="13">
        <v>1671</v>
      </c>
      <c r="C94" s="14" t="str">
        <f>+VLOOKUP(B94,[1]LISTE!$A$1:$D$431,4,FALSE)</f>
        <v>EL BACH ADEL</v>
      </c>
      <c r="D94" s="15" t="s">
        <v>151</v>
      </c>
      <c r="E94" s="15">
        <v>46006</v>
      </c>
      <c r="F94" s="14" t="s">
        <v>20</v>
      </c>
      <c r="G94" s="16">
        <v>70.66</v>
      </c>
    </row>
    <row r="95" spans="1:7" x14ac:dyDescent="0.25">
      <c r="A95" s="13" t="s">
        <v>3204</v>
      </c>
      <c r="B95" s="13">
        <v>1689</v>
      </c>
      <c r="C95" s="14" t="str">
        <f>+VLOOKUP(B95,[1]LISTE!$A$1:$D$431,4,FALSE)</f>
        <v>GRAA SKANDER</v>
      </c>
      <c r="D95" s="14" t="s">
        <v>200</v>
      </c>
      <c r="E95" s="15">
        <v>46000</v>
      </c>
      <c r="F95" s="14" t="s">
        <v>23</v>
      </c>
      <c r="G95" s="16">
        <v>40</v>
      </c>
    </row>
    <row r="96" spans="1:7" x14ac:dyDescent="0.25">
      <c r="A96" s="13" t="s">
        <v>3204</v>
      </c>
      <c r="B96" s="13">
        <v>1689</v>
      </c>
      <c r="C96" s="14" t="str">
        <f>+VLOOKUP(B96,[1]LISTE!$A$1:$D$431,4,FALSE)</f>
        <v>GRAA SKANDER</v>
      </c>
      <c r="D96" s="14" t="s">
        <v>200</v>
      </c>
      <c r="E96" s="15">
        <v>46000</v>
      </c>
      <c r="F96" s="14" t="s">
        <v>20</v>
      </c>
      <c r="G96" s="16">
        <v>69.37</v>
      </c>
    </row>
    <row r="97" spans="1:7" x14ac:dyDescent="0.25">
      <c r="A97" s="13" t="s">
        <v>3296</v>
      </c>
      <c r="B97" s="13">
        <v>1693</v>
      </c>
      <c r="C97" s="14" t="str">
        <f>+VLOOKUP(B97,[1]LISTE!$A$1:$D$431,4,FALSE)</f>
        <v>REBAI MOHAMED</v>
      </c>
      <c r="D97" s="15" t="s">
        <v>475</v>
      </c>
      <c r="E97" s="15">
        <v>46017</v>
      </c>
      <c r="F97" s="14" t="s">
        <v>18</v>
      </c>
      <c r="G97" s="16">
        <v>70</v>
      </c>
    </row>
    <row r="98" spans="1:7" x14ac:dyDescent="0.25">
      <c r="A98" s="13" t="s">
        <v>3296</v>
      </c>
      <c r="B98" s="13">
        <v>1693</v>
      </c>
      <c r="C98" s="14" t="str">
        <f>+VLOOKUP(B98,[1]LISTE!$A$1:$D$431,4,FALSE)</f>
        <v>REBAI MOHAMED</v>
      </c>
      <c r="D98" s="15" t="s">
        <v>475</v>
      </c>
      <c r="E98" s="15">
        <v>46017</v>
      </c>
      <c r="F98" s="14" t="s">
        <v>20</v>
      </c>
      <c r="G98" s="16">
        <v>74.295000000000002</v>
      </c>
    </row>
    <row r="99" spans="1:7" x14ac:dyDescent="0.25">
      <c r="A99" s="13" t="s">
        <v>3179</v>
      </c>
      <c r="B99" s="13">
        <v>1701</v>
      </c>
      <c r="C99" s="14" t="str">
        <f>+VLOOKUP(B99,[1]LISTE!$A$1:$D$431,4,FALSE)</f>
        <v>SASSI KARIM</v>
      </c>
      <c r="D99" s="14" t="s">
        <v>22</v>
      </c>
      <c r="E99" s="15">
        <v>45999</v>
      </c>
      <c r="F99" s="14" t="s">
        <v>23</v>
      </c>
      <c r="G99" s="16">
        <v>20</v>
      </c>
    </row>
    <row r="100" spans="1:7" x14ac:dyDescent="0.25">
      <c r="A100" s="13" t="s">
        <v>3179</v>
      </c>
      <c r="B100" s="13">
        <v>1701</v>
      </c>
      <c r="C100" s="14" t="str">
        <f>+VLOOKUP(B100,[1]LISTE!$A$1:$D$431,4,FALSE)</f>
        <v>SASSI KARIM</v>
      </c>
      <c r="D100" s="14" t="s">
        <v>22</v>
      </c>
      <c r="E100" s="15">
        <v>45999</v>
      </c>
      <c r="F100" s="14" t="s">
        <v>20</v>
      </c>
      <c r="G100" s="16">
        <v>28.48</v>
      </c>
    </row>
    <row r="101" spans="1:7" x14ac:dyDescent="0.25">
      <c r="A101" s="13" t="s">
        <v>3179</v>
      </c>
      <c r="B101" s="13">
        <v>1701</v>
      </c>
      <c r="C101" s="14" t="str">
        <f>+VLOOKUP(B101,[1]LISTE!$A$1:$D$431,4,FALSE)</f>
        <v>SASSI KARIM</v>
      </c>
      <c r="D101" s="14" t="s">
        <v>22</v>
      </c>
      <c r="E101" s="15">
        <v>45999</v>
      </c>
      <c r="F101" s="14" t="s">
        <v>65</v>
      </c>
      <c r="G101" s="16">
        <v>6</v>
      </c>
    </row>
    <row r="102" spans="1:7" x14ac:dyDescent="0.25">
      <c r="A102" s="13" t="s">
        <v>3257</v>
      </c>
      <c r="B102" s="13">
        <v>1701</v>
      </c>
      <c r="C102" s="14" t="str">
        <f>+VLOOKUP(B102,[1]LISTE!$A$1:$D$431,4,FALSE)</f>
        <v>SASSI KARIM</v>
      </c>
      <c r="D102" s="15" t="s">
        <v>82</v>
      </c>
      <c r="E102" s="15">
        <v>45988</v>
      </c>
      <c r="F102" s="14" t="s">
        <v>18</v>
      </c>
      <c r="G102" s="16">
        <v>70</v>
      </c>
    </row>
    <row r="103" spans="1:7" x14ac:dyDescent="0.25">
      <c r="A103" s="13" t="s">
        <v>3257</v>
      </c>
      <c r="B103" s="13">
        <v>1701</v>
      </c>
      <c r="C103" s="14" t="str">
        <f>+VLOOKUP(B103,[1]LISTE!$A$1:$D$431,4,FALSE)</f>
        <v>SASSI KARIM</v>
      </c>
      <c r="D103" s="14" t="s">
        <v>82</v>
      </c>
      <c r="E103" s="15">
        <v>45988</v>
      </c>
      <c r="F103" s="14" t="s">
        <v>20</v>
      </c>
      <c r="G103" s="16">
        <v>15.8</v>
      </c>
    </row>
    <row r="104" spans="1:7" x14ac:dyDescent="0.25">
      <c r="A104" s="13" t="s">
        <v>3257</v>
      </c>
      <c r="B104" s="13">
        <v>1701</v>
      </c>
      <c r="C104" s="14" t="str">
        <f>+VLOOKUP(B104,[1]LISTE!$A$1:$D$431,4,FALSE)</f>
        <v>SASSI KARIM</v>
      </c>
      <c r="D104" s="14" t="s">
        <v>82</v>
      </c>
      <c r="E104" s="15">
        <v>45990</v>
      </c>
      <c r="F104" s="14" t="s">
        <v>21</v>
      </c>
      <c r="G104" s="16">
        <v>127.5</v>
      </c>
    </row>
    <row r="105" spans="1:7" x14ac:dyDescent="0.25">
      <c r="A105" s="13" t="s">
        <v>3282</v>
      </c>
      <c r="B105" s="13">
        <v>1702</v>
      </c>
      <c r="C105" s="14" t="str">
        <f>+VLOOKUP(B105,[1]LISTE!$A$1:$D$431,4,FALSE)</f>
        <v>JAIET WALID</v>
      </c>
      <c r="D105" s="15" t="s">
        <v>151</v>
      </c>
      <c r="E105" s="15">
        <v>46009</v>
      </c>
      <c r="F105" s="14" t="s">
        <v>23</v>
      </c>
      <c r="G105" s="16">
        <v>45</v>
      </c>
    </row>
    <row r="106" spans="1:7" x14ac:dyDescent="0.25">
      <c r="A106" s="13" t="s">
        <v>3282</v>
      </c>
      <c r="B106" s="13">
        <v>1702</v>
      </c>
      <c r="C106" s="14" t="str">
        <f>+VLOOKUP(B106,[1]LISTE!$A$1:$D$431,4,FALSE)</f>
        <v>JAIET WALID</v>
      </c>
      <c r="D106" s="15" t="s">
        <v>151</v>
      </c>
      <c r="E106" s="15">
        <v>46009</v>
      </c>
      <c r="F106" s="14" t="s">
        <v>20</v>
      </c>
      <c r="G106" s="16">
        <v>95.146000000000001</v>
      </c>
    </row>
    <row r="107" spans="1:7" x14ac:dyDescent="0.25">
      <c r="A107" s="13" t="s">
        <v>3283</v>
      </c>
      <c r="B107" s="13">
        <v>1702</v>
      </c>
      <c r="C107" s="14" t="str">
        <f>+VLOOKUP(B107,[1]LISTE!$A$1:$D$431,4,FALSE)</f>
        <v>JAIET WALID</v>
      </c>
      <c r="D107" s="15" t="s">
        <v>47</v>
      </c>
      <c r="E107" s="15">
        <v>46009</v>
      </c>
      <c r="F107" s="14" t="s">
        <v>23</v>
      </c>
      <c r="G107" s="16">
        <v>45</v>
      </c>
    </row>
    <row r="108" spans="1:7" x14ac:dyDescent="0.25">
      <c r="A108" s="13" t="s">
        <v>3283</v>
      </c>
      <c r="B108" s="13">
        <v>1702</v>
      </c>
      <c r="C108" s="14" t="str">
        <f>+VLOOKUP(B108,[1]LISTE!$A$1:$D$431,4,FALSE)</f>
        <v>JAIET WALID</v>
      </c>
      <c r="D108" s="15" t="s">
        <v>47</v>
      </c>
      <c r="E108" s="15">
        <v>46009</v>
      </c>
      <c r="F108" s="14" t="s">
        <v>20</v>
      </c>
      <c r="G108" s="16">
        <v>83.569000000000003</v>
      </c>
    </row>
    <row r="109" spans="1:7" x14ac:dyDescent="0.25">
      <c r="A109" s="13" t="s">
        <v>3210</v>
      </c>
      <c r="B109" s="13">
        <v>1704</v>
      </c>
      <c r="C109" s="14" t="str">
        <f>+VLOOKUP(B109,[1]LISTE!$A$1:$D$431,4,FALSE)</f>
        <v>EL GAZZAH RIADH</v>
      </c>
      <c r="D109" s="15" t="s">
        <v>472</v>
      </c>
      <c r="E109" s="15">
        <v>45999</v>
      </c>
      <c r="F109" s="14" t="s">
        <v>18</v>
      </c>
      <c r="G109" s="16">
        <v>80</v>
      </c>
    </row>
    <row r="110" spans="1:7" x14ac:dyDescent="0.25">
      <c r="A110" s="13" t="s">
        <v>3211</v>
      </c>
      <c r="B110" s="13">
        <v>1704</v>
      </c>
      <c r="C110" s="14" t="str">
        <f>+VLOOKUP(B110,[1]LISTE!$A$1:$D$431,4,FALSE)</f>
        <v>EL GAZZAH RIADH</v>
      </c>
      <c r="D110" s="15" t="s">
        <v>472</v>
      </c>
      <c r="E110" s="15">
        <v>46000</v>
      </c>
      <c r="F110" s="14" t="s">
        <v>18</v>
      </c>
      <c r="G110" s="16">
        <v>70</v>
      </c>
    </row>
    <row r="111" spans="1:7" x14ac:dyDescent="0.25">
      <c r="A111" s="13" t="s">
        <v>3264</v>
      </c>
      <c r="B111" s="13">
        <v>1709</v>
      </c>
      <c r="C111" s="14" t="str">
        <f>+VLOOKUP(B111,[1]LISTE!$A$1:$D$431,4,FALSE)</f>
        <v>MAJDOUB SAMI</v>
      </c>
      <c r="D111" s="15" t="s">
        <v>253</v>
      </c>
      <c r="E111" s="15">
        <v>46010</v>
      </c>
      <c r="F111" s="14" t="s">
        <v>23</v>
      </c>
      <c r="G111" s="16">
        <v>1.5</v>
      </c>
    </row>
    <row r="112" spans="1:7" x14ac:dyDescent="0.25">
      <c r="A112" s="13" t="s">
        <v>3264</v>
      </c>
      <c r="B112" s="13">
        <v>1709</v>
      </c>
      <c r="C112" s="14" t="str">
        <f>+VLOOKUP(B112,[1]LISTE!$A$1:$D$431,4,FALSE)</f>
        <v>MAJDOUB SAMI</v>
      </c>
      <c r="D112" s="15" t="s">
        <v>253</v>
      </c>
      <c r="E112" s="15">
        <v>46010</v>
      </c>
      <c r="F112" s="14" t="s">
        <v>20</v>
      </c>
      <c r="G112" s="16">
        <v>77.13</v>
      </c>
    </row>
    <row r="113" spans="1:7" x14ac:dyDescent="0.25">
      <c r="A113" s="13" t="s">
        <v>3224</v>
      </c>
      <c r="B113" s="13">
        <v>1713</v>
      </c>
      <c r="C113" s="14" t="s">
        <v>939</v>
      </c>
      <c r="D113" s="14" t="s">
        <v>22</v>
      </c>
      <c r="E113" s="15">
        <v>45993</v>
      </c>
      <c r="F113" s="14" t="s">
        <v>21</v>
      </c>
      <c r="G113" s="16">
        <v>58.5</v>
      </c>
    </row>
    <row r="114" spans="1:7" x14ac:dyDescent="0.25">
      <c r="A114" s="13" t="s">
        <v>3310</v>
      </c>
      <c r="B114" s="13">
        <v>1741</v>
      </c>
      <c r="C114" s="14" t="str">
        <f>+VLOOKUP(B114,[1]LISTE!$A$1:$D$431,4,FALSE)</f>
        <v>HACHICHA ZIED</v>
      </c>
      <c r="D114" s="15" t="s">
        <v>1994</v>
      </c>
      <c r="E114" s="15">
        <v>46016</v>
      </c>
      <c r="F114" s="14" t="s">
        <v>18</v>
      </c>
      <c r="G114" s="16">
        <v>60</v>
      </c>
    </row>
    <row r="115" spans="1:7" x14ac:dyDescent="0.25">
      <c r="A115" s="13" t="s">
        <v>3310</v>
      </c>
      <c r="B115" s="13">
        <v>1741</v>
      </c>
      <c r="C115" s="14" t="str">
        <f>+VLOOKUP(B115,[1]LISTE!$A$1:$D$431,4,FALSE)</f>
        <v>HACHICHA ZIED</v>
      </c>
      <c r="D115" s="15" t="s">
        <v>1994</v>
      </c>
      <c r="E115" s="15">
        <v>46016</v>
      </c>
      <c r="F115" s="14" t="s">
        <v>20</v>
      </c>
      <c r="G115" s="16">
        <v>46.415999999999997</v>
      </c>
    </row>
    <row r="116" spans="1:7" x14ac:dyDescent="0.25">
      <c r="A116" s="13" t="s">
        <v>3284</v>
      </c>
      <c r="B116" s="13">
        <v>1746</v>
      </c>
      <c r="C116" s="14" t="str">
        <f>+VLOOKUP(B116,[1]LISTE!$A$1:$D$431,4,FALSE)</f>
        <v>BEL ARBIA KAMEL</v>
      </c>
      <c r="D116" s="14" t="s">
        <v>22</v>
      </c>
      <c r="E116" s="15">
        <v>46007</v>
      </c>
      <c r="F116" s="14" t="s">
        <v>23</v>
      </c>
      <c r="G116" s="16">
        <v>45</v>
      </c>
    </row>
    <row r="117" spans="1:7" x14ac:dyDescent="0.25">
      <c r="A117" s="13" t="s">
        <v>3284</v>
      </c>
      <c r="B117" s="13">
        <v>1746</v>
      </c>
      <c r="C117" s="14" t="str">
        <f>+VLOOKUP(B117,[1]LISTE!$A$1:$D$431,4,FALSE)</f>
        <v>BEL ARBIA KAMEL</v>
      </c>
      <c r="D117" s="14" t="s">
        <v>22</v>
      </c>
      <c r="E117" s="15">
        <v>46007</v>
      </c>
      <c r="F117" s="14" t="s">
        <v>19</v>
      </c>
      <c r="G117" s="16">
        <v>50.5</v>
      </c>
    </row>
    <row r="118" spans="1:7" x14ac:dyDescent="0.25">
      <c r="A118" s="13" t="s">
        <v>3284</v>
      </c>
      <c r="B118" s="13">
        <v>1746</v>
      </c>
      <c r="C118" s="14" t="str">
        <f>+VLOOKUP(B118,[1]LISTE!$A$1:$D$431,4,FALSE)</f>
        <v>BEL ARBIA KAMEL</v>
      </c>
      <c r="D118" s="14" t="s">
        <v>22</v>
      </c>
      <c r="E118" s="15">
        <v>46007</v>
      </c>
      <c r="F118" s="14" t="s">
        <v>20</v>
      </c>
      <c r="G118" s="16">
        <v>159.15</v>
      </c>
    </row>
    <row r="119" spans="1:7" x14ac:dyDescent="0.25">
      <c r="A119" s="13" t="s">
        <v>3285</v>
      </c>
      <c r="B119" s="13">
        <v>1752</v>
      </c>
      <c r="C119" s="14" t="str">
        <f>+VLOOKUP(B119,[1]LISTE!$A$1:$D$431,4,FALSE)</f>
        <v>HEDHILI MUSTAPHA</v>
      </c>
      <c r="D119" s="15" t="s">
        <v>186</v>
      </c>
      <c r="E119" s="15">
        <v>46007</v>
      </c>
      <c r="F119" s="14" t="s">
        <v>23</v>
      </c>
      <c r="G119" s="16">
        <v>20</v>
      </c>
    </row>
    <row r="120" spans="1:7" x14ac:dyDescent="0.25">
      <c r="A120" s="13" t="s">
        <v>3285</v>
      </c>
      <c r="B120" s="13">
        <v>1752</v>
      </c>
      <c r="C120" s="14" t="str">
        <f>+VLOOKUP(B120,[1]LISTE!$A$1:$D$431,4,FALSE)</f>
        <v>HEDHILI MUSTAPHA</v>
      </c>
      <c r="D120" s="15" t="s">
        <v>186</v>
      </c>
      <c r="E120" s="15">
        <v>46007</v>
      </c>
      <c r="F120" s="14" t="s">
        <v>20</v>
      </c>
      <c r="G120" s="16">
        <v>46.933999999999997</v>
      </c>
    </row>
    <row r="121" spans="1:7" x14ac:dyDescent="0.25">
      <c r="A121" s="13" t="s">
        <v>3234</v>
      </c>
      <c r="B121" s="13">
        <v>1760</v>
      </c>
      <c r="C121" s="14" t="str">
        <f>+VLOOKUP(B121,[1]LISTE!$A$1:$D$431,4,FALSE)</f>
        <v>SASSI SAMIR</v>
      </c>
      <c r="D121" s="15" t="s">
        <v>2737</v>
      </c>
      <c r="E121" s="15">
        <v>46002</v>
      </c>
      <c r="F121" s="14" t="s">
        <v>23</v>
      </c>
      <c r="G121" s="16">
        <v>10</v>
      </c>
    </row>
    <row r="122" spans="1:7" x14ac:dyDescent="0.25">
      <c r="A122" s="13" t="s">
        <v>3234</v>
      </c>
      <c r="B122" s="13">
        <v>1760</v>
      </c>
      <c r="C122" s="14" t="str">
        <f>+VLOOKUP(B122,[1]LISTE!$A$1:$D$431,4,FALSE)</f>
        <v>SASSI SAMIR</v>
      </c>
      <c r="D122" s="15" t="s">
        <v>2737</v>
      </c>
      <c r="E122" s="15">
        <v>46002</v>
      </c>
      <c r="F122" s="14" t="s">
        <v>21</v>
      </c>
      <c r="G122" s="16">
        <v>22.5</v>
      </c>
    </row>
    <row r="123" spans="1:7" x14ac:dyDescent="0.25">
      <c r="A123" s="13" t="s">
        <v>3268</v>
      </c>
      <c r="B123" s="13">
        <v>1767</v>
      </c>
      <c r="C123" s="14" t="str">
        <f>+VLOOKUP(B123,[1]LISTE!$A$1:$D$431,4,FALSE)</f>
        <v>B.H.SGHAIER NAOUFEL</v>
      </c>
      <c r="D123" s="14" t="s">
        <v>3014</v>
      </c>
      <c r="E123" s="15">
        <v>46009</v>
      </c>
      <c r="F123" s="14" t="s">
        <v>18</v>
      </c>
      <c r="G123" s="16">
        <v>60</v>
      </c>
    </row>
    <row r="124" spans="1:7" x14ac:dyDescent="0.25">
      <c r="A124" s="13" t="s">
        <v>3268</v>
      </c>
      <c r="B124" s="13">
        <v>1767</v>
      </c>
      <c r="C124" s="14" t="str">
        <f>+VLOOKUP(B124,[1]LISTE!$A$1:$D$431,4,FALSE)</f>
        <v>B.H.SGHAIER NAOUFEL</v>
      </c>
      <c r="D124" s="14" t="s">
        <v>3014</v>
      </c>
      <c r="E124" s="15">
        <v>46009</v>
      </c>
      <c r="F124" s="14" t="s">
        <v>20</v>
      </c>
      <c r="G124" s="16">
        <v>15.3</v>
      </c>
    </row>
    <row r="125" spans="1:7" x14ac:dyDescent="0.25">
      <c r="A125" s="13" t="s">
        <v>3175</v>
      </c>
      <c r="B125" s="13">
        <v>1773</v>
      </c>
      <c r="C125" s="14" t="str">
        <f>+VLOOKUP(B125,[1]LISTE!$A$1:$D$431,4,FALSE)</f>
        <v>GAIEB SAMI</v>
      </c>
      <c r="D125" s="14" t="s">
        <v>22</v>
      </c>
      <c r="E125" s="15">
        <v>45964</v>
      </c>
      <c r="F125" s="14" t="s">
        <v>18</v>
      </c>
      <c r="G125" s="16">
        <v>90</v>
      </c>
    </row>
    <row r="126" spans="1:7" x14ac:dyDescent="0.25">
      <c r="A126" s="13" t="s">
        <v>3295</v>
      </c>
      <c r="B126" s="13">
        <v>1779</v>
      </c>
      <c r="C126" s="14" t="str">
        <f>+VLOOKUP(B126,[1]LISTE!$A$1:$D$431,4,FALSE)</f>
        <v>BEN FREDJ LOTFI</v>
      </c>
      <c r="D126" s="15" t="s">
        <v>22</v>
      </c>
      <c r="E126" s="15">
        <v>46004</v>
      </c>
      <c r="F126" s="14" t="s">
        <v>18</v>
      </c>
      <c r="G126" s="16">
        <v>70</v>
      </c>
    </row>
    <row r="127" spans="1:7" x14ac:dyDescent="0.25">
      <c r="A127" s="13" t="s">
        <v>3295</v>
      </c>
      <c r="B127" s="13">
        <v>1779</v>
      </c>
      <c r="C127" s="14" t="str">
        <f>+VLOOKUP(B127,[1]LISTE!$A$1:$D$431,4,FALSE)</f>
        <v>BEN FREDJ LOTFI</v>
      </c>
      <c r="D127" s="15" t="s">
        <v>22</v>
      </c>
      <c r="E127" s="15">
        <v>46004</v>
      </c>
      <c r="F127" s="14" t="s">
        <v>65</v>
      </c>
      <c r="G127" s="16">
        <v>30</v>
      </c>
    </row>
    <row r="128" spans="1:7" x14ac:dyDescent="0.25">
      <c r="A128" s="13" t="s">
        <v>3295</v>
      </c>
      <c r="B128" s="13">
        <v>1779</v>
      </c>
      <c r="C128" s="14" t="str">
        <f>+VLOOKUP(B128,[1]LISTE!$A$1:$D$431,4,FALSE)</f>
        <v>BEN FREDJ LOTFI</v>
      </c>
      <c r="D128" s="15" t="s">
        <v>22</v>
      </c>
      <c r="E128" s="15">
        <v>46004</v>
      </c>
      <c r="F128" s="14" t="s">
        <v>19</v>
      </c>
      <c r="G128" s="16">
        <v>164.76</v>
      </c>
    </row>
    <row r="129" spans="1:7" x14ac:dyDescent="0.25">
      <c r="A129" s="13" t="s">
        <v>3295</v>
      </c>
      <c r="B129" s="13">
        <v>1779</v>
      </c>
      <c r="C129" s="14" t="str">
        <f>+VLOOKUP(B129,[1]LISTE!$A$1:$D$431,4,FALSE)</f>
        <v>BEN FREDJ LOTFI</v>
      </c>
      <c r="D129" s="14" t="s">
        <v>22</v>
      </c>
      <c r="E129" s="15">
        <v>46004</v>
      </c>
      <c r="F129" s="14" t="s">
        <v>20</v>
      </c>
      <c r="G129" s="16">
        <v>154.774</v>
      </c>
    </row>
    <row r="130" spans="1:7" x14ac:dyDescent="0.25">
      <c r="A130" s="13" t="s">
        <v>3222</v>
      </c>
      <c r="B130" s="13">
        <v>1781</v>
      </c>
      <c r="C130" s="14" t="str">
        <f>+VLOOKUP(B130,[1]LISTE!$A$1:$D$431,4,FALSE)</f>
        <v>KEMIMECH MOHAMED</v>
      </c>
      <c r="D130" s="14" t="s">
        <v>22</v>
      </c>
      <c r="E130" s="15">
        <v>45992</v>
      </c>
      <c r="F130" s="14" t="s">
        <v>23</v>
      </c>
      <c r="G130" s="16">
        <v>50</v>
      </c>
    </row>
    <row r="131" spans="1:7" x14ac:dyDescent="0.25">
      <c r="A131" s="13" t="s">
        <v>3222</v>
      </c>
      <c r="B131" s="13">
        <v>1781</v>
      </c>
      <c r="C131" s="14" t="str">
        <f>+VLOOKUP(B131,[1]LISTE!$A$1:$D$431,4,FALSE)</f>
        <v>KEMIMECH MOHAMED</v>
      </c>
      <c r="D131" s="14" t="s">
        <v>22</v>
      </c>
      <c r="E131" s="15">
        <v>45992</v>
      </c>
      <c r="F131" s="14" t="s">
        <v>20</v>
      </c>
      <c r="G131" s="16">
        <v>45.604999999999997</v>
      </c>
    </row>
    <row r="132" spans="1:7" x14ac:dyDescent="0.25">
      <c r="A132" s="13" t="s">
        <v>3222</v>
      </c>
      <c r="B132" s="13">
        <v>1781</v>
      </c>
      <c r="C132" s="14" t="str">
        <f>+VLOOKUP(B132,[1]LISTE!$A$1:$D$431,4,FALSE)</f>
        <v>KEMIMECH MOHAMED</v>
      </c>
      <c r="D132" s="14" t="s">
        <v>22</v>
      </c>
      <c r="E132" s="15">
        <v>45997</v>
      </c>
      <c r="F132" s="14" t="s">
        <v>24</v>
      </c>
      <c r="G132" s="16">
        <v>260</v>
      </c>
    </row>
    <row r="133" spans="1:7" x14ac:dyDescent="0.25">
      <c r="A133" s="13" t="s">
        <v>3215</v>
      </c>
      <c r="B133" s="13">
        <v>1782</v>
      </c>
      <c r="C133" s="14" t="str">
        <f>+VLOOKUP(B133,[1]LISTE!$A$1:$D$431,4,FALSE)</f>
        <v>IBRAHIM JAMEL</v>
      </c>
      <c r="D133" s="14" t="s">
        <v>3216</v>
      </c>
      <c r="E133" s="15">
        <v>46001</v>
      </c>
      <c r="F133" s="14" t="s">
        <v>23</v>
      </c>
      <c r="G133" s="16">
        <v>50</v>
      </c>
    </row>
    <row r="134" spans="1:7" x14ac:dyDescent="0.25">
      <c r="A134" s="13" t="s">
        <v>3215</v>
      </c>
      <c r="B134" s="13">
        <v>1782</v>
      </c>
      <c r="C134" s="14" t="str">
        <f>+VLOOKUP(B134,[1]LISTE!$A$1:$D$431,4,FALSE)</f>
        <v>IBRAHIM JAMEL</v>
      </c>
      <c r="D134" s="15" t="s">
        <v>3216</v>
      </c>
      <c r="E134" s="15">
        <v>46001</v>
      </c>
      <c r="F134" s="14" t="s">
        <v>20</v>
      </c>
      <c r="G134" s="16">
        <v>29.03</v>
      </c>
    </row>
    <row r="135" spans="1:7" x14ac:dyDescent="0.25">
      <c r="A135" s="13" t="s">
        <v>3217</v>
      </c>
      <c r="B135" s="13">
        <v>1784</v>
      </c>
      <c r="C135" s="14" t="str">
        <f>+VLOOKUP(B135,[1]LISTE!$A$1:$D$431,4,FALSE)</f>
        <v>LAYOUNI KHALED</v>
      </c>
      <c r="D135" s="15" t="s">
        <v>3218</v>
      </c>
      <c r="E135" s="15">
        <v>45989</v>
      </c>
      <c r="F135" s="14" t="s">
        <v>18</v>
      </c>
      <c r="G135" s="16">
        <v>70</v>
      </c>
    </row>
    <row r="136" spans="1:7" x14ac:dyDescent="0.25">
      <c r="A136" s="13" t="s">
        <v>3217</v>
      </c>
      <c r="B136" s="13">
        <v>1784</v>
      </c>
      <c r="C136" s="14" t="str">
        <f>+VLOOKUP(B136,[1]LISTE!$A$1:$D$431,4,FALSE)</f>
        <v>LAYOUNI KHALED</v>
      </c>
      <c r="D136" s="14" t="s">
        <v>3218</v>
      </c>
      <c r="E136" s="15">
        <v>45998</v>
      </c>
      <c r="F136" s="14" t="s">
        <v>20</v>
      </c>
      <c r="G136" s="16">
        <v>29.465</v>
      </c>
    </row>
    <row r="137" spans="1:7" x14ac:dyDescent="0.25">
      <c r="A137" s="13" t="s">
        <v>3217</v>
      </c>
      <c r="B137" s="13">
        <v>1784</v>
      </c>
      <c r="C137" s="14" t="str">
        <f>+VLOOKUP(B137,[1]LISTE!$A$1:$D$431,4,FALSE)</f>
        <v>LAYOUNI KHALED</v>
      </c>
      <c r="D137" s="15" t="s">
        <v>3218</v>
      </c>
      <c r="E137" s="15">
        <v>45977</v>
      </c>
      <c r="F137" s="14" t="s">
        <v>21</v>
      </c>
      <c r="G137" s="16">
        <v>120</v>
      </c>
    </row>
    <row r="138" spans="1:7" x14ac:dyDescent="0.25">
      <c r="A138" s="13" t="s">
        <v>3217</v>
      </c>
      <c r="B138" s="13">
        <v>1784</v>
      </c>
      <c r="C138" s="14" t="str">
        <f>+VLOOKUP(B138,[1]LISTE!$A$1:$D$431,4,FALSE)</f>
        <v>LAYOUNI KHALED</v>
      </c>
      <c r="D138" s="14" t="s">
        <v>3218</v>
      </c>
      <c r="E138" s="15">
        <v>45989</v>
      </c>
      <c r="F138" s="14" t="s">
        <v>65</v>
      </c>
      <c r="G138" s="16">
        <v>110</v>
      </c>
    </row>
    <row r="139" spans="1:7" x14ac:dyDescent="0.25">
      <c r="A139" s="13" t="s">
        <v>3256</v>
      </c>
      <c r="B139" s="13">
        <v>1789</v>
      </c>
      <c r="C139" s="14" t="str">
        <f>+VLOOKUP(B139,[1]LISTE!$A$1:$D$431,4,FALSE)</f>
        <v>CHIHI MOHAMED SALAH</v>
      </c>
      <c r="D139" s="14" t="s">
        <v>37</v>
      </c>
      <c r="E139" s="15">
        <v>46008</v>
      </c>
      <c r="F139" s="14" t="s">
        <v>23</v>
      </c>
      <c r="G139" s="16">
        <v>70</v>
      </c>
    </row>
    <row r="140" spans="1:7" x14ac:dyDescent="0.25">
      <c r="A140" s="13" t="s">
        <v>3256</v>
      </c>
      <c r="B140" s="13">
        <v>1789</v>
      </c>
      <c r="C140" s="14" t="str">
        <f>+VLOOKUP(B140,[1]LISTE!$A$1:$D$431,4,FALSE)</f>
        <v>CHIHI MOHAMED SALAH</v>
      </c>
      <c r="D140" s="15" t="s">
        <v>37</v>
      </c>
      <c r="E140" s="15">
        <v>46008</v>
      </c>
      <c r="F140" s="14" t="s">
        <v>20</v>
      </c>
      <c r="G140" s="16">
        <v>41.252000000000002</v>
      </c>
    </row>
    <row r="141" spans="1:7" x14ac:dyDescent="0.25">
      <c r="A141" s="13" t="s">
        <v>3278</v>
      </c>
      <c r="B141" s="13">
        <v>1796</v>
      </c>
      <c r="C141" s="14" t="str">
        <f>+VLOOKUP(B141,[1]LISTE!$A$1:$D$431,4,FALSE)</f>
        <v>BEL HADJ HASSINE IMED</v>
      </c>
      <c r="D141" s="14" t="s">
        <v>22</v>
      </c>
      <c r="E141" s="15">
        <v>45988</v>
      </c>
      <c r="F141" s="14" t="s">
        <v>18</v>
      </c>
      <c r="G141" s="16">
        <v>70</v>
      </c>
    </row>
    <row r="142" spans="1:7" x14ac:dyDescent="0.25">
      <c r="A142" s="13" t="s">
        <v>3278</v>
      </c>
      <c r="B142" s="13">
        <v>1796</v>
      </c>
      <c r="C142" s="14" t="str">
        <f>+VLOOKUP(B142,[1]LISTE!$A$1:$D$431,4,FALSE)</f>
        <v>BEL HADJ HASSINE IMED</v>
      </c>
      <c r="D142" s="14" t="s">
        <v>22</v>
      </c>
      <c r="E142" s="15">
        <v>46009</v>
      </c>
      <c r="F142" s="14" t="s">
        <v>20</v>
      </c>
      <c r="G142" s="16">
        <v>14.912000000000001</v>
      </c>
    </row>
    <row r="143" spans="1:7" x14ac:dyDescent="0.25">
      <c r="A143" s="13" t="s">
        <v>3306</v>
      </c>
      <c r="B143" s="13">
        <v>1801</v>
      </c>
      <c r="C143" s="14" t="str">
        <f>+VLOOKUP(B143,[1]LISTE!$A$1:$D$431,4,FALSE)</f>
        <v>MAHJOUB MOHAMED</v>
      </c>
      <c r="D143" s="15" t="s">
        <v>405</v>
      </c>
      <c r="E143" s="15">
        <v>46011</v>
      </c>
      <c r="F143" s="14" t="s">
        <v>23</v>
      </c>
      <c r="G143" s="16">
        <v>40</v>
      </c>
    </row>
    <row r="144" spans="1:7" x14ac:dyDescent="0.25">
      <c r="A144" s="13" t="s">
        <v>3306</v>
      </c>
      <c r="B144" s="13">
        <v>1801</v>
      </c>
      <c r="C144" s="14" t="str">
        <f>+VLOOKUP(B144,[1]LISTE!$A$1:$D$431,4,FALSE)</f>
        <v>MAHJOUB MOHAMED</v>
      </c>
      <c r="D144" s="15" t="s">
        <v>405</v>
      </c>
      <c r="E144" s="15">
        <v>46011</v>
      </c>
      <c r="F144" s="14" t="s">
        <v>20</v>
      </c>
      <c r="G144" s="16">
        <v>13.244999999999999</v>
      </c>
    </row>
    <row r="145" spans="1:7" x14ac:dyDescent="0.25">
      <c r="A145" s="13" t="s">
        <v>3258</v>
      </c>
      <c r="B145" s="13">
        <v>1803</v>
      </c>
      <c r="C145" s="14" t="str">
        <f>+VLOOKUP(B145,[1]LISTE!$A$1:$D$431,4,FALSE)</f>
        <v>GAM HAMDI</v>
      </c>
      <c r="D145" s="15" t="s">
        <v>184</v>
      </c>
      <c r="E145" s="15">
        <v>45971</v>
      </c>
      <c r="F145" s="14" t="s">
        <v>23</v>
      </c>
      <c r="G145" s="16">
        <v>50</v>
      </c>
    </row>
    <row r="146" spans="1:7" x14ac:dyDescent="0.25">
      <c r="A146" s="13" t="s">
        <v>3258</v>
      </c>
      <c r="B146" s="13">
        <v>1803</v>
      </c>
      <c r="C146" s="14" t="str">
        <f>+VLOOKUP(B146,[1]LISTE!$A$1:$D$431,4,FALSE)</f>
        <v>GAM HAMDI</v>
      </c>
      <c r="D146" s="14" t="s">
        <v>184</v>
      </c>
      <c r="E146" s="15">
        <v>45971</v>
      </c>
      <c r="F146" s="14" t="s">
        <v>20</v>
      </c>
      <c r="G146" s="16">
        <v>2.7149999999999999</v>
      </c>
    </row>
    <row r="147" spans="1:7" x14ac:dyDescent="0.25">
      <c r="A147" s="13" t="s">
        <v>3258</v>
      </c>
      <c r="B147" s="13">
        <v>1803</v>
      </c>
      <c r="C147" s="14" t="str">
        <f>+VLOOKUP(B147,[1]LISTE!$A$1:$D$431,4,FALSE)</f>
        <v>GAM HAMDI</v>
      </c>
      <c r="D147" s="14" t="s">
        <v>184</v>
      </c>
      <c r="E147" s="15">
        <v>45974</v>
      </c>
      <c r="F147" s="14" t="s">
        <v>21</v>
      </c>
      <c r="G147" s="16">
        <v>150</v>
      </c>
    </row>
    <row r="148" spans="1:7" x14ac:dyDescent="0.25">
      <c r="A148" s="13" t="s">
        <v>3208</v>
      </c>
      <c r="B148" s="13">
        <v>1809</v>
      </c>
      <c r="C148" s="14" t="str">
        <f>+VLOOKUP(B148,[1]LISTE!$A$1:$D$431,4,FALSE)</f>
        <v>JUILI AFIF</v>
      </c>
      <c r="D148" s="14" t="s">
        <v>513</v>
      </c>
      <c r="E148" s="15">
        <v>46002</v>
      </c>
      <c r="F148" s="14" t="s">
        <v>364</v>
      </c>
      <c r="G148" s="16">
        <v>2033.152</v>
      </c>
    </row>
    <row r="149" spans="1:7" x14ac:dyDescent="0.25">
      <c r="A149" s="13" t="s">
        <v>3208</v>
      </c>
      <c r="B149" s="13">
        <v>1809</v>
      </c>
      <c r="C149" s="14" t="str">
        <f>+VLOOKUP(B149,[1]LISTE!$A$1:$D$431,4,FALSE)</f>
        <v>JUILI AFIF</v>
      </c>
      <c r="D149" s="14" t="s">
        <v>513</v>
      </c>
      <c r="E149" s="15">
        <v>46000</v>
      </c>
      <c r="F149" s="14" t="s">
        <v>19</v>
      </c>
      <c r="G149" s="16">
        <v>63.25</v>
      </c>
    </row>
    <row r="150" spans="1:7" x14ac:dyDescent="0.25">
      <c r="A150" s="13" t="s">
        <v>3208</v>
      </c>
      <c r="B150" s="13">
        <v>1809</v>
      </c>
      <c r="C150" s="14" t="str">
        <f>+VLOOKUP(B150,[1]LISTE!$A$1:$D$431,4,FALSE)</f>
        <v>JUILI AFIF</v>
      </c>
      <c r="D150" s="15" t="s">
        <v>513</v>
      </c>
      <c r="E150" s="15">
        <v>46003</v>
      </c>
      <c r="F150" s="14" t="s">
        <v>363</v>
      </c>
      <c r="G150" s="16">
        <v>500</v>
      </c>
    </row>
    <row r="151" spans="1:7" x14ac:dyDescent="0.25">
      <c r="A151" s="13" t="s">
        <v>3208</v>
      </c>
      <c r="B151" s="13">
        <v>1809</v>
      </c>
      <c r="C151" s="14" t="str">
        <f>+VLOOKUP(B151,[1]LISTE!$A$1:$D$431,4,FALSE)</f>
        <v>JUILI AFIF</v>
      </c>
      <c r="D151" s="15" t="s">
        <v>513</v>
      </c>
      <c r="E151" s="15">
        <v>46003</v>
      </c>
      <c r="F151" s="14" t="s">
        <v>363</v>
      </c>
      <c r="G151" s="16">
        <v>1500</v>
      </c>
    </row>
    <row r="152" spans="1:7" x14ac:dyDescent="0.25">
      <c r="A152" s="13" t="s">
        <v>3208</v>
      </c>
      <c r="B152" s="13">
        <v>1809</v>
      </c>
      <c r="C152" s="14" t="str">
        <f>+VLOOKUP(B152,[1]LISTE!$A$1:$D$431,4,FALSE)</f>
        <v>JUILI AFIF</v>
      </c>
      <c r="D152" s="14" t="s">
        <v>513</v>
      </c>
      <c r="E152" s="15">
        <v>46001</v>
      </c>
      <c r="F152" s="14" t="s">
        <v>21</v>
      </c>
      <c r="G152" s="16">
        <v>70</v>
      </c>
    </row>
    <row r="153" spans="1:7" x14ac:dyDescent="0.25">
      <c r="A153" s="13" t="s">
        <v>3208</v>
      </c>
      <c r="B153" s="13">
        <v>1809</v>
      </c>
      <c r="C153" s="14" t="str">
        <f>+VLOOKUP(B153,[1]LISTE!$A$1:$D$431,4,FALSE)</f>
        <v>JUILI AFIF</v>
      </c>
      <c r="D153" s="14" t="s">
        <v>513</v>
      </c>
      <c r="E153" s="15">
        <v>46000</v>
      </c>
      <c r="F153" s="14" t="s">
        <v>21</v>
      </c>
      <c r="G153" s="16">
        <v>300</v>
      </c>
    </row>
    <row r="154" spans="1:7" x14ac:dyDescent="0.25">
      <c r="A154" s="13" t="s">
        <v>3208</v>
      </c>
      <c r="B154" s="13">
        <v>1809</v>
      </c>
      <c r="C154" s="14" t="str">
        <f>+VLOOKUP(B154,[1]LISTE!$A$1:$D$431,4,FALSE)</f>
        <v>JUILI AFIF</v>
      </c>
      <c r="D154" s="14" t="s">
        <v>513</v>
      </c>
      <c r="E154" s="15">
        <v>46002</v>
      </c>
      <c r="F154" s="14" t="s">
        <v>65</v>
      </c>
      <c r="G154" s="16">
        <v>1800</v>
      </c>
    </row>
    <row r="155" spans="1:7" x14ac:dyDescent="0.25">
      <c r="A155" s="13" t="s">
        <v>3209</v>
      </c>
      <c r="B155" s="13">
        <v>1809</v>
      </c>
      <c r="C155" s="14" t="str">
        <f>+VLOOKUP(B155,[1]LISTE!$A$1:$D$431,4,FALSE)</f>
        <v>JUILI AFIF</v>
      </c>
      <c r="D155" s="15" t="s">
        <v>513</v>
      </c>
      <c r="E155" s="15">
        <v>46003</v>
      </c>
      <c r="F155" s="14" t="s">
        <v>20</v>
      </c>
      <c r="G155" s="16">
        <v>259.60599999999999</v>
      </c>
    </row>
    <row r="156" spans="1:7" x14ac:dyDescent="0.25">
      <c r="A156" s="13" t="s">
        <v>3188</v>
      </c>
      <c r="B156" s="13">
        <v>1817</v>
      </c>
      <c r="C156" s="14" t="str">
        <f>+VLOOKUP(B156,[1]LISTE!$A$1:$D$431,4,FALSE)</f>
        <v>ZOUITEN MUSTAPHA</v>
      </c>
      <c r="D156" s="14" t="s">
        <v>22</v>
      </c>
      <c r="E156" s="15">
        <v>45981</v>
      </c>
      <c r="F156" s="14" t="s">
        <v>20</v>
      </c>
      <c r="G156" s="16">
        <v>349.86099999999999</v>
      </c>
    </row>
    <row r="157" spans="1:7" x14ac:dyDescent="0.25">
      <c r="A157" s="13" t="s">
        <v>3332</v>
      </c>
      <c r="B157" s="13">
        <v>1817</v>
      </c>
      <c r="C157" s="14" t="str">
        <f>+VLOOKUP(B157,[1]LISTE!$A$1:$D$431,4,FALSE)</f>
        <v>ZOUITEN MUSTAPHA</v>
      </c>
      <c r="D157" s="15" t="s">
        <v>405</v>
      </c>
      <c r="E157" s="15">
        <v>46016</v>
      </c>
      <c r="F157" s="14" t="s">
        <v>20</v>
      </c>
      <c r="G157" s="16">
        <v>86.778999999999996</v>
      </c>
    </row>
    <row r="158" spans="1:7" x14ac:dyDescent="0.25">
      <c r="A158" s="13" t="s">
        <v>3333</v>
      </c>
      <c r="B158" s="13">
        <v>1817</v>
      </c>
      <c r="C158" s="14" t="str">
        <f>+VLOOKUP(B158,[1]LISTE!$A$1:$D$431,4,FALSE)</f>
        <v>ZOUITEN MUSTAPHA</v>
      </c>
      <c r="D158" s="15" t="s">
        <v>3334</v>
      </c>
      <c r="E158" s="15">
        <v>46017</v>
      </c>
      <c r="F158" s="14" t="s">
        <v>20</v>
      </c>
      <c r="G158" s="16">
        <v>42.481999999999999</v>
      </c>
    </row>
    <row r="159" spans="1:7" x14ac:dyDescent="0.25">
      <c r="A159" s="13" t="s">
        <v>3177</v>
      </c>
      <c r="B159" s="13">
        <v>1819</v>
      </c>
      <c r="C159" s="14" t="str">
        <f>+VLOOKUP(B159,[1]LISTE!$A$1:$D$431,4,FALSE)</f>
        <v>SASSI MOHAMED WALID</v>
      </c>
      <c r="D159" s="14" t="s">
        <v>153</v>
      </c>
      <c r="E159" s="15">
        <v>45992</v>
      </c>
      <c r="F159" s="14" t="s">
        <v>23</v>
      </c>
      <c r="G159" s="16">
        <v>60</v>
      </c>
    </row>
    <row r="160" spans="1:7" x14ac:dyDescent="0.25">
      <c r="A160" s="13" t="s">
        <v>3177</v>
      </c>
      <c r="B160" s="13">
        <v>1819</v>
      </c>
      <c r="C160" s="14" t="str">
        <f>+VLOOKUP(B160,[1]LISTE!$A$1:$D$431,4,FALSE)</f>
        <v>SASSI MOHAMED WALID</v>
      </c>
      <c r="D160" s="14" t="s">
        <v>153</v>
      </c>
      <c r="E160" s="15">
        <v>45992</v>
      </c>
      <c r="F160" s="14" t="s">
        <v>20</v>
      </c>
      <c r="G160" s="16">
        <v>4.2450000000000001</v>
      </c>
    </row>
    <row r="161" spans="1:7" x14ac:dyDescent="0.25">
      <c r="A161" s="13" t="s">
        <v>3177</v>
      </c>
      <c r="B161" s="13">
        <v>1819</v>
      </c>
      <c r="C161" s="14" t="str">
        <f>+VLOOKUP(B161,[1]LISTE!$A$1:$D$431,4,FALSE)</f>
        <v>SASSI MOHAMED WALID</v>
      </c>
      <c r="D161" s="15" t="s">
        <v>153</v>
      </c>
      <c r="E161" s="15">
        <v>45999</v>
      </c>
      <c r="F161" s="14" t="s">
        <v>24</v>
      </c>
      <c r="G161" s="16">
        <v>69</v>
      </c>
    </row>
    <row r="162" spans="1:7" x14ac:dyDescent="0.25">
      <c r="A162" s="13" t="s">
        <v>3230</v>
      </c>
      <c r="B162" s="13">
        <v>1819</v>
      </c>
      <c r="C162" s="14" t="str">
        <f>+VLOOKUP(B162,[1]LISTE!$A$1:$D$431,4,FALSE)</f>
        <v>SASSI MOHAMED WALID</v>
      </c>
      <c r="D162" s="15" t="s">
        <v>153</v>
      </c>
      <c r="E162" s="15">
        <v>46003</v>
      </c>
      <c r="F162" s="14" t="s">
        <v>24</v>
      </c>
      <c r="G162" s="16">
        <v>108</v>
      </c>
    </row>
    <row r="163" spans="1:7" x14ac:dyDescent="0.25">
      <c r="A163" s="13" t="s">
        <v>3265</v>
      </c>
      <c r="B163" s="13">
        <v>1827</v>
      </c>
      <c r="C163" s="14" t="str">
        <f>+VLOOKUP(B163,[1]LISTE!$A$1:$D$431,4,FALSE)</f>
        <v>CHTIOUI HAMADI</v>
      </c>
      <c r="D163" s="15" t="s">
        <v>394</v>
      </c>
      <c r="E163" s="15">
        <v>46013</v>
      </c>
      <c r="F163" s="14" t="s">
        <v>18</v>
      </c>
      <c r="G163" s="16">
        <v>70</v>
      </c>
    </row>
    <row r="164" spans="1:7" x14ac:dyDescent="0.25">
      <c r="A164" s="13" t="s">
        <v>3265</v>
      </c>
      <c r="B164" s="13">
        <v>1827</v>
      </c>
      <c r="C164" s="14" t="str">
        <f>+VLOOKUP(B164,[1]LISTE!$A$1:$D$431,4,FALSE)</f>
        <v>CHTIOUI HAMADI</v>
      </c>
      <c r="D164" s="15" t="s">
        <v>394</v>
      </c>
      <c r="E164" s="15">
        <v>46013</v>
      </c>
      <c r="F164" s="14" t="s">
        <v>20</v>
      </c>
      <c r="G164" s="16">
        <v>13.074999999999999</v>
      </c>
    </row>
    <row r="165" spans="1:7" x14ac:dyDescent="0.25">
      <c r="A165" s="13" t="s">
        <v>3266</v>
      </c>
      <c r="B165" s="13">
        <v>1827</v>
      </c>
      <c r="C165" s="14" t="str">
        <f>+VLOOKUP(B165,[1]LISTE!$A$1:$D$431,4,FALSE)</f>
        <v>CHTIOUI HAMADI</v>
      </c>
      <c r="D165" s="14" t="s">
        <v>3267</v>
      </c>
      <c r="E165" s="15">
        <v>46009</v>
      </c>
      <c r="F165" s="14" t="s">
        <v>23</v>
      </c>
      <c r="G165" s="16">
        <v>40</v>
      </c>
    </row>
    <row r="166" spans="1:7" x14ac:dyDescent="0.25">
      <c r="A166" s="13" t="s">
        <v>3266</v>
      </c>
      <c r="B166" s="13">
        <v>1827</v>
      </c>
      <c r="C166" s="14" t="str">
        <f>+VLOOKUP(B166,[1]LISTE!$A$1:$D$431,4,FALSE)</f>
        <v>CHTIOUI HAMADI</v>
      </c>
      <c r="D166" s="14" t="s">
        <v>3267</v>
      </c>
      <c r="E166" s="15">
        <v>46009</v>
      </c>
      <c r="F166" s="14" t="s">
        <v>20</v>
      </c>
      <c r="G166" s="16">
        <v>19.478000000000002</v>
      </c>
    </row>
    <row r="167" spans="1:7" x14ac:dyDescent="0.25">
      <c r="A167" s="13" t="s">
        <v>3237</v>
      </c>
      <c r="B167" s="13">
        <v>1830</v>
      </c>
      <c r="C167" s="14" t="str">
        <f>+VLOOKUP(B167,[1]LISTE!$A$1:$D$431,4,FALSE)</f>
        <v>LOURIMI ABDALLAH</v>
      </c>
      <c r="D167" s="14" t="s">
        <v>54</v>
      </c>
      <c r="E167" s="15">
        <v>46005</v>
      </c>
      <c r="F167" s="14" t="s">
        <v>23</v>
      </c>
      <c r="G167" s="16">
        <v>50</v>
      </c>
    </row>
    <row r="168" spans="1:7" x14ac:dyDescent="0.25">
      <c r="A168" s="13" t="s">
        <v>3253</v>
      </c>
      <c r="B168" s="13">
        <v>1832</v>
      </c>
      <c r="C168" s="14" t="str">
        <f>+VLOOKUP(B168,[1]LISTE!$A$1:$D$431,4,FALSE)</f>
        <v>ERGUEZ MEJDI</v>
      </c>
      <c r="D168" s="14" t="s">
        <v>843</v>
      </c>
      <c r="E168" s="15">
        <v>45996</v>
      </c>
      <c r="F168" s="14" t="s">
        <v>18</v>
      </c>
      <c r="G168" s="16">
        <v>70</v>
      </c>
    </row>
    <row r="169" spans="1:7" x14ac:dyDescent="0.25">
      <c r="A169" s="13" t="s">
        <v>3253</v>
      </c>
      <c r="B169" s="13">
        <v>1832</v>
      </c>
      <c r="C169" s="14" t="str">
        <f>+VLOOKUP(B169,[1]LISTE!$A$1:$D$431,4,FALSE)</f>
        <v>ERGUEZ MEJDI</v>
      </c>
      <c r="D169" s="15" t="s">
        <v>843</v>
      </c>
      <c r="E169" s="15">
        <v>45996</v>
      </c>
      <c r="F169" s="14" t="s">
        <v>20</v>
      </c>
      <c r="G169" s="16">
        <v>290</v>
      </c>
    </row>
    <row r="170" spans="1:7" x14ac:dyDescent="0.25">
      <c r="A170" s="13" t="s">
        <v>3254</v>
      </c>
      <c r="B170" s="13">
        <v>1832</v>
      </c>
      <c r="C170" s="14" t="str">
        <f>+VLOOKUP(B170,[1]LISTE!$A$1:$D$431,4,FALSE)</f>
        <v>ERGUEZ MEJDI</v>
      </c>
      <c r="D170" s="14" t="s">
        <v>742</v>
      </c>
      <c r="E170" s="15">
        <v>45995</v>
      </c>
      <c r="F170" s="14" t="s">
        <v>20</v>
      </c>
      <c r="G170" s="16">
        <v>150.91</v>
      </c>
    </row>
    <row r="171" spans="1:7" x14ac:dyDescent="0.25">
      <c r="A171" s="13" t="s">
        <v>3314</v>
      </c>
      <c r="B171" s="13">
        <v>1849</v>
      </c>
      <c r="C171" s="14" t="str">
        <f>+VLOOKUP(B171,[1]LISTE!$A$1:$D$431,4,FALSE)</f>
        <v>GANHOUBA MEHDI</v>
      </c>
      <c r="D171" s="15" t="s">
        <v>298</v>
      </c>
      <c r="E171" s="15">
        <v>46015</v>
      </c>
      <c r="F171" s="14" t="s">
        <v>23</v>
      </c>
      <c r="G171" s="16">
        <v>50</v>
      </c>
    </row>
    <row r="172" spans="1:7" x14ac:dyDescent="0.25">
      <c r="A172" s="13" t="s">
        <v>3314</v>
      </c>
      <c r="B172" s="13">
        <v>1849</v>
      </c>
      <c r="C172" s="14" t="str">
        <f>+VLOOKUP(B172,[1]LISTE!$A$1:$D$431,4,FALSE)</f>
        <v>GANHOUBA MEHDI</v>
      </c>
      <c r="D172" s="15" t="s">
        <v>298</v>
      </c>
      <c r="E172" s="15">
        <v>46015</v>
      </c>
      <c r="F172" s="14" t="s">
        <v>20</v>
      </c>
      <c r="G172" s="16">
        <v>2.2149999999999999</v>
      </c>
    </row>
    <row r="173" spans="1:7" x14ac:dyDescent="0.25">
      <c r="A173" s="13" t="s">
        <v>3289</v>
      </c>
      <c r="B173" s="13">
        <v>1851</v>
      </c>
      <c r="C173" s="14" t="str">
        <f>+VLOOKUP(B173,[1]LISTE!$A$1:$D$431,4,FALSE)</f>
        <v>ATTIA FAYCAL</v>
      </c>
      <c r="D173" s="14" t="s">
        <v>22</v>
      </c>
      <c r="E173" s="15">
        <v>46013</v>
      </c>
      <c r="F173" s="14" t="s">
        <v>23</v>
      </c>
      <c r="G173" s="16">
        <v>40</v>
      </c>
    </row>
    <row r="174" spans="1:7" x14ac:dyDescent="0.25">
      <c r="A174" s="13" t="s">
        <v>3289</v>
      </c>
      <c r="B174" s="13">
        <v>1851</v>
      </c>
      <c r="C174" s="14" t="str">
        <f>+VLOOKUP(B174,[1]LISTE!$A$1:$D$431,4,FALSE)</f>
        <v>ATTIA FAYCAL</v>
      </c>
      <c r="D174" s="15" t="s">
        <v>22</v>
      </c>
      <c r="E174" s="15">
        <v>46013</v>
      </c>
      <c r="F174" s="14" t="s">
        <v>20</v>
      </c>
      <c r="G174" s="16">
        <v>30.414999999999999</v>
      </c>
    </row>
    <row r="175" spans="1:7" x14ac:dyDescent="0.25">
      <c r="A175" s="13" t="s">
        <v>3261</v>
      </c>
      <c r="B175" s="13">
        <v>1861</v>
      </c>
      <c r="C175" s="14" t="str">
        <f>+VLOOKUP(B175,[1]LISTE!$A$1:$D$431,4,FALSE)</f>
        <v>BOUHLEL ANIS BEN MUSTAPHA</v>
      </c>
      <c r="D175" s="14" t="s">
        <v>22</v>
      </c>
      <c r="E175" s="15">
        <v>46009</v>
      </c>
      <c r="F175" s="14" t="s">
        <v>23</v>
      </c>
      <c r="G175" s="16">
        <v>40</v>
      </c>
    </row>
    <row r="176" spans="1:7" x14ac:dyDescent="0.25">
      <c r="A176" s="13" t="s">
        <v>3261</v>
      </c>
      <c r="B176" s="13">
        <v>1861</v>
      </c>
      <c r="C176" s="14" t="str">
        <f>+VLOOKUP(B176,[1]LISTE!$A$1:$D$431,4,FALSE)</f>
        <v>BOUHLEL ANIS BEN MUSTAPHA</v>
      </c>
      <c r="D176" s="15" t="s">
        <v>22</v>
      </c>
      <c r="E176" s="15">
        <v>46010</v>
      </c>
      <c r="F176" s="14" t="s">
        <v>20</v>
      </c>
      <c r="G176" s="16">
        <v>59.637</v>
      </c>
    </row>
    <row r="177" spans="1:7" x14ac:dyDescent="0.25">
      <c r="A177" s="13" t="s">
        <v>3335</v>
      </c>
      <c r="B177" s="13">
        <v>1861</v>
      </c>
      <c r="C177" s="14" t="str">
        <f>+VLOOKUP(B177,[1]LISTE!$A$1:$D$431,4,FALSE)</f>
        <v>BOUHLEL ANIS BEN MUSTAPHA</v>
      </c>
      <c r="D177" s="15" t="s">
        <v>412</v>
      </c>
      <c r="E177" s="15">
        <v>46016</v>
      </c>
      <c r="F177" s="14" t="s">
        <v>23</v>
      </c>
      <c r="G177" s="16">
        <v>40</v>
      </c>
    </row>
    <row r="178" spans="1:7" x14ac:dyDescent="0.25">
      <c r="A178" s="13" t="s">
        <v>3335</v>
      </c>
      <c r="B178" s="13">
        <v>1861</v>
      </c>
      <c r="C178" s="14" t="str">
        <f>+VLOOKUP(B178,[1]LISTE!$A$1:$D$431,4,FALSE)</f>
        <v>BOUHLEL ANIS BEN MUSTAPHA</v>
      </c>
      <c r="D178" s="15" t="s">
        <v>412</v>
      </c>
      <c r="E178" s="15">
        <v>46016</v>
      </c>
      <c r="F178" s="14" t="s">
        <v>20</v>
      </c>
      <c r="G178" s="16">
        <v>53.484999999999999</v>
      </c>
    </row>
    <row r="179" spans="1:7" x14ac:dyDescent="0.25">
      <c r="A179" s="13" t="s">
        <v>3202</v>
      </c>
      <c r="B179" s="13">
        <v>1877</v>
      </c>
      <c r="C179" s="14" t="str">
        <f>+VLOOKUP(B179,[1]LISTE!$A$1:$D$431,4,FALSE)</f>
        <v>SOUSSI MAHER</v>
      </c>
      <c r="D179" s="15" t="s">
        <v>125</v>
      </c>
      <c r="E179" s="15">
        <v>46004</v>
      </c>
      <c r="F179" s="14" t="s">
        <v>18</v>
      </c>
      <c r="G179" s="16">
        <v>60</v>
      </c>
    </row>
    <row r="180" spans="1:7" x14ac:dyDescent="0.25">
      <c r="A180" s="13" t="s">
        <v>3202</v>
      </c>
      <c r="B180" s="13">
        <v>1877</v>
      </c>
      <c r="C180" s="14" t="str">
        <f>+VLOOKUP(B180,[1]LISTE!$A$1:$D$431,4,FALSE)</f>
        <v>SOUSSI MAHER</v>
      </c>
      <c r="D180" s="14" t="s">
        <v>125</v>
      </c>
      <c r="E180" s="15">
        <v>46004</v>
      </c>
      <c r="F180" s="14" t="s">
        <v>20</v>
      </c>
      <c r="G180" s="16">
        <v>28.033000000000001</v>
      </c>
    </row>
    <row r="181" spans="1:7" x14ac:dyDescent="0.25">
      <c r="A181" s="13" t="s">
        <v>3203</v>
      </c>
      <c r="B181" s="13">
        <v>1877</v>
      </c>
      <c r="C181" s="14" t="str">
        <f>+VLOOKUP(B181,[1]LISTE!$A$1:$D$431,4,FALSE)</f>
        <v>SOUSSI MAHER</v>
      </c>
      <c r="D181" s="15" t="s">
        <v>1340</v>
      </c>
      <c r="E181" s="15">
        <v>46003</v>
      </c>
      <c r="F181" s="14" t="s">
        <v>23</v>
      </c>
      <c r="G181" s="16">
        <v>45</v>
      </c>
    </row>
    <row r="182" spans="1:7" x14ac:dyDescent="0.25">
      <c r="A182" s="13" t="s">
        <v>3203</v>
      </c>
      <c r="B182" s="13">
        <v>1877</v>
      </c>
      <c r="C182" s="14" t="str">
        <f>+VLOOKUP(B182,[1]LISTE!$A$1:$D$431,4,FALSE)</f>
        <v>SOUSSI MAHER</v>
      </c>
      <c r="D182" s="14" t="s">
        <v>1340</v>
      </c>
      <c r="E182" s="15">
        <v>46003</v>
      </c>
      <c r="F182" s="14" t="s">
        <v>20</v>
      </c>
      <c r="G182" s="16">
        <v>20.684999999999999</v>
      </c>
    </row>
    <row r="183" spans="1:7" x14ac:dyDescent="0.25">
      <c r="A183" s="13" t="s">
        <v>3338</v>
      </c>
      <c r="B183" s="13">
        <v>1877</v>
      </c>
      <c r="C183" s="14" t="str">
        <f>+VLOOKUP(B183,[1]LISTE!$A$1:$D$431,4,FALSE)</f>
        <v>SOUSSI MAHER</v>
      </c>
      <c r="D183" s="15" t="s">
        <v>22</v>
      </c>
      <c r="E183" s="15">
        <v>46018</v>
      </c>
      <c r="F183" s="14" t="s">
        <v>18</v>
      </c>
      <c r="G183" s="16">
        <v>70</v>
      </c>
    </row>
    <row r="184" spans="1:7" x14ac:dyDescent="0.25">
      <c r="A184" s="13" t="s">
        <v>3338</v>
      </c>
      <c r="B184" s="13">
        <v>1877</v>
      </c>
      <c r="C184" s="14" t="str">
        <f>+VLOOKUP(B184,[1]LISTE!$A$1:$D$431,4,FALSE)</f>
        <v>SOUSSI MAHER</v>
      </c>
      <c r="D184" s="15" t="s">
        <v>22</v>
      </c>
      <c r="E184" s="15">
        <v>46018</v>
      </c>
      <c r="F184" s="14" t="s">
        <v>20</v>
      </c>
      <c r="G184" s="16">
        <v>35.445</v>
      </c>
    </row>
    <row r="185" spans="1:7" x14ac:dyDescent="0.25">
      <c r="A185" s="13" t="s">
        <v>3235</v>
      </c>
      <c r="B185" s="13">
        <v>1887</v>
      </c>
      <c r="C185" s="14" t="str">
        <f>+VLOOKUP(B185,[1]LISTE!$A$1:$D$431,4,FALSE)</f>
        <v>BEN SALAH HATEM</v>
      </c>
      <c r="D185" s="14" t="s">
        <v>513</v>
      </c>
      <c r="E185" s="15">
        <v>46002</v>
      </c>
      <c r="F185" s="14" t="s">
        <v>18</v>
      </c>
      <c r="G185" s="16">
        <v>60</v>
      </c>
    </row>
    <row r="186" spans="1:7" x14ac:dyDescent="0.25">
      <c r="A186" s="13" t="s">
        <v>3235</v>
      </c>
      <c r="B186" s="13">
        <v>1887</v>
      </c>
      <c r="C186" s="14" t="str">
        <f>+VLOOKUP(B186,[1]LISTE!$A$1:$D$431,4,FALSE)</f>
        <v>BEN SALAH HATEM</v>
      </c>
      <c r="D186" s="14" t="s">
        <v>513</v>
      </c>
      <c r="E186" s="15">
        <v>46002</v>
      </c>
      <c r="F186" s="14" t="s">
        <v>20</v>
      </c>
      <c r="G186" s="16">
        <v>65.444999999999993</v>
      </c>
    </row>
    <row r="187" spans="1:7" x14ac:dyDescent="0.25">
      <c r="A187" s="13" t="s">
        <v>3300</v>
      </c>
      <c r="B187" s="13">
        <v>1887</v>
      </c>
      <c r="C187" s="14" t="str">
        <f>+VLOOKUP(B187,[1]LISTE!$A$1:$D$431,4,FALSE)</f>
        <v>BEN SALAH HATEM</v>
      </c>
      <c r="D187" s="15" t="s">
        <v>361</v>
      </c>
      <c r="E187" s="15">
        <v>46003</v>
      </c>
      <c r="F187" s="14" t="s">
        <v>20</v>
      </c>
      <c r="G187" s="16">
        <v>2.2149999999999999</v>
      </c>
    </row>
    <row r="188" spans="1:7" x14ac:dyDescent="0.25">
      <c r="A188" s="13" t="s">
        <v>3300</v>
      </c>
      <c r="B188" s="13">
        <v>1887</v>
      </c>
      <c r="C188" s="14" t="str">
        <f>+VLOOKUP(B188,[1]LISTE!$A$1:$D$431,4,FALSE)</f>
        <v>BEN SALAH HATEM</v>
      </c>
      <c r="D188" s="15" t="s">
        <v>361</v>
      </c>
      <c r="E188" s="15">
        <v>46003</v>
      </c>
      <c r="F188" s="14" t="s">
        <v>21</v>
      </c>
      <c r="G188" s="16">
        <v>150</v>
      </c>
    </row>
    <row r="189" spans="1:7" x14ac:dyDescent="0.25">
      <c r="A189" s="13" t="s">
        <v>3300</v>
      </c>
      <c r="B189" s="13">
        <v>1887</v>
      </c>
      <c r="C189" s="14" t="str">
        <f>+VLOOKUP(B189,[1]LISTE!$A$1:$D$431,4,FALSE)</f>
        <v>BEN SALAH HATEM</v>
      </c>
      <c r="D189" s="15" t="s">
        <v>361</v>
      </c>
      <c r="E189" s="15">
        <v>46008</v>
      </c>
      <c r="F189" s="14" t="s">
        <v>24</v>
      </c>
      <c r="G189" s="16">
        <v>180</v>
      </c>
    </row>
    <row r="190" spans="1:7" x14ac:dyDescent="0.25">
      <c r="A190" s="13" t="s">
        <v>3255</v>
      </c>
      <c r="B190" s="13">
        <v>1907</v>
      </c>
      <c r="C190" s="14" t="str">
        <f>+VLOOKUP(B190,[1]LISTE!$A$1:$D$431,4,FALSE)</f>
        <v>MAMIA NEJMEDDINE</v>
      </c>
      <c r="D190" s="14" t="s">
        <v>22</v>
      </c>
      <c r="E190" s="15">
        <v>46006</v>
      </c>
      <c r="F190" s="14" t="s">
        <v>18</v>
      </c>
      <c r="G190" s="16">
        <v>100</v>
      </c>
    </row>
    <row r="191" spans="1:7" x14ac:dyDescent="0.25">
      <c r="A191" s="13" t="s">
        <v>3255</v>
      </c>
      <c r="B191" s="13">
        <v>1907</v>
      </c>
      <c r="C191" s="14" t="str">
        <f>+VLOOKUP(B191,[1]LISTE!$A$1:$D$431,4,FALSE)</f>
        <v>MAMIA NEJMEDDINE</v>
      </c>
      <c r="D191" s="14" t="s">
        <v>22</v>
      </c>
      <c r="E191" s="15">
        <v>46006</v>
      </c>
      <c r="F191" s="14" t="s">
        <v>20</v>
      </c>
      <c r="G191" s="16">
        <v>72.36</v>
      </c>
    </row>
    <row r="192" spans="1:7" x14ac:dyDescent="0.25">
      <c r="A192" s="13" t="s">
        <v>3312</v>
      </c>
      <c r="B192" s="13">
        <v>1910</v>
      </c>
      <c r="C192" s="14" t="str">
        <f>+VLOOKUP(B192,[1]LISTE!$A$1:$D$431,4,FALSE)</f>
        <v>YOUSFI MEHDI</v>
      </c>
      <c r="D192" s="15" t="s">
        <v>292</v>
      </c>
      <c r="E192" s="15">
        <v>46008</v>
      </c>
      <c r="F192" s="14" t="s">
        <v>18</v>
      </c>
      <c r="G192" s="16">
        <v>70</v>
      </c>
    </row>
    <row r="193" spans="1:7" x14ac:dyDescent="0.25">
      <c r="A193" s="13" t="s">
        <v>3312</v>
      </c>
      <c r="B193" s="13">
        <v>1910</v>
      </c>
      <c r="C193" s="14" t="str">
        <f>+VLOOKUP(B193,[1]LISTE!$A$1:$D$431,4,FALSE)</f>
        <v>YOUSFI MEHDI</v>
      </c>
      <c r="D193" s="15" t="s">
        <v>292</v>
      </c>
      <c r="E193" s="15">
        <v>46008</v>
      </c>
      <c r="F193" s="14" t="s">
        <v>20</v>
      </c>
      <c r="G193" s="16">
        <v>10.68</v>
      </c>
    </row>
    <row r="194" spans="1:7" x14ac:dyDescent="0.25">
      <c r="A194" s="13" t="s">
        <v>3199</v>
      </c>
      <c r="B194" s="13">
        <v>1911</v>
      </c>
      <c r="C194" s="14" t="str">
        <f>+VLOOKUP(B194,[1]LISTE!$A$1:$D$431,4,FALSE)</f>
        <v>MEJRI KHELIL</v>
      </c>
      <c r="D194" s="14" t="s">
        <v>805</v>
      </c>
      <c r="E194" s="15">
        <v>45994</v>
      </c>
      <c r="F194" s="14" t="s">
        <v>23</v>
      </c>
      <c r="G194" s="16">
        <v>45</v>
      </c>
    </row>
    <row r="195" spans="1:7" x14ac:dyDescent="0.25">
      <c r="A195" s="13" t="s">
        <v>3199</v>
      </c>
      <c r="B195" s="13">
        <v>1911</v>
      </c>
      <c r="C195" s="14" t="str">
        <f>+VLOOKUP(B195,[1]LISTE!$A$1:$D$431,4,FALSE)</f>
        <v>MEJRI KHELIL</v>
      </c>
      <c r="D195" s="14" t="s">
        <v>805</v>
      </c>
      <c r="E195" s="15">
        <v>45995</v>
      </c>
      <c r="F195" s="14" t="s">
        <v>19</v>
      </c>
      <c r="G195" s="16">
        <v>111.46</v>
      </c>
    </row>
    <row r="196" spans="1:7" x14ac:dyDescent="0.25">
      <c r="A196" s="13" t="s">
        <v>3172</v>
      </c>
      <c r="B196" s="13">
        <v>1919</v>
      </c>
      <c r="C196" s="14" t="str">
        <f>+VLOOKUP(B196,[1]LISTE!$A$1:$D$431,4,FALSE)</f>
        <v>SOUA LAYOUNI MOHAMED</v>
      </c>
      <c r="D196" s="15" t="s">
        <v>340</v>
      </c>
      <c r="E196" s="15">
        <v>46002</v>
      </c>
      <c r="F196" s="14" t="s">
        <v>23</v>
      </c>
      <c r="G196" s="16">
        <v>50</v>
      </c>
    </row>
    <row r="197" spans="1:7" x14ac:dyDescent="0.25">
      <c r="A197" s="13" t="s">
        <v>3172</v>
      </c>
      <c r="B197" s="13">
        <v>1919</v>
      </c>
      <c r="C197" s="14" t="str">
        <f>+VLOOKUP(B197,[1]LISTE!$A$1:$D$431,4,FALSE)</f>
        <v>SOUA LAYOUNI MOHAMED</v>
      </c>
      <c r="D197" s="15" t="s">
        <v>340</v>
      </c>
      <c r="E197" s="15">
        <v>46002</v>
      </c>
      <c r="F197" s="14" t="s">
        <v>19</v>
      </c>
      <c r="G197" s="16">
        <v>88.230999999999995</v>
      </c>
    </row>
    <row r="198" spans="1:7" x14ac:dyDescent="0.25">
      <c r="A198" s="13" t="s">
        <v>3172</v>
      </c>
      <c r="B198" s="13">
        <v>1919</v>
      </c>
      <c r="C198" s="14" t="str">
        <f>+VLOOKUP(B198,[1]LISTE!$A$1:$D$431,4,FALSE)</f>
        <v>SOUA LAYOUNI MOHAMED</v>
      </c>
      <c r="D198" s="15" t="s">
        <v>340</v>
      </c>
      <c r="E198" s="15">
        <v>46002</v>
      </c>
      <c r="F198" s="14" t="s">
        <v>20</v>
      </c>
      <c r="G198" s="16">
        <v>110.777</v>
      </c>
    </row>
    <row r="199" spans="1:7" x14ac:dyDescent="0.25">
      <c r="A199" s="13" t="s">
        <v>3243</v>
      </c>
      <c r="B199" s="13">
        <v>1919</v>
      </c>
      <c r="C199" s="14" t="str">
        <f>+VLOOKUP(B199,[1]LISTE!$A$1:$D$431,4,FALSE)</f>
        <v>SOUA LAYOUNI MOHAMED</v>
      </c>
      <c r="D199" s="14" t="s">
        <v>3244</v>
      </c>
      <c r="E199" s="15">
        <v>45966</v>
      </c>
      <c r="F199" s="14" t="s">
        <v>18</v>
      </c>
      <c r="G199" s="16">
        <v>70</v>
      </c>
    </row>
    <row r="200" spans="1:7" x14ac:dyDescent="0.25">
      <c r="A200" s="13" t="s">
        <v>3243</v>
      </c>
      <c r="B200" s="13">
        <v>1919</v>
      </c>
      <c r="C200" s="14" t="str">
        <f>+VLOOKUP(B200,[1]LISTE!$A$1:$D$431,4,FALSE)</f>
        <v>SOUA LAYOUNI MOHAMED</v>
      </c>
      <c r="D200" s="14" t="s">
        <v>3244</v>
      </c>
      <c r="E200" s="15">
        <v>46001</v>
      </c>
      <c r="F200" s="14" t="s">
        <v>20</v>
      </c>
      <c r="G200" s="16">
        <v>19.882999999999999</v>
      </c>
    </row>
    <row r="201" spans="1:7" x14ac:dyDescent="0.25">
      <c r="A201" s="13" t="s">
        <v>3173</v>
      </c>
      <c r="B201" s="13">
        <v>1922</v>
      </c>
      <c r="C201" s="14" t="str">
        <f>+VLOOKUP(B201,[1]LISTE!$A$1:$D$431,4,FALSE)</f>
        <v>MAHJOUB FAKER</v>
      </c>
      <c r="D201" s="14" t="s">
        <v>22</v>
      </c>
      <c r="E201" s="15">
        <v>45992</v>
      </c>
      <c r="F201" s="14" t="s">
        <v>23</v>
      </c>
      <c r="G201" s="16">
        <v>40</v>
      </c>
    </row>
    <row r="202" spans="1:7" x14ac:dyDescent="0.25">
      <c r="A202" s="13" t="s">
        <v>3173</v>
      </c>
      <c r="B202" s="13">
        <v>1922</v>
      </c>
      <c r="C202" s="14" t="str">
        <f>+VLOOKUP(B202,[1]LISTE!$A$1:$D$431,4,FALSE)</f>
        <v>MAHJOUB FAKER</v>
      </c>
      <c r="D202" s="14" t="s">
        <v>22</v>
      </c>
      <c r="E202" s="15">
        <v>45992</v>
      </c>
      <c r="F202" s="14" t="s">
        <v>20</v>
      </c>
      <c r="G202" s="16">
        <v>100.845</v>
      </c>
    </row>
    <row r="203" spans="1:7" x14ac:dyDescent="0.25">
      <c r="A203" s="13" t="s">
        <v>3174</v>
      </c>
      <c r="B203" s="13">
        <v>1922</v>
      </c>
      <c r="C203" s="14" t="str">
        <f>+VLOOKUP(B203,[1]LISTE!$A$1:$D$431,4,FALSE)</f>
        <v>MAHJOUB FAKER</v>
      </c>
      <c r="D203" s="14" t="s">
        <v>991</v>
      </c>
      <c r="E203" s="15">
        <v>45986</v>
      </c>
      <c r="F203" s="14" t="s">
        <v>18</v>
      </c>
      <c r="G203" s="16">
        <v>60</v>
      </c>
    </row>
    <row r="204" spans="1:7" x14ac:dyDescent="0.25">
      <c r="A204" s="13" t="s">
        <v>3308</v>
      </c>
      <c r="B204" s="13">
        <v>1924</v>
      </c>
      <c r="C204" s="14" t="str">
        <f>+VLOOKUP(B204,[1]LISTE!$A$1:$D$431,4,FALSE)</f>
        <v>BRAHIM Wahiba</v>
      </c>
      <c r="D204" s="15" t="s">
        <v>22</v>
      </c>
      <c r="E204" s="15">
        <v>46009</v>
      </c>
      <c r="F204" s="14" t="s">
        <v>18</v>
      </c>
      <c r="G204" s="16">
        <v>70</v>
      </c>
    </row>
    <row r="205" spans="1:7" x14ac:dyDescent="0.25">
      <c r="A205" s="13" t="s">
        <v>3308</v>
      </c>
      <c r="B205" s="13">
        <v>1924</v>
      </c>
      <c r="C205" s="14" t="str">
        <f>+VLOOKUP(B205,[1]LISTE!$A$1:$D$431,4,FALSE)</f>
        <v>BRAHIM Wahiba</v>
      </c>
      <c r="D205" s="15" t="s">
        <v>22</v>
      </c>
      <c r="E205" s="15">
        <v>46009</v>
      </c>
      <c r="F205" s="14" t="s">
        <v>19</v>
      </c>
      <c r="G205" s="16">
        <v>46.89</v>
      </c>
    </row>
    <row r="206" spans="1:7" x14ac:dyDescent="0.25">
      <c r="A206" s="13" t="s">
        <v>3308</v>
      </c>
      <c r="B206" s="13">
        <v>1924</v>
      </c>
      <c r="C206" s="14" t="str">
        <f>+VLOOKUP(B206,[1]LISTE!$A$1:$D$431,4,FALSE)</f>
        <v>BRAHIM Wahiba</v>
      </c>
      <c r="D206" s="15" t="s">
        <v>22</v>
      </c>
      <c r="E206" s="15">
        <v>46016</v>
      </c>
      <c r="F206" s="14" t="s">
        <v>20</v>
      </c>
      <c r="G206" s="16">
        <v>77</v>
      </c>
    </row>
    <row r="207" spans="1:7" x14ac:dyDescent="0.25">
      <c r="A207" s="13" t="s">
        <v>3308</v>
      </c>
      <c r="B207" s="13">
        <v>1924</v>
      </c>
      <c r="C207" s="14" t="str">
        <f>+VLOOKUP(B207,[1]LISTE!$A$1:$D$431,4,FALSE)</f>
        <v>BRAHIM Wahiba</v>
      </c>
      <c r="D207" s="15" t="s">
        <v>22</v>
      </c>
      <c r="E207" s="15">
        <v>46009</v>
      </c>
      <c r="F207" s="14" t="s">
        <v>20</v>
      </c>
      <c r="G207" s="16">
        <v>68.408000000000001</v>
      </c>
    </row>
    <row r="208" spans="1:7" x14ac:dyDescent="0.25">
      <c r="A208" s="13" t="s">
        <v>3308</v>
      </c>
      <c r="B208" s="13">
        <v>1924</v>
      </c>
      <c r="C208" s="14" t="str">
        <f>+VLOOKUP(B208,[1]LISTE!$A$1:$D$431,4,FALSE)</f>
        <v>BRAHIM Wahiba</v>
      </c>
      <c r="D208" s="15" t="s">
        <v>22</v>
      </c>
      <c r="E208" s="15">
        <v>46009</v>
      </c>
      <c r="F208" s="14" t="s">
        <v>21</v>
      </c>
      <c r="G208" s="16">
        <v>180</v>
      </c>
    </row>
    <row r="209" spans="1:7" x14ac:dyDescent="0.25">
      <c r="A209" s="13" t="s">
        <v>3196</v>
      </c>
      <c r="B209" s="13">
        <v>1936</v>
      </c>
      <c r="C209" s="14" t="str">
        <f>+VLOOKUP(B209,[1]LISTE!$A$1:$D$431,4,FALSE)</f>
        <v>JLASSI KHALED</v>
      </c>
      <c r="D209" s="14" t="s">
        <v>22</v>
      </c>
      <c r="E209" s="15">
        <v>45983</v>
      </c>
      <c r="F209" s="14" t="s">
        <v>18</v>
      </c>
      <c r="G209" s="16">
        <v>70</v>
      </c>
    </row>
    <row r="210" spans="1:7" x14ac:dyDescent="0.25">
      <c r="A210" s="13" t="s">
        <v>3196</v>
      </c>
      <c r="B210" s="13">
        <v>1936</v>
      </c>
      <c r="C210" s="14" t="str">
        <f>+VLOOKUP(B210,[1]LISTE!$A$1:$D$431,4,FALSE)</f>
        <v>JLASSI KHALED</v>
      </c>
      <c r="D210" s="14" t="s">
        <v>22</v>
      </c>
      <c r="E210" s="15">
        <v>45983</v>
      </c>
      <c r="F210" s="14" t="s">
        <v>20</v>
      </c>
      <c r="G210" s="16">
        <v>27.684999999999999</v>
      </c>
    </row>
    <row r="211" spans="1:7" x14ac:dyDescent="0.25">
      <c r="A211" s="13" t="s">
        <v>3219</v>
      </c>
      <c r="B211" s="13">
        <v>1936</v>
      </c>
      <c r="C211" s="14" t="str">
        <f>+VLOOKUP(B211,[1]LISTE!$A$1:$D$431,4,FALSE)</f>
        <v>JLASSI KHALED</v>
      </c>
      <c r="D211" s="14" t="s">
        <v>22</v>
      </c>
      <c r="E211" s="15">
        <v>45994</v>
      </c>
      <c r="F211" s="14" t="s">
        <v>18</v>
      </c>
      <c r="G211" s="16">
        <v>70</v>
      </c>
    </row>
    <row r="212" spans="1:7" x14ac:dyDescent="0.25">
      <c r="A212" s="13" t="s">
        <v>3219</v>
      </c>
      <c r="B212" s="13">
        <v>1936</v>
      </c>
      <c r="C212" s="14" t="str">
        <f>+VLOOKUP(B212,[1]LISTE!$A$1:$D$431,4,FALSE)</f>
        <v>JLASSI KHALED</v>
      </c>
      <c r="D212" s="14" t="s">
        <v>22</v>
      </c>
      <c r="E212" s="15">
        <v>45994</v>
      </c>
      <c r="F212" s="14" t="s">
        <v>20</v>
      </c>
      <c r="G212" s="16">
        <v>103.52500000000001</v>
      </c>
    </row>
    <row r="213" spans="1:7" x14ac:dyDescent="0.25">
      <c r="A213" s="13" t="s">
        <v>3242</v>
      </c>
      <c r="B213" s="13">
        <v>1936</v>
      </c>
      <c r="C213" s="14" t="str">
        <f>+VLOOKUP(B213,[1]LISTE!$A$1:$D$431,4,FALSE)</f>
        <v>JLASSI KHALED</v>
      </c>
      <c r="D213" s="15" t="s">
        <v>349</v>
      </c>
      <c r="E213" s="15">
        <v>46007</v>
      </c>
      <c r="F213" s="14" t="s">
        <v>23</v>
      </c>
      <c r="G213" s="16">
        <v>45</v>
      </c>
    </row>
    <row r="214" spans="1:7" x14ac:dyDescent="0.25">
      <c r="A214" s="13" t="s">
        <v>3242</v>
      </c>
      <c r="B214" s="13">
        <v>1936</v>
      </c>
      <c r="C214" s="14" t="str">
        <f>+VLOOKUP(B214,[1]LISTE!$A$1:$D$431,4,FALSE)</f>
        <v>JLASSI KHALED</v>
      </c>
      <c r="D214" s="14" t="s">
        <v>349</v>
      </c>
      <c r="E214" s="15">
        <v>46007</v>
      </c>
      <c r="F214" s="14" t="s">
        <v>20</v>
      </c>
      <c r="G214" s="16">
        <v>57.243000000000002</v>
      </c>
    </row>
    <row r="215" spans="1:7" x14ac:dyDescent="0.25">
      <c r="A215" s="13" t="s">
        <v>3180</v>
      </c>
      <c r="B215" s="13">
        <v>1955</v>
      </c>
      <c r="C215" s="14" t="str">
        <f>+VLOOKUP(B215,[1]LISTE!$A$1:$D$431,4,FALSE)</f>
        <v>OMRAMNE HAMMOUDA</v>
      </c>
      <c r="D215" s="14" t="s">
        <v>22</v>
      </c>
      <c r="E215" s="15">
        <v>45999</v>
      </c>
      <c r="F215" s="14" t="s">
        <v>18</v>
      </c>
      <c r="G215" s="16">
        <v>70</v>
      </c>
    </row>
    <row r="216" spans="1:7" x14ac:dyDescent="0.25">
      <c r="A216" s="13" t="s">
        <v>3180</v>
      </c>
      <c r="B216" s="13">
        <v>1955</v>
      </c>
      <c r="C216" s="14" t="str">
        <f>+VLOOKUP(B216,[1]LISTE!$A$1:$D$431,4,FALSE)</f>
        <v>OMRAMNE HAMMOUDA</v>
      </c>
      <c r="D216" s="14" t="s">
        <v>22</v>
      </c>
      <c r="E216" s="15">
        <v>46002</v>
      </c>
      <c r="F216" s="14" t="s">
        <v>20</v>
      </c>
      <c r="G216" s="16">
        <v>306.31200000000001</v>
      </c>
    </row>
    <row r="217" spans="1:7" x14ac:dyDescent="0.25">
      <c r="A217" s="13" t="s">
        <v>3322</v>
      </c>
      <c r="B217" s="13">
        <v>1955</v>
      </c>
      <c r="C217" s="14" t="str">
        <f>+VLOOKUP(B217,[1]LISTE!$A$1:$D$431,4,FALSE)</f>
        <v>OMRAMNE HAMMOUDA</v>
      </c>
      <c r="D217" s="15" t="s">
        <v>22</v>
      </c>
      <c r="E217" s="15">
        <v>46008</v>
      </c>
      <c r="F217" s="14" t="s">
        <v>18</v>
      </c>
      <c r="G217" s="16">
        <v>70</v>
      </c>
    </row>
    <row r="218" spans="1:7" x14ac:dyDescent="0.25">
      <c r="A218" s="13" t="s">
        <v>3322</v>
      </c>
      <c r="B218" s="13">
        <v>1955</v>
      </c>
      <c r="C218" s="14" t="str">
        <f>+VLOOKUP(B218,[1]LISTE!$A$1:$D$431,4,FALSE)</f>
        <v>OMRAMNE HAMMOUDA</v>
      </c>
      <c r="D218" s="15" t="s">
        <v>22</v>
      </c>
      <c r="E218" s="15">
        <v>46009</v>
      </c>
      <c r="F218" s="14" t="s">
        <v>69</v>
      </c>
      <c r="G218" s="16">
        <v>420</v>
      </c>
    </row>
    <row r="219" spans="1:7" x14ac:dyDescent="0.25">
      <c r="A219" s="13" t="s">
        <v>3316</v>
      </c>
      <c r="B219" s="13">
        <v>1961</v>
      </c>
      <c r="C219" s="14" t="str">
        <f>+VLOOKUP(B219,[1]LISTE!$A$1:$D$431,4,FALSE)</f>
        <v>HEDFI ANIS</v>
      </c>
      <c r="D219" s="15" t="s">
        <v>31</v>
      </c>
      <c r="E219" s="15">
        <v>46008</v>
      </c>
      <c r="F219" s="14" t="s">
        <v>23</v>
      </c>
      <c r="G219" s="16">
        <v>45</v>
      </c>
    </row>
    <row r="220" spans="1:7" x14ac:dyDescent="0.25">
      <c r="A220" s="13" t="s">
        <v>3316</v>
      </c>
      <c r="B220" s="13">
        <v>1961</v>
      </c>
      <c r="C220" s="14" t="str">
        <f>+VLOOKUP(B220,[1]LISTE!$A$1:$D$431,4,FALSE)</f>
        <v>HEDFI ANIS</v>
      </c>
      <c r="D220" s="15" t="s">
        <v>31</v>
      </c>
      <c r="E220" s="15">
        <v>46008</v>
      </c>
      <c r="F220" s="14" t="s">
        <v>20</v>
      </c>
      <c r="G220" s="16">
        <v>16.52</v>
      </c>
    </row>
    <row r="221" spans="1:7" x14ac:dyDescent="0.25">
      <c r="A221" s="13" t="s">
        <v>3246</v>
      </c>
      <c r="B221" s="13">
        <v>1969</v>
      </c>
      <c r="C221" s="14" t="str">
        <f>+VLOOKUP(B221,[1]LISTE!$A$1:$D$431,4,FALSE)</f>
        <v>BOUKADDIDA MEHREZ</v>
      </c>
      <c r="D221" s="14" t="s">
        <v>2107</v>
      </c>
      <c r="E221" s="15">
        <v>46001</v>
      </c>
      <c r="F221" s="14" t="s">
        <v>23</v>
      </c>
      <c r="G221" s="16">
        <v>45</v>
      </c>
    </row>
    <row r="222" spans="1:7" x14ac:dyDescent="0.25">
      <c r="A222" s="13" t="s">
        <v>3246</v>
      </c>
      <c r="B222" s="13">
        <v>1969</v>
      </c>
      <c r="C222" s="14" t="str">
        <f>+VLOOKUP(B222,[1]LISTE!$A$1:$D$431,4,FALSE)</f>
        <v>BOUKADDIDA MEHREZ</v>
      </c>
      <c r="D222" s="14" t="s">
        <v>2107</v>
      </c>
      <c r="E222" s="15">
        <v>46002</v>
      </c>
      <c r="F222" s="14" t="s">
        <v>19</v>
      </c>
      <c r="G222" s="16">
        <v>78.430000000000007</v>
      </c>
    </row>
    <row r="223" spans="1:7" x14ac:dyDescent="0.25">
      <c r="A223" s="13" t="s">
        <v>3246</v>
      </c>
      <c r="B223" s="13">
        <v>1969</v>
      </c>
      <c r="C223" s="14" t="str">
        <f>+VLOOKUP(B223,[1]LISTE!$A$1:$D$431,4,FALSE)</f>
        <v>BOUKADDIDA MEHREZ</v>
      </c>
      <c r="D223" s="14" t="s">
        <v>2107</v>
      </c>
      <c r="E223" s="15">
        <v>46003</v>
      </c>
      <c r="F223" s="14" t="s">
        <v>20</v>
      </c>
      <c r="G223" s="16">
        <v>60.823</v>
      </c>
    </row>
    <row r="224" spans="1:7" x14ac:dyDescent="0.25">
      <c r="A224" s="13" t="s">
        <v>3318</v>
      </c>
      <c r="B224" s="13">
        <v>1978</v>
      </c>
      <c r="C224" s="14" t="str">
        <f>+VLOOKUP(B224,[1]LISTE!$A$1:$D$431,4,FALSE)</f>
        <v>MAHJOUB AHMED</v>
      </c>
      <c r="D224" s="15" t="s">
        <v>22</v>
      </c>
      <c r="E224" s="15">
        <v>46010</v>
      </c>
      <c r="F224" s="14" t="s">
        <v>18</v>
      </c>
      <c r="G224" s="16">
        <v>70</v>
      </c>
    </row>
    <row r="225" spans="1:7" x14ac:dyDescent="0.25">
      <c r="A225" s="13" t="s">
        <v>3318</v>
      </c>
      <c r="B225" s="13">
        <v>1978</v>
      </c>
      <c r="C225" s="14" t="str">
        <f>+VLOOKUP(B225,[1]LISTE!$A$1:$D$431,4,FALSE)</f>
        <v>MAHJOUB AHMED</v>
      </c>
      <c r="D225" s="15" t="s">
        <v>22</v>
      </c>
      <c r="E225" s="15">
        <v>46010</v>
      </c>
      <c r="F225" s="14" t="s">
        <v>20</v>
      </c>
      <c r="G225" s="16">
        <v>8.64</v>
      </c>
    </row>
    <row r="226" spans="1:7" x14ac:dyDescent="0.25">
      <c r="A226" s="13" t="s">
        <v>3318</v>
      </c>
      <c r="B226" s="13">
        <v>1978</v>
      </c>
      <c r="C226" s="14" t="str">
        <f>+VLOOKUP(B226,[1]LISTE!$A$1:$D$431,4,FALSE)</f>
        <v>MAHJOUB AHMED</v>
      </c>
      <c r="D226" s="15" t="s">
        <v>22</v>
      </c>
      <c r="E226" s="15">
        <v>46015</v>
      </c>
      <c r="F226" s="14" t="s">
        <v>69</v>
      </c>
      <c r="G226" s="16">
        <v>510</v>
      </c>
    </row>
    <row r="227" spans="1:7" x14ac:dyDescent="0.25">
      <c r="A227" s="13" t="s">
        <v>3317</v>
      </c>
      <c r="B227" s="13">
        <v>1983</v>
      </c>
      <c r="C227" s="14" t="str">
        <f>+VLOOKUP(B227,[1]LISTE!$A$1:$D$431,4,FALSE)</f>
        <v>GOUIDER SLAHEDDINE</v>
      </c>
      <c r="D227" s="15" t="s">
        <v>63</v>
      </c>
      <c r="E227" s="15">
        <v>46015</v>
      </c>
      <c r="F227" s="14" t="s">
        <v>23</v>
      </c>
      <c r="G227" s="16">
        <v>45</v>
      </c>
    </row>
    <row r="228" spans="1:7" x14ac:dyDescent="0.25">
      <c r="A228" s="13" t="s">
        <v>3317</v>
      </c>
      <c r="B228" s="13">
        <v>1983</v>
      </c>
      <c r="C228" s="14" t="str">
        <f>+VLOOKUP(B228,[1]LISTE!$A$1:$D$431,4,FALSE)</f>
        <v>GOUIDER SLAHEDDINE</v>
      </c>
      <c r="D228" s="15" t="s">
        <v>63</v>
      </c>
      <c r="E228" s="15">
        <v>46015</v>
      </c>
      <c r="F228" s="14" t="s">
        <v>20</v>
      </c>
      <c r="G228" s="16">
        <v>33.92</v>
      </c>
    </row>
    <row r="229" spans="1:7" x14ac:dyDescent="0.25">
      <c r="A229" s="13" t="s">
        <v>3228</v>
      </c>
      <c r="B229" s="13">
        <v>1990</v>
      </c>
      <c r="C229" s="14" t="s">
        <v>360</v>
      </c>
      <c r="D229" s="14" t="s">
        <v>186</v>
      </c>
      <c r="E229" s="15">
        <v>46007</v>
      </c>
      <c r="F229" s="14" t="s">
        <v>18</v>
      </c>
      <c r="G229" s="16">
        <v>60</v>
      </c>
    </row>
    <row r="230" spans="1:7" x14ac:dyDescent="0.25">
      <c r="A230" s="13" t="s">
        <v>3228</v>
      </c>
      <c r="B230" s="13">
        <v>1990</v>
      </c>
      <c r="C230" s="14" t="s">
        <v>360</v>
      </c>
      <c r="D230" s="14" t="s">
        <v>186</v>
      </c>
      <c r="E230" s="15">
        <v>46007</v>
      </c>
      <c r="F230" s="14" t="s">
        <v>20</v>
      </c>
      <c r="G230" s="16">
        <v>24.613</v>
      </c>
    </row>
    <row r="231" spans="1:7" x14ac:dyDescent="0.25">
      <c r="A231" s="13" t="s">
        <v>3297</v>
      </c>
      <c r="B231" s="13">
        <v>1990</v>
      </c>
      <c r="C231" s="14" t="s">
        <v>360</v>
      </c>
      <c r="D231" s="15" t="s">
        <v>361</v>
      </c>
      <c r="E231" s="15">
        <v>46010</v>
      </c>
      <c r="F231" s="14" t="s">
        <v>23</v>
      </c>
      <c r="G231" s="16">
        <v>45</v>
      </c>
    </row>
    <row r="232" spans="1:7" x14ac:dyDescent="0.25">
      <c r="A232" s="13" t="s">
        <v>3297</v>
      </c>
      <c r="B232" s="13">
        <v>1990</v>
      </c>
      <c r="C232" s="14" t="s">
        <v>360</v>
      </c>
      <c r="D232" s="14" t="s">
        <v>361</v>
      </c>
      <c r="E232" s="15">
        <v>46010</v>
      </c>
      <c r="F232" s="14" t="s">
        <v>20</v>
      </c>
      <c r="G232" s="16">
        <v>60.064999999999998</v>
      </c>
    </row>
    <row r="233" spans="1:7" x14ac:dyDescent="0.25">
      <c r="A233" s="13" t="s">
        <v>3293</v>
      </c>
      <c r="B233" s="13">
        <v>2013</v>
      </c>
      <c r="C233" s="14" t="str">
        <f>+VLOOKUP(B233,[1]LISTE!$A$1:$D$431,4,FALSE)</f>
        <v>BEL HADJ ALI MOHAMED ALI</v>
      </c>
      <c r="D233" s="14" t="s">
        <v>160</v>
      </c>
      <c r="E233" s="15">
        <v>46013</v>
      </c>
      <c r="F233" s="14" t="s">
        <v>65</v>
      </c>
      <c r="G233" s="16">
        <v>280</v>
      </c>
    </row>
    <row r="234" spans="1:7" x14ac:dyDescent="0.25">
      <c r="A234" s="13" t="s">
        <v>3250</v>
      </c>
      <c r="B234" s="13">
        <v>2051</v>
      </c>
      <c r="C234" s="14" t="str">
        <f>+VLOOKUP(B234,[1]LISTE!$A$1:$D$431,4,FALSE)</f>
        <v>SLIMENE ANIS</v>
      </c>
      <c r="D234" s="14" t="s">
        <v>22</v>
      </c>
      <c r="E234" s="15">
        <v>46004</v>
      </c>
      <c r="F234" s="14" t="s">
        <v>23</v>
      </c>
      <c r="G234" s="16">
        <v>50</v>
      </c>
    </row>
    <row r="235" spans="1:7" x14ac:dyDescent="0.25">
      <c r="A235" s="13" t="s">
        <v>3250</v>
      </c>
      <c r="B235" s="13">
        <v>2051</v>
      </c>
      <c r="C235" s="14" t="str">
        <f>+VLOOKUP(B235,[1]LISTE!$A$1:$D$431,4,FALSE)</f>
        <v>SLIMENE ANIS</v>
      </c>
      <c r="D235" s="14" t="s">
        <v>22</v>
      </c>
      <c r="E235" s="15">
        <v>46004</v>
      </c>
      <c r="F235" s="14" t="s">
        <v>20</v>
      </c>
      <c r="G235" s="16">
        <v>29.91</v>
      </c>
    </row>
    <row r="236" spans="1:7" x14ac:dyDescent="0.25">
      <c r="A236" s="13" t="s">
        <v>3260</v>
      </c>
      <c r="B236" s="13">
        <v>2051</v>
      </c>
      <c r="C236" s="14" t="str">
        <f>+VLOOKUP(B236,[1]LISTE!$A$1:$D$431,4,FALSE)</f>
        <v>SLIMENE ANIS</v>
      </c>
      <c r="D236" s="14" t="s">
        <v>296</v>
      </c>
      <c r="E236" s="15">
        <v>46010</v>
      </c>
      <c r="F236" s="14" t="s">
        <v>23</v>
      </c>
      <c r="G236" s="16">
        <v>50</v>
      </c>
    </row>
    <row r="237" spans="1:7" x14ac:dyDescent="0.25">
      <c r="A237" s="13" t="s">
        <v>3260</v>
      </c>
      <c r="B237" s="13">
        <v>2051</v>
      </c>
      <c r="C237" s="14" t="str">
        <f>+VLOOKUP(B237,[1]LISTE!$A$1:$D$431,4,FALSE)</f>
        <v>SLIMENE ANIS</v>
      </c>
      <c r="D237" s="15" t="s">
        <v>296</v>
      </c>
      <c r="E237" s="15">
        <v>46011</v>
      </c>
      <c r="F237" s="14" t="s">
        <v>20</v>
      </c>
      <c r="G237" s="16">
        <v>14.016</v>
      </c>
    </row>
    <row r="238" spans="1:7" x14ac:dyDescent="0.25">
      <c r="A238" s="13" t="s">
        <v>3213</v>
      </c>
      <c r="B238" s="13">
        <v>2052</v>
      </c>
      <c r="C238" s="14" t="str">
        <f>+VLOOKUP(B238,[1]LISTE!$A$1:$D$431,4,FALSE)</f>
        <v>BEN RAJEH MOHAMED</v>
      </c>
      <c r="D238" s="14" t="s">
        <v>22</v>
      </c>
      <c r="E238" s="15">
        <v>46001</v>
      </c>
      <c r="F238" s="14" t="s">
        <v>18</v>
      </c>
      <c r="G238" s="16">
        <v>70</v>
      </c>
    </row>
    <row r="239" spans="1:7" x14ac:dyDescent="0.25">
      <c r="A239" s="13" t="s">
        <v>3213</v>
      </c>
      <c r="B239" s="13">
        <v>2052</v>
      </c>
      <c r="C239" s="14" t="str">
        <f>+VLOOKUP(B239,[1]LISTE!$A$1:$D$431,4,FALSE)</f>
        <v>BEN RAJEH MOHAMED</v>
      </c>
      <c r="D239" s="14" t="s">
        <v>22</v>
      </c>
      <c r="E239" s="15">
        <v>46001</v>
      </c>
      <c r="F239" s="14" t="s">
        <v>20</v>
      </c>
      <c r="G239" s="16">
        <v>3.004</v>
      </c>
    </row>
    <row r="240" spans="1:7" x14ac:dyDescent="0.25">
      <c r="A240" s="13" t="s">
        <v>3227</v>
      </c>
      <c r="B240" s="13">
        <v>2102</v>
      </c>
      <c r="C240" s="14" t="str">
        <f>+VLOOKUP(B240,[1]LISTE!$A$1:$D$431,4,FALSE)</f>
        <v>BENAMER MARWA</v>
      </c>
      <c r="D240" s="14" t="s">
        <v>22</v>
      </c>
      <c r="E240" s="15">
        <v>45987</v>
      </c>
      <c r="F240" s="14" t="s">
        <v>23</v>
      </c>
      <c r="G240" s="16">
        <v>40</v>
      </c>
    </row>
    <row r="241" spans="1:7" x14ac:dyDescent="0.25">
      <c r="A241" s="13" t="s">
        <v>3227</v>
      </c>
      <c r="B241" s="13">
        <v>2102</v>
      </c>
      <c r="C241" s="14" t="str">
        <f>+VLOOKUP(B241,[1]LISTE!$A$1:$D$431,4,FALSE)</f>
        <v>BENAMER MARWA</v>
      </c>
      <c r="D241" s="14" t="s">
        <v>22</v>
      </c>
      <c r="E241" s="15">
        <v>46003</v>
      </c>
      <c r="F241" s="14" t="s">
        <v>23</v>
      </c>
      <c r="G241" s="16">
        <v>25</v>
      </c>
    </row>
    <row r="242" spans="1:7" x14ac:dyDescent="0.25">
      <c r="A242" s="13" t="s">
        <v>3227</v>
      </c>
      <c r="B242" s="13">
        <v>2102</v>
      </c>
      <c r="C242" s="14" t="str">
        <f>+VLOOKUP(B242,[1]LISTE!$A$1:$D$431,4,FALSE)</f>
        <v>BENAMER MARWA</v>
      </c>
      <c r="D242" s="14" t="s">
        <v>22</v>
      </c>
      <c r="E242" s="15">
        <v>46003</v>
      </c>
      <c r="F242" s="14" t="s">
        <v>20</v>
      </c>
      <c r="G242" s="16">
        <v>4.7</v>
      </c>
    </row>
    <row r="243" spans="1:7" x14ac:dyDescent="0.25">
      <c r="A243" s="13" t="s">
        <v>3311</v>
      </c>
      <c r="B243" s="13">
        <v>2102</v>
      </c>
      <c r="C243" s="14" t="str">
        <f>+VLOOKUP(B243,[1]LISTE!$A$1:$D$431,4,FALSE)</f>
        <v>BENAMER MARWA</v>
      </c>
      <c r="D243" s="15" t="s">
        <v>428</v>
      </c>
      <c r="E243" s="15">
        <v>46011</v>
      </c>
      <c r="F243" s="14" t="s">
        <v>18</v>
      </c>
      <c r="G243" s="16">
        <v>60</v>
      </c>
    </row>
    <row r="244" spans="1:7" x14ac:dyDescent="0.25">
      <c r="A244" s="13" t="s">
        <v>3311</v>
      </c>
      <c r="B244" s="13">
        <v>2102</v>
      </c>
      <c r="C244" s="14" t="str">
        <f>+VLOOKUP(B244,[1]LISTE!$A$1:$D$431,4,FALSE)</f>
        <v>BENAMER MARWA</v>
      </c>
      <c r="D244" s="15" t="s">
        <v>428</v>
      </c>
      <c r="E244" s="15">
        <v>46011</v>
      </c>
      <c r="F244" s="14" t="s">
        <v>20</v>
      </c>
      <c r="G244" s="16">
        <v>22.664999999999999</v>
      </c>
    </row>
    <row r="245" spans="1:7" x14ac:dyDescent="0.25">
      <c r="A245" s="13" t="s">
        <v>3200</v>
      </c>
      <c r="B245" s="13">
        <v>2124</v>
      </c>
      <c r="C245" s="14" t="str">
        <f>+VLOOKUP(B245,[1]LISTE!$A$1:$D$431,4,FALSE)</f>
        <v>AHMED BEN HADJ MESSAOUD</v>
      </c>
      <c r="D245" s="14" t="s">
        <v>108</v>
      </c>
      <c r="E245" s="15">
        <v>46005</v>
      </c>
      <c r="F245" s="14" t="s">
        <v>18</v>
      </c>
      <c r="G245" s="16">
        <v>60</v>
      </c>
    </row>
    <row r="246" spans="1:7" x14ac:dyDescent="0.25">
      <c r="A246" s="13" t="s">
        <v>3200</v>
      </c>
      <c r="B246" s="13">
        <v>2124</v>
      </c>
      <c r="C246" s="14" t="str">
        <f>+VLOOKUP(B246,[1]LISTE!$A$1:$D$431,4,FALSE)</f>
        <v>AHMED BEN HADJ MESSAOUD</v>
      </c>
      <c r="D246" s="14" t="s">
        <v>108</v>
      </c>
      <c r="E246" s="15">
        <v>46005</v>
      </c>
      <c r="F246" s="14" t="s">
        <v>20</v>
      </c>
      <c r="G246" s="16">
        <v>59.758000000000003</v>
      </c>
    </row>
    <row r="247" spans="1:7" x14ac:dyDescent="0.25">
      <c r="A247" s="13" t="s">
        <v>3201</v>
      </c>
      <c r="B247" s="13">
        <v>2124</v>
      </c>
      <c r="C247" s="14" t="str">
        <f>+VLOOKUP(B247,[1]LISTE!$A$1:$D$431,4,FALSE)</f>
        <v>AHMED BEN HADJ MESSAOUD</v>
      </c>
      <c r="D247" s="14" t="s">
        <v>408</v>
      </c>
      <c r="E247" s="15">
        <v>46003</v>
      </c>
      <c r="F247" s="14" t="s">
        <v>23</v>
      </c>
      <c r="G247" s="16">
        <v>10</v>
      </c>
    </row>
    <row r="248" spans="1:7" x14ac:dyDescent="0.25">
      <c r="A248" s="13" t="s">
        <v>3201</v>
      </c>
      <c r="B248" s="13">
        <v>2124</v>
      </c>
      <c r="C248" s="14" t="str">
        <f>+VLOOKUP(B248,[1]LISTE!$A$1:$D$431,4,FALSE)</f>
        <v>AHMED BEN HADJ MESSAOUD</v>
      </c>
      <c r="D248" s="14" t="s">
        <v>408</v>
      </c>
      <c r="E248" s="15">
        <v>46003</v>
      </c>
      <c r="F248" s="14" t="s">
        <v>23</v>
      </c>
      <c r="G248" s="16">
        <v>4.5</v>
      </c>
    </row>
    <row r="249" spans="1:7" x14ac:dyDescent="0.25">
      <c r="A249" s="13" t="s">
        <v>3201</v>
      </c>
      <c r="B249" s="13">
        <v>2124</v>
      </c>
      <c r="C249" s="14" t="str">
        <f>+VLOOKUP(B249,[1]LISTE!$A$1:$D$431,4,FALSE)</f>
        <v>AHMED BEN HADJ MESSAOUD</v>
      </c>
      <c r="D249" s="15" t="s">
        <v>408</v>
      </c>
      <c r="E249" s="15">
        <v>46003</v>
      </c>
      <c r="F249" s="14" t="s">
        <v>20</v>
      </c>
      <c r="G249" s="16">
        <v>17.481999999999999</v>
      </c>
    </row>
    <row r="250" spans="1:7" x14ac:dyDescent="0.25">
      <c r="A250" s="13" t="s">
        <v>3201</v>
      </c>
      <c r="B250" s="13">
        <v>2124</v>
      </c>
      <c r="C250" s="14" t="str">
        <f>+VLOOKUP(B250,[1]LISTE!$A$1:$D$431,4,FALSE)</f>
        <v>AHMED BEN HADJ MESSAOUD</v>
      </c>
      <c r="D250" s="15" t="s">
        <v>408</v>
      </c>
      <c r="E250" s="15">
        <v>46004</v>
      </c>
      <c r="F250" s="14" t="s">
        <v>20</v>
      </c>
      <c r="G250" s="16">
        <v>4.5659999999999998</v>
      </c>
    </row>
    <row r="251" spans="1:7" x14ac:dyDescent="0.25">
      <c r="A251" s="13" t="s">
        <v>3280</v>
      </c>
      <c r="B251" s="13">
        <v>2124</v>
      </c>
      <c r="C251" s="14" t="str">
        <f>+VLOOKUP(B251,[1]LISTE!$A$1:$D$431,4,FALSE)</f>
        <v>AHMED BEN HADJ MESSAOUD</v>
      </c>
      <c r="D251" s="14" t="s">
        <v>3281</v>
      </c>
      <c r="E251" s="15">
        <v>46003</v>
      </c>
      <c r="F251" s="14" t="s">
        <v>312</v>
      </c>
      <c r="G251" s="16">
        <v>250</v>
      </c>
    </row>
    <row r="252" spans="1:7" x14ac:dyDescent="0.25">
      <c r="A252" s="13" t="s">
        <v>3313</v>
      </c>
      <c r="B252" s="13">
        <v>2124</v>
      </c>
      <c r="C252" s="14" t="str">
        <f>+VLOOKUP(B252,[1]LISTE!$A$1:$D$431,4,FALSE)</f>
        <v>AHMED BEN HADJ MESSAOUD</v>
      </c>
      <c r="D252" s="15" t="s">
        <v>3281</v>
      </c>
      <c r="E252" s="15">
        <v>46014</v>
      </c>
      <c r="F252" s="14" t="s">
        <v>587</v>
      </c>
      <c r="G252" s="16">
        <v>65</v>
      </c>
    </row>
    <row r="253" spans="1:7" x14ac:dyDescent="0.25">
      <c r="A253" s="13" t="s">
        <v>3313</v>
      </c>
      <c r="B253" s="13">
        <v>2124</v>
      </c>
      <c r="C253" s="14" t="str">
        <f>+VLOOKUP(B253,[1]LISTE!$A$1:$D$431,4,FALSE)</f>
        <v>AHMED BEN HADJ MESSAOUD</v>
      </c>
      <c r="D253" s="15" t="s">
        <v>3281</v>
      </c>
      <c r="E253" s="15">
        <v>46014</v>
      </c>
      <c r="F253" s="14" t="s">
        <v>20</v>
      </c>
      <c r="G253" s="16">
        <v>11.999000000000001</v>
      </c>
    </row>
    <row r="254" spans="1:7" x14ac:dyDescent="0.25">
      <c r="A254" s="13" t="s">
        <v>3273</v>
      </c>
      <c r="B254" s="13">
        <v>2145</v>
      </c>
      <c r="C254" s="14" t="str">
        <f>+VLOOKUP(B254,[1]LISTE!$A$1:$D$431,4,FALSE)</f>
        <v>MRIBAH HAMZA</v>
      </c>
      <c r="D254" s="14" t="s">
        <v>3274</v>
      </c>
      <c r="E254" s="15">
        <v>46010</v>
      </c>
      <c r="F254" s="14" t="s">
        <v>18</v>
      </c>
      <c r="G254" s="16">
        <v>60</v>
      </c>
    </row>
    <row r="255" spans="1:7" x14ac:dyDescent="0.25">
      <c r="A255" s="13" t="s">
        <v>3273</v>
      </c>
      <c r="B255" s="13">
        <v>2145</v>
      </c>
      <c r="C255" s="14" t="str">
        <f>+VLOOKUP(B255,[1]LISTE!$A$1:$D$431,4,FALSE)</f>
        <v>MRIBAH HAMZA</v>
      </c>
      <c r="D255" s="14" t="s">
        <v>3274</v>
      </c>
      <c r="E255" s="15">
        <v>46010</v>
      </c>
      <c r="F255" s="14" t="s">
        <v>20</v>
      </c>
      <c r="G255" s="16">
        <v>95.188000000000002</v>
      </c>
    </row>
    <row r="256" spans="1:7" x14ac:dyDescent="0.25">
      <c r="A256" s="13" t="s">
        <v>3291</v>
      </c>
      <c r="B256" s="13">
        <v>2148</v>
      </c>
      <c r="C256" s="14" t="str">
        <f>+VLOOKUP(B256,[1]LISTE!$A$1:$D$431,4,FALSE)</f>
        <v>CHIHI HOUSSEM</v>
      </c>
      <c r="D256" s="14" t="s">
        <v>22</v>
      </c>
      <c r="E256" s="15">
        <v>46013</v>
      </c>
      <c r="F256" s="14" t="s">
        <v>18</v>
      </c>
      <c r="G256" s="16">
        <v>70</v>
      </c>
    </row>
    <row r="257" spans="1:7" x14ac:dyDescent="0.25">
      <c r="A257" s="13" t="s">
        <v>3291</v>
      </c>
      <c r="B257" s="13">
        <v>2148</v>
      </c>
      <c r="C257" s="14" t="str">
        <f>+VLOOKUP(B257,[1]LISTE!$A$1:$D$431,4,FALSE)</f>
        <v>CHIHI HOUSSEM</v>
      </c>
      <c r="D257" s="14" t="s">
        <v>22</v>
      </c>
      <c r="E257" s="15">
        <v>46013</v>
      </c>
      <c r="F257" s="14" t="s">
        <v>20</v>
      </c>
      <c r="G257" s="16">
        <v>18.164999999999999</v>
      </c>
    </row>
    <row r="258" spans="1:7" x14ac:dyDescent="0.25">
      <c r="A258" s="13" t="s">
        <v>3292</v>
      </c>
      <c r="B258" s="13">
        <v>2148</v>
      </c>
      <c r="C258" s="14" t="str">
        <f>+VLOOKUP(B258,[1]LISTE!$A$1:$D$431,4,FALSE)</f>
        <v>CHIHI HOUSSEM</v>
      </c>
      <c r="D258" s="14" t="s">
        <v>22</v>
      </c>
      <c r="E258" s="15">
        <v>46009</v>
      </c>
      <c r="F258" s="14" t="s">
        <v>18</v>
      </c>
      <c r="G258" s="16">
        <v>70</v>
      </c>
    </row>
    <row r="259" spans="1:7" x14ac:dyDescent="0.25">
      <c r="A259" s="13" t="s">
        <v>3292</v>
      </c>
      <c r="B259" s="13">
        <v>2148</v>
      </c>
      <c r="C259" s="14" t="str">
        <f>+VLOOKUP(B259,[1]LISTE!$A$1:$D$431,4,FALSE)</f>
        <v>CHIHI HOUSSEM</v>
      </c>
      <c r="D259" s="15" t="s">
        <v>22</v>
      </c>
      <c r="E259" s="15">
        <v>46009</v>
      </c>
      <c r="F259" s="14" t="s">
        <v>20</v>
      </c>
      <c r="G259" s="16">
        <v>79.075000000000003</v>
      </c>
    </row>
    <row r="260" spans="1:7" x14ac:dyDescent="0.25">
      <c r="A260" s="13" t="s">
        <v>3319</v>
      </c>
      <c r="B260" s="13">
        <v>2153</v>
      </c>
      <c r="C260" s="14" t="str">
        <f>+VLOOKUP(B260,[1]LISTE!$A$1:$D$431,4,FALSE)</f>
        <v>BABAY ROUIS ANOIR</v>
      </c>
      <c r="D260" s="15" t="s">
        <v>22</v>
      </c>
      <c r="E260" s="15">
        <v>46012</v>
      </c>
      <c r="F260" s="14" t="s">
        <v>23</v>
      </c>
      <c r="G260" s="16">
        <v>100</v>
      </c>
    </row>
    <row r="261" spans="1:7" x14ac:dyDescent="0.25">
      <c r="A261" s="13" t="s">
        <v>3319</v>
      </c>
      <c r="B261" s="13">
        <v>2153</v>
      </c>
      <c r="C261" s="14" t="str">
        <f>+VLOOKUP(B261,[1]LISTE!$A$1:$D$431,4,FALSE)</f>
        <v>BABAY ROUIS ANOIR</v>
      </c>
      <c r="D261" s="15" t="s">
        <v>22</v>
      </c>
      <c r="E261" s="15">
        <v>46012</v>
      </c>
      <c r="F261" s="14" t="s">
        <v>20</v>
      </c>
      <c r="G261" s="16">
        <v>49.811999999999998</v>
      </c>
    </row>
    <row r="262" spans="1:7" x14ac:dyDescent="0.25">
      <c r="A262" s="13" t="s">
        <v>3259</v>
      </c>
      <c r="B262" s="13">
        <v>2170</v>
      </c>
      <c r="C262" s="14" t="str">
        <f>+VLOOKUP(B262,[1]LISTE!$A$1:$D$431,4,FALSE)</f>
        <v>BEN AHMED ANOUAR</v>
      </c>
      <c r="D262" s="15" t="s">
        <v>2979</v>
      </c>
      <c r="E262" s="15">
        <v>46003</v>
      </c>
      <c r="F262" s="14" t="s">
        <v>18</v>
      </c>
      <c r="G262" s="16">
        <v>60</v>
      </c>
    </row>
    <row r="263" spans="1:7" x14ac:dyDescent="0.25">
      <c r="A263" s="13" t="s">
        <v>3259</v>
      </c>
      <c r="B263" s="13">
        <v>2170</v>
      </c>
      <c r="C263" s="14" t="str">
        <f>+VLOOKUP(B263,[1]LISTE!$A$1:$D$431,4,FALSE)</f>
        <v>BEN AHMED ANOUAR</v>
      </c>
      <c r="D263" s="15" t="s">
        <v>2979</v>
      </c>
      <c r="E263" s="15">
        <v>46003</v>
      </c>
      <c r="F263" s="14" t="s">
        <v>20</v>
      </c>
      <c r="G263" s="16">
        <v>38.098999999999997</v>
      </c>
    </row>
    <row r="264" spans="1:7" x14ac:dyDescent="0.25">
      <c r="A264" s="13" t="s">
        <v>3221</v>
      </c>
      <c r="B264" s="13">
        <v>2198</v>
      </c>
      <c r="C264" s="14" t="s">
        <v>2427</v>
      </c>
      <c r="D264" s="14" t="s">
        <v>22</v>
      </c>
      <c r="E264" s="15">
        <v>45996</v>
      </c>
      <c r="F264" s="14" t="s">
        <v>18</v>
      </c>
      <c r="G264" s="16">
        <v>70</v>
      </c>
    </row>
    <row r="265" spans="1:7" x14ac:dyDescent="0.25">
      <c r="A265" s="13" t="s">
        <v>3221</v>
      </c>
      <c r="B265" s="13">
        <v>2198</v>
      </c>
      <c r="C265" s="14" t="s">
        <v>2427</v>
      </c>
      <c r="D265" s="14" t="s">
        <v>22</v>
      </c>
      <c r="E265" s="15">
        <v>46000</v>
      </c>
      <c r="F265" s="14" t="s">
        <v>20</v>
      </c>
      <c r="G265" s="16">
        <v>48.027000000000001</v>
      </c>
    </row>
    <row r="266" spans="1:7" x14ac:dyDescent="0.25">
      <c r="A266" s="13" t="s">
        <v>3221</v>
      </c>
      <c r="B266" s="13">
        <v>2198</v>
      </c>
      <c r="C266" s="14" t="s">
        <v>2427</v>
      </c>
      <c r="D266" s="14" t="s">
        <v>22</v>
      </c>
      <c r="E266" s="15">
        <v>45996</v>
      </c>
      <c r="F266" s="14" t="s">
        <v>19</v>
      </c>
      <c r="G266" s="16">
        <v>32.31</v>
      </c>
    </row>
    <row r="267" spans="1:7" x14ac:dyDescent="0.25">
      <c r="A267" s="13" t="s">
        <v>3236</v>
      </c>
      <c r="B267" s="13">
        <v>2210</v>
      </c>
      <c r="C267" s="14" t="s">
        <v>1818</v>
      </c>
      <c r="D267" s="15" t="s">
        <v>22</v>
      </c>
      <c r="E267" s="15">
        <v>45993</v>
      </c>
      <c r="F267" s="14" t="s">
        <v>18</v>
      </c>
      <c r="G267" s="16">
        <v>70</v>
      </c>
    </row>
    <row r="268" spans="1:7" x14ac:dyDescent="0.25">
      <c r="A268" s="13" t="s">
        <v>3236</v>
      </c>
      <c r="B268" s="13">
        <v>2210</v>
      </c>
      <c r="C268" s="14" t="s">
        <v>1818</v>
      </c>
      <c r="D268" s="14" t="s">
        <v>22</v>
      </c>
      <c r="E268" s="15">
        <v>45993</v>
      </c>
      <c r="F268" s="14" t="s">
        <v>20</v>
      </c>
      <c r="G268" s="16">
        <v>85.367999999999995</v>
      </c>
    </row>
    <row r="269" spans="1:7" x14ac:dyDescent="0.25">
      <c r="A269" s="13" t="s">
        <v>3236</v>
      </c>
      <c r="B269" s="13">
        <v>2210</v>
      </c>
      <c r="C269" s="14" t="s">
        <v>1818</v>
      </c>
      <c r="D269" s="15" t="s">
        <v>22</v>
      </c>
      <c r="E269" s="15">
        <v>46006</v>
      </c>
      <c r="F269" s="14" t="s">
        <v>69</v>
      </c>
      <c r="G269" s="16">
        <v>830</v>
      </c>
    </row>
    <row r="270" spans="1:7" x14ac:dyDescent="0.25">
      <c r="A270" s="13" t="s">
        <v>3269</v>
      </c>
      <c r="B270" s="13">
        <v>2213</v>
      </c>
      <c r="C270" s="14" t="s">
        <v>1523</v>
      </c>
      <c r="D270" s="14" t="s">
        <v>687</v>
      </c>
      <c r="E270" s="15">
        <v>46009</v>
      </c>
      <c r="F270" s="14" t="s">
        <v>18</v>
      </c>
      <c r="G270" s="16">
        <v>70</v>
      </c>
    </row>
    <row r="271" spans="1:7" x14ac:dyDescent="0.25">
      <c r="A271" s="13" t="s">
        <v>3269</v>
      </c>
      <c r="B271" s="13">
        <v>2213</v>
      </c>
      <c r="C271" s="14" t="s">
        <v>1523</v>
      </c>
      <c r="D271" s="14" t="s">
        <v>687</v>
      </c>
      <c r="E271" s="15">
        <v>46009</v>
      </c>
      <c r="F271" s="14" t="s">
        <v>20</v>
      </c>
      <c r="G271" s="16">
        <v>8.36</v>
      </c>
    </row>
    <row r="272" spans="1:7" x14ac:dyDescent="0.25">
      <c r="A272" s="13" t="s">
        <v>3231</v>
      </c>
      <c r="B272" s="13">
        <v>2219</v>
      </c>
      <c r="C272" s="14" t="s">
        <v>518</v>
      </c>
      <c r="D272" s="15" t="s">
        <v>144</v>
      </c>
      <c r="E272" s="15">
        <v>45995</v>
      </c>
      <c r="F272" s="14" t="s">
        <v>23</v>
      </c>
      <c r="G272" s="16">
        <v>3</v>
      </c>
    </row>
    <row r="273" spans="1:7" x14ac:dyDescent="0.25">
      <c r="A273" s="13" t="s">
        <v>3231</v>
      </c>
      <c r="B273" s="13">
        <v>2219</v>
      </c>
      <c r="C273" s="14" t="s">
        <v>518</v>
      </c>
      <c r="D273" s="15" t="s">
        <v>144</v>
      </c>
      <c r="E273" s="15">
        <v>45995</v>
      </c>
      <c r="F273" s="14" t="s">
        <v>21</v>
      </c>
      <c r="G273" s="16">
        <v>7.5</v>
      </c>
    </row>
    <row r="274" spans="1:7" x14ac:dyDescent="0.25">
      <c r="A274" s="13" t="s">
        <v>3231</v>
      </c>
      <c r="B274" s="13">
        <v>2219</v>
      </c>
      <c r="C274" s="14" t="s">
        <v>518</v>
      </c>
      <c r="D274" s="14" t="s">
        <v>144</v>
      </c>
      <c r="E274" s="15">
        <v>45997</v>
      </c>
      <c r="F274" s="14" t="s">
        <v>19</v>
      </c>
      <c r="G274" s="16">
        <v>112.35</v>
      </c>
    </row>
    <row r="275" spans="1:7" x14ac:dyDescent="0.25">
      <c r="A275" s="13" t="s">
        <v>3249</v>
      </c>
      <c r="B275" s="13">
        <v>2254</v>
      </c>
      <c r="C275" s="14" t="s">
        <v>106</v>
      </c>
      <c r="D275" s="15" t="s">
        <v>22</v>
      </c>
      <c r="E275" s="15">
        <v>46006</v>
      </c>
      <c r="F275" s="14" t="s">
        <v>23</v>
      </c>
      <c r="G275" s="16">
        <v>45</v>
      </c>
    </row>
    <row r="276" spans="1:7" x14ac:dyDescent="0.25">
      <c r="A276" s="13" t="s">
        <v>3249</v>
      </c>
      <c r="B276" s="13">
        <v>2254</v>
      </c>
      <c r="C276" s="14" t="s">
        <v>106</v>
      </c>
      <c r="D276" s="15" t="s">
        <v>22</v>
      </c>
      <c r="E276" s="15">
        <v>46006</v>
      </c>
      <c r="F276" s="14" t="s">
        <v>20</v>
      </c>
      <c r="G276" s="16">
        <v>33.78</v>
      </c>
    </row>
    <row r="277" spans="1:7" x14ac:dyDescent="0.25">
      <c r="A277" s="13" t="s">
        <v>3189</v>
      </c>
      <c r="B277" s="13">
        <v>2259</v>
      </c>
      <c r="C277" s="14" t="s">
        <v>570</v>
      </c>
      <c r="D277" s="14" t="s">
        <v>22</v>
      </c>
      <c r="E277" s="15">
        <v>46000</v>
      </c>
      <c r="F277" s="14" t="s">
        <v>23</v>
      </c>
      <c r="G277" s="16">
        <v>50</v>
      </c>
    </row>
    <row r="278" spans="1:7" x14ac:dyDescent="0.25">
      <c r="A278" s="13" t="s">
        <v>3189</v>
      </c>
      <c r="B278" s="13">
        <v>2259</v>
      </c>
      <c r="C278" s="14" t="s">
        <v>570</v>
      </c>
      <c r="D278" s="15" t="s">
        <v>22</v>
      </c>
      <c r="E278" s="15">
        <v>46000</v>
      </c>
      <c r="F278" s="14" t="s">
        <v>20</v>
      </c>
      <c r="G278" s="16">
        <v>2.69</v>
      </c>
    </row>
    <row r="279" spans="1:7" x14ac:dyDescent="0.25">
      <c r="A279" s="13" t="s">
        <v>3189</v>
      </c>
      <c r="B279" s="13">
        <v>2259</v>
      </c>
      <c r="C279" s="14" t="s">
        <v>570</v>
      </c>
      <c r="D279" s="14" t="s">
        <v>22</v>
      </c>
      <c r="E279" s="15">
        <v>46000</v>
      </c>
      <c r="F279" s="14" t="s">
        <v>24</v>
      </c>
      <c r="G279" s="16">
        <v>100</v>
      </c>
    </row>
    <row r="280" spans="1:7" x14ac:dyDescent="0.25">
      <c r="A280" s="13" t="s">
        <v>3190</v>
      </c>
      <c r="B280" s="13">
        <v>2259</v>
      </c>
      <c r="C280" s="14" t="s">
        <v>570</v>
      </c>
      <c r="D280" s="14" t="s">
        <v>22</v>
      </c>
      <c r="E280" s="15">
        <v>45994</v>
      </c>
      <c r="F280" s="14" t="s">
        <v>23</v>
      </c>
      <c r="G280" s="16">
        <v>50</v>
      </c>
    </row>
    <row r="281" spans="1:7" x14ac:dyDescent="0.25">
      <c r="A281" s="13" t="s">
        <v>3190</v>
      </c>
      <c r="B281" s="13">
        <v>2259</v>
      </c>
      <c r="C281" s="14" t="s">
        <v>570</v>
      </c>
      <c r="D281" s="14" t="s">
        <v>22</v>
      </c>
      <c r="E281" s="15">
        <v>45994</v>
      </c>
      <c r="F281" s="14" t="s">
        <v>20</v>
      </c>
      <c r="G281" s="16">
        <v>21.9</v>
      </c>
    </row>
    <row r="282" spans="1:7" x14ac:dyDescent="0.25">
      <c r="A282" s="13" t="s">
        <v>3190</v>
      </c>
      <c r="B282" s="13">
        <v>2259</v>
      </c>
      <c r="C282" s="14" t="s">
        <v>570</v>
      </c>
      <c r="D282" s="14" t="s">
        <v>22</v>
      </c>
      <c r="E282" s="15">
        <v>45997</v>
      </c>
      <c r="F282" s="14" t="s">
        <v>24</v>
      </c>
      <c r="G282" s="16">
        <v>50</v>
      </c>
    </row>
    <row r="283" spans="1:7" x14ac:dyDescent="0.25">
      <c r="A283" s="13" t="s">
        <v>3241</v>
      </c>
      <c r="B283" s="13">
        <v>2271</v>
      </c>
      <c r="C283" s="14" t="s">
        <v>27</v>
      </c>
      <c r="D283" s="14" t="s">
        <v>63</v>
      </c>
      <c r="E283" s="15">
        <v>46006</v>
      </c>
      <c r="F283" s="14" t="s">
        <v>18</v>
      </c>
      <c r="G283" s="16">
        <v>60</v>
      </c>
    </row>
    <row r="284" spans="1:7" x14ac:dyDescent="0.25">
      <c r="A284" s="13" t="s">
        <v>3241</v>
      </c>
      <c r="B284" s="13">
        <v>2271</v>
      </c>
      <c r="C284" s="14" t="s">
        <v>27</v>
      </c>
      <c r="D284" s="14" t="s">
        <v>63</v>
      </c>
      <c r="E284" s="15">
        <v>46006</v>
      </c>
      <c r="F284" s="14" t="s">
        <v>20</v>
      </c>
      <c r="G284" s="16">
        <v>21.183</v>
      </c>
    </row>
    <row r="285" spans="1:7" x14ac:dyDescent="0.25">
      <c r="A285" s="13" t="s">
        <v>3178</v>
      </c>
      <c r="B285" s="13">
        <v>2326</v>
      </c>
      <c r="C285" s="14" t="s">
        <v>28</v>
      </c>
      <c r="D285" s="15" t="s">
        <v>67</v>
      </c>
      <c r="E285" s="15">
        <v>46000</v>
      </c>
      <c r="F285" s="14" t="s">
        <v>23</v>
      </c>
      <c r="G285" s="16">
        <v>45</v>
      </c>
    </row>
    <row r="286" spans="1:7" x14ac:dyDescent="0.25">
      <c r="A286" s="13" t="s">
        <v>3178</v>
      </c>
      <c r="B286" s="13">
        <v>2326</v>
      </c>
      <c r="C286" s="14" t="s">
        <v>28</v>
      </c>
      <c r="D286" s="14" t="s">
        <v>67</v>
      </c>
      <c r="E286" s="15">
        <v>46000</v>
      </c>
      <c r="F286" s="14" t="s">
        <v>20</v>
      </c>
      <c r="G286" s="16">
        <v>42.99</v>
      </c>
    </row>
    <row r="287" spans="1:7" x14ac:dyDescent="0.25">
      <c r="A287" s="13" t="s">
        <v>3251</v>
      </c>
      <c r="B287" s="13">
        <v>2326</v>
      </c>
      <c r="C287" s="14" t="s">
        <v>28</v>
      </c>
      <c r="D287" s="14" t="s">
        <v>67</v>
      </c>
      <c r="E287" s="15">
        <v>46007</v>
      </c>
      <c r="F287" s="14" t="s">
        <v>20</v>
      </c>
      <c r="G287" s="16">
        <v>11.965</v>
      </c>
    </row>
    <row r="288" spans="1:7" x14ac:dyDescent="0.25">
      <c r="A288" s="13" t="s">
        <v>3252</v>
      </c>
      <c r="B288" s="13">
        <v>2326</v>
      </c>
      <c r="C288" s="14" t="s">
        <v>28</v>
      </c>
      <c r="D288" s="14" t="s">
        <v>923</v>
      </c>
      <c r="E288" s="15">
        <v>46004</v>
      </c>
      <c r="F288" s="14" t="s">
        <v>23</v>
      </c>
      <c r="G288" s="16">
        <v>3</v>
      </c>
    </row>
    <row r="289" spans="1:7" x14ac:dyDescent="0.25">
      <c r="A289" s="13" t="s">
        <v>3252</v>
      </c>
      <c r="B289" s="13">
        <v>2326</v>
      </c>
      <c r="C289" s="14" t="s">
        <v>28</v>
      </c>
      <c r="D289" s="14" t="s">
        <v>923</v>
      </c>
      <c r="E289" s="15">
        <v>46004</v>
      </c>
      <c r="F289" s="14" t="s">
        <v>20</v>
      </c>
      <c r="G289" s="16">
        <v>63.545000000000002</v>
      </c>
    </row>
    <row r="290" spans="1:7" x14ac:dyDescent="0.25">
      <c r="A290" s="13" t="s">
        <v>3262</v>
      </c>
      <c r="B290" s="13">
        <v>2330</v>
      </c>
      <c r="C290" s="14" t="s">
        <v>3263</v>
      </c>
      <c r="D290" s="14" t="s">
        <v>22</v>
      </c>
      <c r="E290" s="15">
        <v>46013</v>
      </c>
      <c r="F290" s="14" t="s">
        <v>23</v>
      </c>
      <c r="G290" s="16">
        <v>50</v>
      </c>
    </row>
    <row r="291" spans="1:7" x14ac:dyDescent="0.25">
      <c r="A291" s="13" t="s">
        <v>3262</v>
      </c>
      <c r="B291" s="13">
        <v>2330</v>
      </c>
      <c r="C291" s="14" t="s">
        <v>3263</v>
      </c>
      <c r="D291" s="14" t="s">
        <v>22</v>
      </c>
      <c r="E291" s="15">
        <v>46013</v>
      </c>
      <c r="F291" s="14" t="s">
        <v>20</v>
      </c>
      <c r="G291" s="16">
        <v>8.1449999999999996</v>
      </c>
    </row>
    <row r="292" spans="1:7" x14ac:dyDescent="0.25">
      <c r="A292" s="13" t="s">
        <v>3277</v>
      </c>
      <c r="B292" s="13">
        <v>2337</v>
      </c>
      <c r="C292" s="14" t="s">
        <v>210</v>
      </c>
      <c r="D292" s="15" t="s">
        <v>75</v>
      </c>
      <c r="E292" s="15">
        <v>46010</v>
      </c>
      <c r="F292" s="14" t="s">
        <v>18</v>
      </c>
      <c r="G292" s="16">
        <v>60</v>
      </c>
    </row>
    <row r="293" spans="1:7" x14ac:dyDescent="0.25">
      <c r="A293" s="13" t="s">
        <v>3277</v>
      </c>
      <c r="B293" s="13">
        <v>2337</v>
      </c>
      <c r="C293" s="14" t="s">
        <v>210</v>
      </c>
      <c r="D293" s="15" t="s">
        <v>75</v>
      </c>
      <c r="E293" s="15">
        <v>46010</v>
      </c>
      <c r="F293" s="14" t="s">
        <v>20</v>
      </c>
      <c r="G293" s="16">
        <v>31.8</v>
      </c>
    </row>
    <row r="294" spans="1:7" x14ac:dyDescent="0.25">
      <c r="A294" s="13" t="s">
        <v>3176</v>
      </c>
      <c r="B294" s="13">
        <v>2363</v>
      </c>
      <c r="C294" s="14" t="s">
        <v>1599</v>
      </c>
      <c r="D294" s="14" t="s">
        <v>22</v>
      </c>
      <c r="E294" s="15">
        <v>46000</v>
      </c>
      <c r="F294" s="14" t="s">
        <v>23</v>
      </c>
      <c r="G294" s="16">
        <v>50</v>
      </c>
    </row>
    <row r="295" spans="1:7" x14ac:dyDescent="0.25">
      <c r="A295" s="13" t="s">
        <v>3176</v>
      </c>
      <c r="B295" s="13">
        <v>2363</v>
      </c>
      <c r="C295" s="14" t="s">
        <v>1599</v>
      </c>
      <c r="D295" s="14" t="s">
        <v>22</v>
      </c>
      <c r="E295" s="15">
        <v>46000</v>
      </c>
      <c r="F295" s="14" t="s">
        <v>20</v>
      </c>
      <c r="G295" s="16">
        <v>45.4</v>
      </c>
    </row>
    <row r="296" spans="1:7" x14ac:dyDescent="0.25">
      <c r="A296" s="13" t="s">
        <v>3181</v>
      </c>
      <c r="B296" s="13">
        <v>2363</v>
      </c>
      <c r="C296" s="14" t="s">
        <v>1599</v>
      </c>
      <c r="D296" s="14" t="s">
        <v>22</v>
      </c>
      <c r="E296" s="15">
        <v>46001</v>
      </c>
      <c r="F296" s="14" t="s">
        <v>18</v>
      </c>
      <c r="G296" s="16">
        <v>70</v>
      </c>
    </row>
    <row r="297" spans="1:7" x14ac:dyDescent="0.25">
      <c r="A297" s="13" t="s">
        <v>3181</v>
      </c>
      <c r="B297" s="13">
        <v>2363</v>
      </c>
      <c r="C297" s="14" t="s">
        <v>1599</v>
      </c>
      <c r="D297" s="14" t="s">
        <v>22</v>
      </c>
      <c r="E297" s="15">
        <v>46001</v>
      </c>
      <c r="F297" s="14" t="s">
        <v>20</v>
      </c>
      <c r="G297" s="16">
        <v>19.952999999999999</v>
      </c>
    </row>
    <row r="298" spans="1:7" x14ac:dyDescent="0.25">
      <c r="A298" s="13" t="s">
        <v>3302</v>
      </c>
      <c r="B298" s="13">
        <v>2366</v>
      </c>
      <c r="C298" s="14" t="s">
        <v>2363</v>
      </c>
      <c r="D298" s="15" t="s">
        <v>22</v>
      </c>
      <c r="E298" s="15">
        <v>45988</v>
      </c>
      <c r="F298" s="14" t="s">
        <v>18</v>
      </c>
      <c r="G298" s="16">
        <v>70</v>
      </c>
    </row>
    <row r="299" spans="1:7" x14ac:dyDescent="0.25">
      <c r="A299" s="13" t="s">
        <v>3302</v>
      </c>
      <c r="B299" s="13">
        <v>2366</v>
      </c>
      <c r="C299" s="14" t="s">
        <v>2363</v>
      </c>
      <c r="D299" s="15" t="s">
        <v>22</v>
      </c>
      <c r="E299" s="15">
        <v>45990</v>
      </c>
      <c r="F299" s="14" t="s">
        <v>20</v>
      </c>
      <c r="G299" s="16">
        <v>53.47</v>
      </c>
    </row>
    <row r="300" spans="1:7" x14ac:dyDescent="0.25">
      <c r="A300" s="13" t="s">
        <v>3302</v>
      </c>
      <c r="B300" s="13">
        <v>2366</v>
      </c>
      <c r="C300" s="14" t="s">
        <v>2363</v>
      </c>
      <c r="D300" s="15" t="s">
        <v>22</v>
      </c>
      <c r="E300" s="15">
        <v>45992</v>
      </c>
      <c r="F300" s="14" t="s">
        <v>19</v>
      </c>
      <c r="G300" s="16">
        <v>76</v>
      </c>
    </row>
    <row r="301" spans="1:7" x14ac:dyDescent="0.25">
      <c r="A301" s="13" t="s">
        <v>3302</v>
      </c>
      <c r="B301" s="13">
        <v>2366</v>
      </c>
      <c r="C301" s="14" t="s">
        <v>2363</v>
      </c>
      <c r="D301" s="15" t="s">
        <v>22</v>
      </c>
      <c r="E301" s="15">
        <v>46009</v>
      </c>
      <c r="F301" s="14" t="s">
        <v>20</v>
      </c>
      <c r="G301" s="16">
        <v>129.07599999999999</v>
      </c>
    </row>
    <row r="302" spans="1:7" x14ac:dyDescent="0.25">
      <c r="A302" s="13" t="s">
        <v>3302</v>
      </c>
      <c r="B302" s="13">
        <v>2366</v>
      </c>
      <c r="C302" s="14" t="s">
        <v>2363</v>
      </c>
      <c r="D302" s="15" t="s">
        <v>22</v>
      </c>
      <c r="E302" s="15">
        <v>46020</v>
      </c>
      <c r="F302" s="14" t="s">
        <v>65</v>
      </c>
      <c r="G302" s="16">
        <v>151</v>
      </c>
    </row>
    <row r="303" spans="1:7" x14ac:dyDescent="0.25">
      <c r="A303" s="13" t="s">
        <v>3302</v>
      </c>
      <c r="B303" s="13">
        <v>2366</v>
      </c>
      <c r="C303" s="14" t="s">
        <v>2363</v>
      </c>
      <c r="D303" s="15" t="s">
        <v>22</v>
      </c>
      <c r="E303" s="15">
        <v>46009</v>
      </c>
      <c r="F303" s="14" t="s">
        <v>21</v>
      </c>
      <c r="G303" s="16">
        <v>150</v>
      </c>
    </row>
    <row r="304" spans="1:7" x14ac:dyDescent="0.25">
      <c r="A304" s="13" t="s">
        <v>3302</v>
      </c>
      <c r="B304" s="13">
        <v>2366</v>
      </c>
      <c r="C304" s="14" t="s">
        <v>2363</v>
      </c>
      <c r="D304" s="15" t="s">
        <v>22</v>
      </c>
      <c r="E304" s="15">
        <v>46009</v>
      </c>
      <c r="F304" s="14" t="s">
        <v>21</v>
      </c>
      <c r="G304" s="16">
        <v>383.899</v>
      </c>
    </row>
    <row r="305" spans="1:7" x14ac:dyDescent="0.25">
      <c r="A305" s="13" t="s">
        <v>3197</v>
      </c>
      <c r="B305" s="13">
        <v>2376</v>
      </c>
      <c r="C305" s="14" t="s">
        <v>2662</v>
      </c>
      <c r="D305" s="14" t="s">
        <v>353</v>
      </c>
      <c r="E305" s="15">
        <v>45979</v>
      </c>
      <c r="F305" s="14" t="s">
        <v>23</v>
      </c>
      <c r="G305" s="16">
        <v>3</v>
      </c>
    </row>
    <row r="306" spans="1:7" x14ac:dyDescent="0.25">
      <c r="A306" s="13" t="s">
        <v>3197</v>
      </c>
      <c r="B306" s="13">
        <v>2376</v>
      </c>
      <c r="C306" s="14" t="s">
        <v>2662</v>
      </c>
      <c r="D306" s="15" t="s">
        <v>353</v>
      </c>
      <c r="E306" s="15">
        <v>45982</v>
      </c>
      <c r="F306" s="14" t="s">
        <v>19</v>
      </c>
      <c r="G306" s="16">
        <v>112.35</v>
      </c>
    </row>
    <row r="307" spans="1:7" x14ac:dyDescent="0.25">
      <c r="A307" s="13" t="s">
        <v>3197</v>
      </c>
      <c r="B307" s="13">
        <v>2376</v>
      </c>
      <c r="C307" s="14" t="s">
        <v>2662</v>
      </c>
      <c r="D307" s="14" t="s">
        <v>353</v>
      </c>
      <c r="E307" s="15">
        <v>45992</v>
      </c>
      <c r="F307" s="14" t="s">
        <v>20</v>
      </c>
      <c r="G307" s="16">
        <v>38.799999999999997</v>
      </c>
    </row>
    <row r="308" spans="1:7" x14ac:dyDescent="0.25">
      <c r="A308" s="13" t="s">
        <v>3197</v>
      </c>
      <c r="B308" s="13">
        <v>2376</v>
      </c>
      <c r="C308" s="14" t="s">
        <v>2662</v>
      </c>
      <c r="D308" s="15" t="s">
        <v>353</v>
      </c>
      <c r="E308" s="15">
        <v>45979</v>
      </c>
      <c r="F308" s="14" t="s">
        <v>21</v>
      </c>
      <c r="G308" s="16">
        <v>7.5</v>
      </c>
    </row>
    <row r="309" spans="1:7" x14ac:dyDescent="0.25">
      <c r="A309" s="13" t="s">
        <v>3212</v>
      </c>
      <c r="B309" s="13">
        <v>2380</v>
      </c>
      <c r="C309" s="14" t="s">
        <v>1462</v>
      </c>
      <c r="D309" s="15" t="s">
        <v>22</v>
      </c>
      <c r="E309" s="15">
        <v>45999</v>
      </c>
      <c r="F309" s="14" t="s">
        <v>18</v>
      </c>
      <c r="G309" s="16">
        <v>70</v>
      </c>
    </row>
    <row r="310" spans="1:7" x14ac:dyDescent="0.25">
      <c r="A310" s="13" t="s">
        <v>3298</v>
      </c>
      <c r="B310" s="13">
        <v>2392</v>
      </c>
      <c r="C310" s="14" t="s">
        <v>2903</v>
      </c>
      <c r="D310" s="14" t="s">
        <v>22</v>
      </c>
      <c r="E310" s="15">
        <v>46016</v>
      </c>
      <c r="F310" s="14" t="s">
        <v>23</v>
      </c>
      <c r="G310" s="16">
        <v>50</v>
      </c>
    </row>
    <row r="311" spans="1:7" x14ac:dyDescent="0.25">
      <c r="A311" s="13" t="s">
        <v>3298</v>
      </c>
      <c r="B311" s="13">
        <v>2392</v>
      </c>
      <c r="C311" s="14" t="s">
        <v>2903</v>
      </c>
      <c r="D311" s="14" t="s">
        <v>22</v>
      </c>
      <c r="E311" s="15">
        <v>46016</v>
      </c>
      <c r="F311" s="14" t="s">
        <v>19</v>
      </c>
      <c r="G311" s="16">
        <v>81.41</v>
      </c>
    </row>
    <row r="312" spans="1:7" x14ac:dyDescent="0.25">
      <c r="A312" s="13" t="s">
        <v>3298</v>
      </c>
      <c r="B312" s="13">
        <v>2392</v>
      </c>
      <c r="C312" s="14" t="s">
        <v>2903</v>
      </c>
      <c r="D312" s="15" t="s">
        <v>22</v>
      </c>
      <c r="E312" s="15">
        <v>46016</v>
      </c>
      <c r="F312" s="14" t="s">
        <v>20</v>
      </c>
      <c r="G312" s="16">
        <v>87.876000000000005</v>
      </c>
    </row>
    <row r="313" spans="1:7" x14ac:dyDescent="0.25">
      <c r="A313" s="13" t="s">
        <v>3214</v>
      </c>
      <c r="B313" s="13">
        <v>2404</v>
      </c>
      <c r="C313" s="14" t="s">
        <v>734</v>
      </c>
      <c r="D313" s="14" t="s">
        <v>22</v>
      </c>
      <c r="E313" s="15">
        <v>45999</v>
      </c>
      <c r="F313" s="14" t="s">
        <v>18</v>
      </c>
      <c r="G313" s="16">
        <v>70</v>
      </c>
    </row>
    <row r="314" spans="1:7" x14ac:dyDescent="0.25">
      <c r="A314" s="13" t="s">
        <v>3248</v>
      </c>
      <c r="B314" s="13">
        <v>2408</v>
      </c>
      <c r="C314" s="14" t="s">
        <v>459</v>
      </c>
      <c r="D314" s="14" t="s">
        <v>75</v>
      </c>
      <c r="E314" s="15">
        <v>45972</v>
      </c>
      <c r="F314" s="14" t="s">
        <v>23</v>
      </c>
      <c r="G314" s="16">
        <v>50</v>
      </c>
    </row>
    <row r="315" spans="1:7" x14ac:dyDescent="0.25">
      <c r="A315" s="13" t="s">
        <v>3248</v>
      </c>
      <c r="B315" s="13">
        <v>2408</v>
      </c>
      <c r="C315" s="14" t="s">
        <v>459</v>
      </c>
      <c r="D315" s="14" t="s">
        <v>75</v>
      </c>
      <c r="E315" s="15">
        <v>46001</v>
      </c>
      <c r="F315" s="14" t="s">
        <v>20</v>
      </c>
      <c r="G315" s="16">
        <v>4.2750000000000004</v>
      </c>
    </row>
    <row r="316" spans="1:7" x14ac:dyDescent="0.25">
      <c r="A316" s="13" t="s">
        <v>3248</v>
      </c>
      <c r="B316" s="13">
        <v>2408</v>
      </c>
      <c r="C316" s="14" t="s">
        <v>459</v>
      </c>
      <c r="D316" s="14" t="s">
        <v>75</v>
      </c>
      <c r="E316" s="15">
        <v>45931</v>
      </c>
      <c r="F316" s="14" t="s">
        <v>21</v>
      </c>
      <c r="G316" s="16">
        <v>22.5</v>
      </c>
    </row>
    <row r="317" spans="1:7" x14ac:dyDescent="0.25">
      <c r="A317" s="13" t="s">
        <v>3248</v>
      </c>
      <c r="B317" s="13">
        <v>2408</v>
      </c>
      <c r="C317" s="14" t="s">
        <v>459</v>
      </c>
      <c r="D317" s="14" t="s">
        <v>75</v>
      </c>
      <c r="E317" s="15">
        <v>45973</v>
      </c>
      <c r="F317" s="14" t="s">
        <v>24</v>
      </c>
      <c r="G317" s="16">
        <v>120</v>
      </c>
    </row>
    <row r="318" spans="1:7" x14ac:dyDescent="0.25">
      <c r="A318" s="13" t="s">
        <v>3299</v>
      </c>
      <c r="B318" s="13">
        <v>2414</v>
      </c>
      <c r="C318" s="14" t="s">
        <v>256</v>
      </c>
      <c r="D318" s="15" t="s">
        <v>22</v>
      </c>
      <c r="E318" s="15">
        <v>46017</v>
      </c>
      <c r="F318" s="14" t="s">
        <v>23</v>
      </c>
      <c r="G318" s="16">
        <v>40</v>
      </c>
    </row>
    <row r="319" spans="1:7" x14ac:dyDescent="0.25">
      <c r="A319" s="13" t="s">
        <v>3323</v>
      </c>
      <c r="B319" s="13">
        <v>2442</v>
      </c>
      <c r="C319" s="14" t="s">
        <v>817</v>
      </c>
      <c r="D319" s="15" t="s">
        <v>991</v>
      </c>
      <c r="E319" s="15">
        <v>46013</v>
      </c>
      <c r="F319" s="14" t="s">
        <v>23</v>
      </c>
      <c r="G319" s="16">
        <v>3</v>
      </c>
    </row>
    <row r="320" spans="1:7" x14ac:dyDescent="0.25">
      <c r="A320" s="13" t="s">
        <v>3323</v>
      </c>
      <c r="B320" s="13">
        <v>2442</v>
      </c>
      <c r="C320" s="14" t="s">
        <v>817</v>
      </c>
      <c r="D320" s="15" t="s">
        <v>991</v>
      </c>
      <c r="E320" s="15">
        <v>46013</v>
      </c>
      <c r="F320" s="14" t="s">
        <v>20</v>
      </c>
      <c r="G320" s="16">
        <v>26.024999999999999</v>
      </c>
    </row>
    <row r="321" spans="1:7" x14ac:dyDescent="0.25">
      <c r="A321" s="13" t="s">
        <v>3288</v>
      </c>
      <c r="B321" s="13">
        <v>2448</v>
      </c>
      <c r="C321" s="14" t="s">
        <v>2119</v>
      </c>
      <c r="D321" s="15" t="s">
        <v>1534</v>
      </c>
      <c r="E321" s="15">
        <v>46008</v>
      </c>
      <c r="F321" s="14" t="s">
        <v>18</v>
      </c>
      <c r="G321" s="16">
        <v>70</v>
      </c>
    </row>
    <row r="322" spans="1:7" x14ac:dyDescent="0.25">
      <c r="A322" s="13" t="s">
        <v>3288</v>
      </c>
      <c r="B322" s="13">
        <v>2448</v>
      </c>
      <c r="C322" s="14" t="s">
        <v>2421</v>
      </c>
      <c r="D322" s="14" t="s">
        <v>1534</v>
      </c>
      <c r="E322" s="15">
        <v>46013</v>
      </c>
      <c r="F322" s="14" t="s">
        <v>20</v>
      </c>
      <c r="G322" s="16">
        <v>66.043000000000006</v>
      </c>
    </row>
    <row r="323" spans="1:7" x14ac:dyDescent="0.25">
      <c r="A323" s="13" t="s">
        <v>3288</v>
      </c>
      <c r="B323" s="13">
        <v>2448</v>
      </c>
      <c r="C323" s="14" t="s">
        <v>2421</v>
      </c>
      <c r="D323" s="15" t="s">
        <v>1534</v>
      </c>
      <c r="E323" s="15">
        <v>46003</v>
      </c>
      <c r="F323" s="14" t="s">
        <v>19</v>
      </c>
      <c r="G323" s="16">
        <v>91.805999999999997</v>
      </c>
    </row>
    <row r="324" spans="1:7" x14ac:dyDescent="0.25">
      <c r="A324" s="13" t="s">
        <v>3303</v>
      </c>
      <c r="B324" s="13">
        <v>2473</v>
      </c>
      <c r="C324" s="14" t="s">
        <v>3304</v>
      </c>
      <c r="D324" s="15" t="s">
        <v>3305</v>
      </c>
      <c r="E324" s="15">
        <v>46014</v>
      </c>
      <c r="F324" s="14" t="s">
        <v>312</v>
      </c>
      <c r="G324" s="16">
        <v>250</v>
      </c>
    </row>
    <row r="325" spans="1:7" x14ac:dyDescent="0.25">
      <c r="A325" s="13" t="s">
        <v>3309</v>
      </c>
      <c r="B325" s="13">
        <v>2479</v>
      </c>
      <c r="C325" s="14" t="s">
        <v>1712</v>
      </c>
      <c r="D325" s="14" t="s">
        <v>1713</v>
      </c>
      <c r="E325" s="15">
        <v>46018</v>
      </c>
      <c r="F325" s="14" t="s">
        <v>18</v>
      </c>
      <c r="G325" s="16">
        <v>70</v>
      </c>
    </row>
    <row r="326" spans="1:7" x14ac:dyDescent="0.25">
      <c r="A326" s="13" t="s">
        <v>3309</v>
      </c>
      <c r="B326" s="13">
        <v>2479</v>
      </c>
      <c r="C326" s="14" t="s">
        <v>1712</v>
      </c>
      <c r="D326" s="15" t="s">
        <v>1713</v>
      </c>
      <c r="E326" s="15">
        <v>46018</v>
      </c>
      <c r="F326" s="14" t="s">
        <v>20</v>
      </c>
      <c r="G326" s="16">
        <v>34.359000000000002</v>
      </c>
    </row>
    <row r="327" spans="1:7" x14ac:dyDescent="0.25">
      <c r="A327" s="13" t="s">
        <v>3193</v>
      </c>
      <c r="B327" s="13">
        <v>2482</v>
      </c>
      <c r="C327" s="14" t="s">
        <v>3194</v>
      </c>
      <c r="D327" s="14" t="s">
        <v>3195</v>
      </c>
      <c r="E327" s="15">
        <v>46002</v>
      </c>
      <c r="F327" s="14" t="s">
        <v>23</v>
      </c>
      <c r="G327" s="16">
        <v>45</v>
      </c>
    </row>
    <row r="328" spans="1:7" x14ac:dyDescent="0.25">
      <c r="A328" s="13" t="s">
        <v>3193</v>
      </c>
      <c r="B328" s="13">
        <v>2482</v>
      </c>
      <c r="C328" s="14" t="s">
        <v>3194</v>
      </c>
      <c r="D328" s="14" t="s">
        <v>3195</v>
      </c>
      <c r="E328" s="15">
        <v>46002</v>
      </c>
      <c r="F328" s="14" t="s">
        <v>19</v>
      </c>
      <c r="G328" s="16">
        <v>28.68</v>
      </c>
    </row>
    <row r="329" spans="1:7" x14ac:dyDescent="0.25">
      <c r="A329" s="13" t="s">
        <v>3193</v>
      </c>
      <c r="B329" s="13">
        <v>2482</v>
      </c>
      <c r="C329" s="14" t="s">
        <v>3194</v>
      </c>
      <c r="D329" s="15" t="s">
        <v>3195</v>
      </c>
      <c r="E329" s="15">
        <v>46002</v>
      </c>
      <c r="F329" s="14" t="s">
        <v>20</v>
      </c>
      <c r="G329" s="16">
        <v>35.104999999999997</v>
      </c>
    </row>
    <row r="330" spans="1:7" x14ac:dyDescent="0.25">
      <c r="A330" s="13" t="s">
        <v>3315</v>
      </c>
      <c r="B330" s="13">
        <v>2486</v>
      </c>
      <c r="C330" s="14" t="s">
        <v>2771</v>
      </c>
      <c r="D330" s="15" t="s">
        <v>22</v>
      </c>
      <c r="E330" s="15">
        <v>45997</v>
      </c>
      <c r="F330" s="14" t="s">
        <v>18</v>
      </c>
      <c r="G330" s="16">
        <v>70</v>
      </c>
    </row>
    <row r="331" spans="1:7" x14ac:dyDescent="0.25">
      <c r="A331" s="13" t="s">
        <v>3315</v>
      </c>
      <c r="B331" s="13">
        <v>2486</v>
      </c>
      <c r="C331" s="14" t="s">
        <v>2771</v>
      </c>
      <c r="D331" s="15" t="s">
        <v>22</v>
      </c>
      <c r="E331" s="15">
        <v>45997</v>
      </c>
      <c r="F331" s="14" t="s">
        <v>20</v>
      </c>
      <c r="G331" s="16">
        <v>14.96</v>
      </c>
    </row>
    <row r="332" spans="1:7" x14ac:dyDescent="0.25">
      <c r="A332" s="13" t="s">
        <v>3198</v>
      </c>
      <c r="B332" s="13">
        <v>2497</v>
      </c>
      <c r="C332" s="14" t="s">
        <v>1263</v>
      </c>
      <c r="D332" s="14" t="s">
        <v>669</v>
      </c>
      <c r="E332" s="15">
        <v>46002</v>
      </c>
      <c r="F332" s="14" t="s">
        <v>23</v>
      </c>
      <c r="G332" s="16">
        <v>40</v>
      </c>
    </row>
    <row r="333" spans="1:7" x14ac:dyDescent="0.25">
      <c r="A333" s="13" t="s">
        <v>3198</v>
      </c>
      <c r="B333" s="13">
        <v>2497</v>
      </c>
      <c r="C333" s="14" t="s">
        <v>1263</v>
      </c>
      <c r="D333" s="14" t="s">
        <v>669</v>
      </c>
      <c r="E333" s="15">
        <v>46002</v>
      </c>
      <c r="F333" s="14" t="s">
        <v>20</v>
      </c>
      <c r="G333" s="16">
        <v>36.564</v>
      </c>
    </row>
    <row r="334" spans="1:7" x14ac:dyDescent="0.25">
      <c r="A334" s="13" t="s">
        <v>3324</v>
      </c>
      <c r="B334" s="13">
        <v>2592</v>
      </c>
      <c r="C334" s="14" t="s">
        <v>317</v>
      </c>
      <c r="D334" s="15" t="s">
        <v>318</v>
      </c>
      <c r="E334" s="15">
        <v>46010</v>
      </c>
      <c r="F334" s="14" t="s">
        <v>18</v>
      </c>
      <c r="G334" s="16">
        <v>70</v>
      </c>
    </row>
    <row r="335" spans="1:7" x14ac:dyDescent="0.25">
      <c r="A335" s="13" t="s">
        <v>3324</v>
      </c>
      <c r="B335" s="13">
        <v>2592</v>
      </c>
      <c r="C335" s="14" t="s">
        <v>317</v>
      </c>
      <c r="D335" s="15" t="s">
        <v>318</v>
      </c>
      <c r="E335" s="15">
        <v>46010</v>
      </c>
      <c r="F335" s="14" t="s">
        <v>20</v>
      </c>
      <c r="G335" s="16">
        <v>51.13</v>
      </c>
    </row>
    <row r="336" spans="1:7" x14ac:dyDescent="0.25">
      <c r="A336" s="13" t="s">
        <v>3324</v>
      </c>
      <c r="B336" s="13">
        <v>2592</v>
      </c>
      <c r="C336" s="14" t="s">
        <v>317</v>
      </c>
      <c r="D336" s="15" t="s">
        <v>318</v>
      </c>
      <c r="E336" s="15">
        <v>46010</v>
      </c>
      <c r="F336" s="14" t="s">
        <v>69</v>
      </c>
      <c r="G336" s="16">
        <v>680</v>
      </c>
    </row>
    <row r="337" spans="1:7" x14ac:dyDescent="0.25">
      <c r="A337" s="13" t="s">
        <v>3329</v>
      </c>
      <c r="B337" s="13">
        <v>2714</v>
      </c>
      <c r="C337" s="14" t="s">
        <v>2083</v>
      </c>
      <c r="D337" s="15" t="s">
        <v>22</v>
      </c>
      <c r="E337" s="15">
        <v>46016</v>
      </c>
      <c r="F337" s="14" t="s">
        <v>25</v>
      </c>
      <c r="G337" s="16">
        <v>1200</v>
      </c>
    </row>
    <row r="338" spans="1:7" ht="18.75" x14ac:dyDescent="0.3">
      <c r="A338" s="14"/>
      <c r="B338" s="28"/>
      <c r="C338" s="29"/>
      <c r="D338" s="14"/>
      <c r="E338" s="28"/>
      <c r="F338" s="17" t="s">
        <v>11</v>
      </c>
      <c r="G338" s="17">
        <f>SUM(G10:G337)</f>
        <v>37374.985000000001</v>
      </c>
    </row>
    <row r="339" spans="1:7" ht="18.75" x14ac:dyDescent="0.3">
      <c r="A339" s="38"/>
      <c r="B339" s="39"/>
      <c r="C339" s="40"/>
      <c r="D339" s="41"/>
      <c r="E339" s="19"/>
      <c r="F339" s="18"/>
      <c r="G339" s="34"/>
    </row>
    <row r="340" spans="1:7" ht="18.75" x14ac:dyDescent="0.3">
      <c r="A340" s="35"/>
      <c r="B340" s="36"/>
      <c r="C340" s="37"/>
      <c r="D340" s="42"/>
      <c r="E340" s="43"/>
      <c r="F340" s="44"/>
      <c r="G340" s="44"/>
    </row>
    <row r="341" spans="1:7" ht="15.75" x14ac:dyDescent="0.25">
      <c r="A341" s="35"/>
      <c r="B341" s="36" t="s">
        <v>12</v>
      </c>
      <c r="C341" s="37"/>
      <c r="E341" s="36" t="s">
        <v>13</v>
      </c>
      <c r="F341" s="18"/>
      <c r="G341" s="18"/>
    </row>
    <row r="342" spans="1:7" ht="15.75" x14ac:dyDescent="0.25">
      <c r="A342" s="45"/>
      <c r="B342" s="46" t="s">
        <v>14</v>
      </c>
      <c r="C342" s="47"/>
      <c r="E342" s="36" t="s">
        <v>15</v>
      </c>
      <c r="F342" s="18"/>
      <c r="G342" s="18"/>
    </row>
    <row r="343" spans="1:7" ht="15.75" x14ac:dyDescent="0.25">
      <c r="A343" s="23"/>
      <c r="B343" s="24"/>
      <c r="C343" s="25"/>
      <c r="E343" s="27"/>
      <c r="F343" s="18"/>
      <c r="G343" s="18"/>
    </row>
    <row r="344" spans="1:7" ht="18.75" x14ac:dyDescent="0.3">
      <c r="B344" s="19"/>
      <c r="C344" s="20"/>
      <c r="D344" s="21"/>
      <c r="E344" s="22"/>
      <c r="F344" s="19"/>
      <c r="G344" s="22"/>
    </row>
    <row r="345" spans="1:7" ht="15.75" x14ac:dyDescent="0.25">
      <c r="A345" s="23"/>
      <c r="B345" s="24"/>
      <c r="C345" s="25"/>
      <c r="D345" s="26"/>
      <c r="E345" s="22"/>
      <c r="F345" s="27"/>
      <c r="G345" s="22"/>
    </row>
  </sheetData>
  <mergeCells count="3">
    <mergeCell ref="B1:D1"/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26</vt:i4>
      </vt:variant>
    </vt:vector>
  </HeadingPairs>
  <TitlesOfParts>
    <vt:vector size="26" baseType="lpstr">
      <vt:lpstr>complément 2024</vt:lpstr>
      <vt:lpstr>BD1</vt:lpstr>
      <vt:lpstr>BD2</vt:lpstr>
      <vt:lpstr>complément 2</vt:lpstr>
      <vt:lpstr>BD3</vt:lpstr>
      <vt:lpstr>BD4</vt:lpstr>
      <vt:lpstr>BD5</vt:lpstr>
      <vt:lpstr>BD6</vt:lpstr>
      <vt:lpstr>BD7</vt:lpstr>
      <vt:lpstr>BD8</vt:lpstr>
      <vt:lpstr>BD9</vt:lpstr>
      <vt:lpstr>BD10</vt:lpstr>
      <vt:lpstr>BD11</vt:lpstr>
      <vt:lpstr>BD12</vt:lpstr>
      <vt:lpstr>BD13</vt:lpstr>
      <vt:lpstr>BD14</vt:lpstr>
      <vt:lpstr>BD15</vt:lpstr>
      <vt:lpstr>BD16</vt:lpstr>
      <vt:lpstr>BD17</vt:lpstr>
      <vt:lpstr>BD18</vt:lpstr>
      <vt:lpstr>BD 19</vt:lpstr>
      <vt:lpstr>BD20</vt:lpstr>
      <vt:lpstr>BD21</vt:lpstr>
      <vt:lpstr>BD22</vt:lpstr>
      <vt:lpstr>BD23</vt:lpstr>
      <vt:lpstr>BD24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Neziha Mlayah</dc:creator>
  <cp:lastModifiedBy>Neziha Mlayah</cp:lastModifiedBy>
  <cp:lastPrinted>2025-12-10T09:25:34Z</cp:lastPrinted>
  <dcterms:created xsi:type="dcterms:W3CDTF">2024-12-27T07:15:59Z</dcterms:created>
  <dcterms:modified xsi:type="dcterms:W3CDTF">2026-07-03T06:27:42Z</dcterms:modified>
</cp:coreProperties>
</file>